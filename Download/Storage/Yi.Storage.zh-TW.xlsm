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B19566EC-33D5-4582-8062-7CE6BD0D5296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歡迎" sheetId="7" r:id="rId1"/>
    <sheet name="設定" sheetId="1" r:id="rId2"/>
    <sheet name="新增入庫取貨" sheetId="9" r:id="rId3"/>
    <sheet name="入庫取貨" sheetId="8" r:id="rId4"/>
    <sheet name="新增會員" sheetId="4" r:id="rId5"/>
    <sheet name="會員詳細資訊" sheetId="6" r:id="rId6"/>
    <sheet name="歷史記錄" sheetId="5" r:id="rId7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設定!$D$73:$E$73</definedName>
    <definedName name="Get_GUID">UserInfo[唯一識別碼]</definedName>
    <definedName name="Get_Keep_inventory">設定!$D$71:$E$71</definedName>
    <definedName name="Get_Staff_Member">設定!$D$53:$O$53</definedName>
    <definedName name="Get_Store_Uid">Store_Setting[唯一識別碼]</definedName>
    <definedName name="Get_Type_of_Access">設定!$D$69:$E$69</definedName>
    <definedName name="Get_Work_Unit">設定!$D$64:$O$64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4">新增會員!$A:$H</definedName>
    <definedName name="_xlnm.Print_Area" localSheetId="1">設定!$A:$N</definedName>
    <definedName name="_xlnm.Print_Titles" localSheetId="1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77" i="1"/>
  <c r="D76" i="1"/>
  <c r="D78" i="1"/>
  <c r="D79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B9" i="6" a="1"/>
  <c r="B9" i="6" s="1"/>
  <c r="D75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8" i="1" l="1"/>
  <c r="L48" i="1"/>
  <c r="M40" i="1"/>
  <c r="L40" i="1"/>
  <c r="M32" i="1"/>
  <c r="L32" i="1"/>
  <c r="M24" i="1"/>
  <c r="L24" i="1"/>
  <c r="K24" i="1" s="1"/>
  <c r="M16" i="1"/>
  <c r="L16" i="1"/>
  <c r="L47" i="1"/>
  <c r="M47" i="1"/>
  <c r="M39" i="1"/>
  <c r="L39" i="1"/>
  <c r="K39" i="1" s="1"/>
  <c r="L31" i="1"/>
  <c r="M31" i="1"/>
  <c r="L23" i="1"/>
  <c r="M23" i="1"/>
  <c r="M15" i="1"/>
  <c r="L15" i="1"/>
  <c r="M46" i="1"/>
  <c r="L46" i="1"/>
  <c r="K46" i="1" s="1"/>
  <c r="M38" i="1"/>
  <c r="L38" i="1"/>
  <c r="K38" i="1" s="1"/>
  <c r="M30" i="1"/>
  <c r="L30" i="1"/>
  <c r="M22" i="1"/>
  <c r="L22" i="1"/>
  <c r="K22" i="1" s="1"/>
  <c r="M14" i="1"/>
  <c r="L14" i="1"/>
  <c r="K14" i="1" s="1"/>
  <c r="M45" i="1"/>
  <c r="L45" i="1"/>
  <c r="K45" i="1" s="1"/>
  <c r="M37" i="1"/>
  <c r="L37" i="1"/>
  <c r="M29" i="1"/>
  <c r="L29" i="1"/>
  <c r="M21" i="1"/>
  <c r="L21" i="1"/>
  <c r="K21" i="1" s="1"/>
  <c r="M13" i="1"/>
  <c r="L13" i="1"/>
  <c r="M44" i="1"/>
  <c r="L44" i="1"/>
  <c r="M36" i="1"/>
  <c r="L36" i="1"/>
  <c r="M28" i="1"/>
  <c r="L28" i="1"/>
  <c r="K28" i="1" s="1"/>
  <c r="M20" i="1"/>
  <c r="L20" i="1"/>
  <c r="K20" i="1" s="1"/>
  <c r="M12" i="1"/>
  <c r="L12" i="1"/>
  <c r="M43" i="1"/>
  <c r="L43" i="1"/>
  <c r="M35" i="1"/>
  <c r="L35" i="1"/>
  <c r="K35" i="1" s="1"/>
  <c r="M27" i="1"/>
  <c r="L27" i="1"/>
  <c r="M19" i="1"/>
  <c r="L19" i="1"/>
  <c r="M11" i="1"/>
  <c r="L11" i="1"/>
  <c r="L50" i="1"/>
  <c r="M50" i="1"/>
  <c r="M42" i="1"/>
  <c r="L42" i="1"/>
  <c r="L34" i="1"/>
  <c r="M34" i="1"/>
  <c r="M26" i="1"/>
  <c r="L26" i="1"/>
  <c r="L18" i="1"/>
  <c r="M18" i="1"/>
  <c r="M49" i="1"/>
  <c r="L49" i="1"/>
  <c r="M41" i="1"/>
  <c r="L41" i="1"/>
  <c r="L33" i="1"/>
  <c r="M33" i="1"/>
  <c r="L25" i="1"/>
  <c r="M25" i="1"/>
  <c r="M17" i="1"/>
  <c r="L17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2" i="1" l="1"/>
  <c r="K36" i="1"/>
  <c r="K23" i="1"/>
  <c r="K19" i="1"/>
  <c r="G19" i="1" s="1"/>
  <c r="K12" i="1"/>
  <c r="G12" i="1" s="1"/>
  <c r="K37" i="1"/>
  <c r="G37" i="1" s="1"/>
  <c r="K30" i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0" i="1"/>
  <c r="G30" i="1"/>
  <c r="G39" i="1"/>
  <c r="G14" i="1"/>
  <c r="G36" i="1"/>
  <c r="G38" i="1"/>
  <c r="G23" i="1"/>
  <c r="G22" i="1"/>
  <c r="G46" i="1"/>
  <c r="G21" i="1"/>
  <c r="G32" i="1"/>
  <c r="G28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<sst xmlns="http://schemas.openxmlformats.org/spreadsheetml/2006/main" count="678" uniqueCount="489">
  <si>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</si>
  <si>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</si>
  <si>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</si>
  <si>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</si>
  <si>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</si>
  <si>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</si>
  <si>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</si>
  <si>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</si>
  <si>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</si>
  <si>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</si>
  <si>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</si>
  <si>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</si>
  <si>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</si>
  <si>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</si>
  <si>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</si>
  <si>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</si>
  <si>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</si>
  <si>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</si>
  <si>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</si>
  <si>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</si>
  <si>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</si>
  <si>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</si>
  <si>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</si>
  <si>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</si>
  <si>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</si>
  <si>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</si>
  <si>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</si>
  <si>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</si>
  <si>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</si>
  <si>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</si>
  <si>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</si>
  <si>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</si>
  <si>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</si>
  <si>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</si>
  <si>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</si>
  <si>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</si>
  <si>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</si>
  <si>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</si>
  <si>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</si>
  <si>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</si>
  <si>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</si>
  <si>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</si>
  <si>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</si>
  <si>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</si>
  <si>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</si>
  <si>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</si>
  <si>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</si>
  <si>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</si>
  <si>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</si>
  <si>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</si>
  <si>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</si>
  <si>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</si>
  <si>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</si>
  <si>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</si>
  <si>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</si>
  <si>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</si>
  <si>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</si>
  <si>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持平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</si>
  <si>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</si>
  <si>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</si>
  <si>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</si>
  <si>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</si>
  <si>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</si>
  <si>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</si>
  <si>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</si>
  <si>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</si>
  <si>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</si>
  <si>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</si>
  <si>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</si>
  <si>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</si>
  <si>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</si>
  <si>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</si>
  <si>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</si>
  <si>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</si>
  <si>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</si>
  <si>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</si>
  <si>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</si>
  <si>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</si>
  <si>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</si>
  <si>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</si>
  <si>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</si>
  <si>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</si>
  <si>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</si>
  <si>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</si>
  <si>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</si>
  <si>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</si>
  <si>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</si>
  <si>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主要功能</t>
  </si>
  <si>
    <t>商品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</si>
  <si>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</si>
  <si>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</si>
  <si>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</si>
  <si>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</si>
  <si>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</si>
  <si>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</si>
  <si>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</si>
  <si>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</si>
  <si>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</si>
  <si>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</si>
  <si>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</si>
  <si>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</si>
  <si>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</si>
  <si>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</si>
  <si>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</si>
  <si>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</si>
  <si>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</si>
  <si>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</si>
  <si>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</si>
  <si>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</si>
  <si>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</si>
  <si>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</si>
  <si>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</si>
  <si>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</si>
  <si>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</si>
  <si>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</si>
  <si>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</si>
  <si>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</si>
  <si>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</si>
  <si>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</si>
  <si>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</si>
  <si>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</si>
  <si>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</si>
  <si>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</si>
  <si>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</si>
  <si>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</si>
  <si>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</si>
  <si>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</si>
  <si>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</si>
  <si>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</si>
  <si>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</si>
  <si>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</si>
  <si>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</si>
  <si>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</si>
  <si>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</si>
  <si>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</si>
  <si>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</si>
  <si>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</si>
  <si>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</si>
  <si>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</si>
  <si>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</si>
  <si>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</si>
  <si>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</si>
  <si>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</si>
  <si>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</si>
  <si>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</si>
  <si>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</si>
  <si>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</si>
  <si>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</si>
  <si>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</si>
  <si>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</si>
  <si>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</si>
  <si>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</si>
  <si>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</si>
  <si>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</si>
  <si>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</si>
  <si>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</si>
  <si>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启用编辑</t>
  </si>
  <si>
    <t>安全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</si>
  <si>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</si>
  <si>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</si>
  <si>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</si>
  <si>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</si>
  <si>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</si>
  <si>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</si>
  <si>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</si>
  <si>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</si>
  <si>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</si>
  <si>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</si>
  <si>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</si>
  <si>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</si>
  <si>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</si>
  <si>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</si>
  <si>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</si>
  <si>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</si>
  <si>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</si>
  <si>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工作表</t>
  </si>
  <si>
    <t>入库 | 存货</t>
  </si>
  <si>
    <t>歡迎</t>
  </si>
  <si>
    <t>Excel | 商品入庫、取貨 | 會員管理 | 存入 | 分享 | 新增歷史記錄 | 即時統計等功能</t>
  </si>
  <si>
    <t>先決條件</t>
  </si>
  <si>
    <t>可選使用 Office 365、Office 2024、Office 2021、Office 2019、Office 2016 或支援插入新行時自動繼承上行公式的辦公室軟體</t>
  </si>
  <si>
    <t>協作：建議您使用 OneDrive，將 Latest.xlsm 儲存到網盤裡，其它終端設備可直接同步操作</t>
  </si>
  <si>
    <t>使用 iPad、IOS、Android 等終端，安裝 Microsoft Excel 辦公室軟體即可享受協作</t>
  </si>
  <si>
    <t>未啟用 VBA 或不包含 VBA 時，VBA 功能將無法使用</t>
  </si>
  <si>
    <t>支持 40 項商品管理</t>
  </si>
  <si>
    <t>設定可用商品後，隱藏會員詳細資料、歷史記錄裡未使用的商品</t>
  </si>
  <si>
    <t>有同等價位時，你不會當他為同一商品嗎？</t>
  </si>
  <si>
    <t>入庫：新增後，在設定介面可查看統計</t>
  </si>
  <si>
    <t>取貨：盤點時沖正及快速取貨，在設定介面可查看統計</t>
  </si>
  <si>
    <t>A 軟體銷售 666 件，B 軟體銷售 333，你不會增加二條取貨 666、333 嗎？ 這不就統計其它平台的數據了？</t>
  </si>
  <si>
    <t>可新增：姓氏、名字、性別、身分證號碼、年齡、電話、Email、家庭住址、備註等，可隱藏不常用的項</t>
  </si>
  <si>
    <t>設定員工姓名、聯絡電話，設定首選員工</t>
  </si>
  <si>
    <t>入庫 | 取貨</t>
  </si>
  <si>
    <t>會員</t>
  </si>
  <si>
    <t>員工</t>
  </si>
  <si>
    <t>圖示</t>
  </si>
  <si>
    <t>正確錄入</t>
  </si>
  <si>
    <t>錯誤</t>
  </si>
  <si>
    <t>正確輸入或已填</t>
  </si>
  <si>
    <t>未輸入或校驗失敗</t>
  </si>
  <si>
    <t>第四步：新增會員時必填、新增後允許新增存入（通過了新增會員時驗證項目後，將插入一條新的歷史記錄存入）</t>
  </si>
  <si>
    <t>第七步：必須填單位</t>
  </si>
  <si>
    <t>電話號碼：滿足 11 位數字時和不滿足時僅提示，不強制你是否正確輸入</t>
  </si>
  <si>
    <t>身分證號碼：輸入了身分證號碼後校驗是否正確</t>
  </si>
  <si>
    <t>Email：校驗是否正確的電子郵件信箱</t>
  </si>
  <si>
    <t>開啟 VBA 後，以下功能將啟用</t>
  </si>
  <si>
    <t>設定</t>
  </si>
  <si>
    <t>校驗</t>
  </si>
  <si>
    <t>在會員詳細資料裡，選擇會員後可點選“存入”或“支取”，快速新增一筆到歷史記錄裡</t>
  </si>
  <si>
    <t>技巧：不管是點“新增存入”或“新增支取”，在歷史記錄中選擇類型更改</t>
  </si>
  <si>
    <t>新增入庫取貨、新增會員將可用</t>
  </si>
  <si>
    <t>重設工作表新增商品、入庫取貨、新增會員裡錯誤訊息、即時校驗等</t>
  </si>
  <si>
    <t>自動新增“熱鍵、清除熱鍵”，重設：錯誤、即時校驗等</t>
  </si>
  <si>
    <t>設定首選員工後，自動填入所有員工列表</t>
  </si>
  <si>
    <t>新增「商品入庫取貨」、「新增會員」後，自動插入公式與資料校驗，初始化功能。</t>
  </si>
  <si>
    <t>Ctrl+Shift + M：取得目前日期和時間後，插入或更新至「時間」行（入庫取貨、會員詳細資料、歷史記錄有效）</t>
  </si>
  <si>
    <t>Ctrl+Shift + A：歷史記錄 - 新增，自動填入（僅在會員詳細資料有效）</t>
  </si>
  <si>
    <t>Ctrl+Shift + Q：歷史記錄 - 新增，自動填支取（僅在會員詳細資料有效）</t>
  </si>
  <si>
    <t>歷史記錄</t>
  </si>
  <si>
    <t>打開表</t>
  </si>
  <si>
    <t>選擇表</t>
  </si>
  <si>
    <t>快速鍵</t>
  </si>
  <si>
    <t>使用須知</t>
  </si>
  <si>
    <t>所有密碼為空</t>
  </si>
  <si>
    <t>建議你定期下載最新版，以保持到最新</t>
  </si>
  <si>
    <t>前往 https://github.com/ilikeyi/Office 或開啟 https://fengyi.tel/go/storage 下載後，</t>
  </si>
  <si>
    <t>點選檔案右鍵，選擇屬性，解除檔案鎖定</t>
  </si>
  <si>
    <t>啟用內容</t>
  </si>
  <si>
    <t>啟用 VBA 巨集功能</t>
  </si>
  <si>
    <t>選擇文件、選項、信任中心、信任中心設置，選擇：</t>
  </si>
  <si>
    <t>啟用 VBA 巨集、啟用 VBA 巨集時啟用 Excel 4.0 巨集、信任對 VBA 工程物件範本的訪問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</si>
  <si>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</si>
  <si>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</si>
  <si>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</si>
  <si>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</si>
  <si>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</si>
  <si>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</si>
  <si>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</si>
  <si>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</si>
  <si>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</si>
  <si>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</si>
  <si>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</si>
  <si>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</si>
  <si>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</si>
  <si>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</si>
  <si>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</si>
  <si>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</si>
  <si>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</si>
  <si>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</si>
  <si>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</si>
  <si>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</si>
  <si>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</si>
  <si>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</si>
  <si>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</si>
  <si>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</si>
  <si>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</si>
  <si>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</si>
  <si>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</si>
  <si>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</si>
  <si>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</si>
  <si>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</si>
  <si>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</si>
  <si>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</si>
  <si>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</si>
  <si>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</si>
  <si>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</si>
  <si>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</si>
  <si>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</si>
  <si>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</si>
  <si>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</si>
  <si>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</si>
  <si>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</si>
  <si>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</si>
  <si>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</si>
  <si>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</si>
  <si>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</si>
  <si>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</si>
  <si>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</si>
  <si>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</si>
  <si>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</si>
  <si>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</si>
  <si>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</si>
  <si>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</si>
  <si>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</si>
  <si>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</si>
  <si>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</si>
  <si>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</si>
  <si>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</si>
  <si>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</si>
  <si>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</si>
  <si>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</si>
  <si>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</si>
  <si>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</si>
  <si>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</si>
  <si>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</si>
  <si>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</si>
  <si>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</si>
  <si>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</si>
  <si>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</si>
  <si>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</si>
  <si>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</si>
  <si>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</si>
  <si>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</si>
  <si>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</si>
  <si>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</si>
  <si>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</si>
  <si>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</si>
  <si>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</si>
  <si>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</si>
  <si>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</si>
  <si>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</si>
  <si>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</si>
  <si>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</si>
  <si>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</si>
  <si>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</si>
  <si>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</si>
  <si>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</si>
  <si>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</si>
  <si>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</si>
  <si>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</si>
  <si>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</si>
  <si>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</si>
  <si>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</si>
  <si>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</si>
  <si>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</si>
  <si>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</si>
  <si>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</si>
  <si>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</si>
  <si>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</si>
  <si>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</si>
  <si>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</si>
  <si>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</si>
  <si>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</si>
  <si>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</si>
  <si>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</si>
  <si>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</si>
  <si>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</si>
  <si>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</si>
  <si>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</si>
  <si>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</si>
  <si>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</si>
  <si>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</si>
  <si>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</si>
  <si>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</si>
  <si>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</si>
  <si>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</si>
  <si>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</si>
  <si>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</si>
  <si>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</si>
  <si>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</si>
  <si>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</si>
  <si>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</si>
  <si>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</si>
  <si>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</si>
  <si>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</si>
  <si>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</si>
  <si>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</si>
  <si>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</si>
  <si>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</si>
  <si>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</si>
  <si>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</si>
  <si>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</si>
  <si>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</si>
  <si>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</si>
  <si>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</si>
  <si>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</si>
  <si>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</si>
  <si>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</si>
  <si>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</si>
  <si>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</si>
  <si>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</si>
  <si>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</si>
  <si>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</si>
  <si>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</si>
  <si>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</si>
  <si>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</si>
  <si>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</si>
  <si>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</si>
  <si>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</si>
  <si>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</si>
  <si>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</si>
  <si>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</si>
  <si>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</si>
  <si>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</si>
  <si>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</si>
  <si>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</si>
  <si>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</si>
  <si>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</si>
  <si>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</si>
  <si>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</si>
  <si>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</si>
  <si>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</si>
  <si>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</si>
  <si>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</si>
  <si>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</si>
  <si>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</si>
  <si>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</si>
  <si>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</si>
  <si>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</si>
  <si>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</si>
  <si>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</si>
  <si>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</si>
  <si>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</si>
  <si>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</si>
  <si>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</si>
  <si>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</si>
  <si>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</si>
  <si>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</si>
  <si>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</si>
  <si>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</si>
  <si>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</si>
  <si>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</si>
  <si>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</si>
  <si>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</si>
  <si>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</si>
  <si>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</si>
  <si>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</si>
  <si>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</si>
  <si>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</si>
  <si>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</si>
  <si>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</si>
  <si>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</si>
  <si>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</si>
  <si>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</si>
  <si>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</si>
  <si>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</si>
  <si>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</si>
  <si>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</si>
  <si>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</si>
  <si>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</si>
  <si>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</si>
  <si>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</si>
  <si>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</si>
  <si>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</si>
  <si>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</si>
  <si>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</si>
  <si>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</si>
  <si>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</si>
  <si>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</si>
  <si>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</si>
  <si>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</si>
  <si>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</si>
  <si>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</si>
  <si>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</si>
  <si>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</si>
  <si>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</si>
  <si>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</si>
  <si>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</si>
  <si>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</si>
  <si>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</si>
  <si>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</si>
  <si>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</si>
  <si>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</si>
  <si>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</si>
  <si>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</si>
  <si>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</si>
  <si>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</si>
  <si>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</si>
  <si>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</si>
  <si>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</si>
  <si>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</si>
  <si>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</si>
  <si>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</si>
  <si>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</si>
  <si>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</si>
  <si>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</si>
  <si>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</si>
  <si>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</si>
  <si>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</si>
  <si>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</si>
  <si>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</si>
  <si>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</si>
  <si>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</si>
  <si>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</si>
  <si>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</si>
  <si>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</si>
  <si>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</si>
  <si>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</si>
  <si>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</si>
  <si>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</si>
  <si>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</si>
  <si>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</si>
  <si>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</si>
  <si>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</si>
  <si>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不顯示</t>
  </si>
  <si>
    <t>顯示</t>
  </si>
  <si>
    <t>隱藏不常用
會員詳細資訊</t>
  </si>
  <si>
    <t>隱藏不常用
新增會員</t>
  </si>
  <si>
    <t>編輯其它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</si>
</sst>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9" dataDxfId="398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7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6"/>
    <tableColumn id="2" xr3:uid="{C28244F3-482D-4CFC-B629-A29496B98C0B}" name="商品名稱" dataDxfId="395"/>
    <tableColumn id="11" xr3:uid="{71958388-9C14-426E-8457-DCEA92BC0E87}" name="負差" dataDxfId="394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3">
      <calculatedColumnFormula>SUM(UserInfo[1 - 剩餘])</calculatedColumnFormula>
    </tableColumn>
    <tableColumn id="7" xr3:uid="{75829BDD-5513-4744-8184-35AE3788771C}" name="已存入" dataDxfId="392">
      <calculatedColumnFormula>SUM(UserInfo[1 - 存入])</calculatedColumnFormula>
    </tableColumn>
    <tableColumn id="6" xr3:uid="{B71F91EB-0024-4EC1-8035-3636C31B3740}" name="已支取" dataDxfId="391">
      <calculatedColumnFormula>SUM(UserInfo[1 - 支取])</calculatedColumnFormula>
    </tableColumn>
    <tableColumn id="5" xr3:uid="{6E4E3255-2204-43C6-A50C-EEAF08580A14}" name="庫存負差" dataDxfId="390">
      <calculatedColumnFormula>Store_Setting[[#This Row],[入庫小計]]-Store_Setting[[#This Row],[取貨小計]]</calculatedColumnFormula>
    </tableColumn>
    <tableColumn id="9" xr3:uid="{7DA9A308-8441-49E3-B1B4-6AF7A14784F7}" name="入庫小計" dataDxfId="389">
      <calculatedColumnFormula>SUMIFS(Store_History[数量],Store_History[唯一識別碼],Store_Setting[[#This Row],[唯一識別碼]],Store_History[類型],"入庫")</calculatedColumnFormula>
    </tableColumn>
    <tableColumn id="8" xr3:uid="{43D402E1-A683-4B65-923F-EB29ABFA8F93}" name="取貨小計" dataDxfId="388">
      <calculatedColumnFormula>SUMIFS(Store_History[数量],Store_History[唯一識別碼],Store_Setting[[#This Row],[唯一識別碼]],Store_History[類型],"取貨")</calculatedColumnFormula>
    </tableColumn>
    <tableColumn id="16" xr3:uid="{3F02DEB9-F16B-43FA-BF96-315BB2CEB754}" name="隱藏存入" dataDxfId="387"/>
    <tableColumn id="15" xr3:uid="{9D463448-8A1D-4F16-A2B7-AAFCFEF16131}" name="隱藏支取" dataDxfId="386"/>
    <tableColumn id="3" xr3:uid="{D2316CE5-B5AA-4CBA-B2DB-E8C11FDC3253}" name="MemberScope" dataDxfId="385"/>
    <tableColumn id="12" xr3:uid="{A09A1B9C-ACDA-4E8A-9D56-7B63444FD80E}" name="MemberSave" dataDxfId="384"/>
    <tableColumn id="13" xr3:uid="{2BA8B401-7B17-4E22-A566-E8F1CE9A9BC1}" name="MemberEject" dataDxfId="383"/>
    <tableColumn id="14" xr3:uid="{B1E2D5D4-08AA-4729-98AB-9996869986DC}" name="HostoryScope" dataDxfId="382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序號" dataDxfId="377">
      <calculatedColumnFormula array="1">SNGKI</calculatedColumnFormula>
    </tableColumn>
    <tableColumn id="2" xr3:uid="{BE286F67-B0FA-40D9-BDA1-B2CFCEBCEB36}" name="唯一識別碼" dataDxfId="376"/>
    <tableColumn id="4" xr3:uid="{9CF218BF-31BE-437E-9285-7CE338B0180C}" name="類型" dataDxfId="375"/>
    <tableColumn id="38" xr3:uid="{BE6B60B8-5A23-4085-9CC5-0D91831F16B6}" name="数量" dataDxfId="374"/>
    <tableColumn id="9" xr3:uid="{BCC80DB2-EF55-4BCC-9A8B-636F5A0886E8}" name="单位" dataDxfId="373"/>
    <tableColumn id="3" xr3:uid="{CCD860BE-34B0-4F57-8823-4D2C9F7985B4}" name="时间" dataDxfId="372"/>
    <tableColumn id="7" xr3:uid="{38DADDD1-29F3-4A23-B844-9D021C0D5F68}" name="工号" dataDxfId="371"/>
    <tableColumn id="8" xr3:uid="{945E147D-AEC8-4CD6-9889-CC8A2ADA4657}" name="备注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序號" totalsRowLabel="Total" dataDxfId="364" totalsRowDxfId="363">
      <calculatedColumnFormula array="1">SN</calculatedColumnFormula>
    </tableColumn>
    <tableColumn id="5" xr3:uid="{35BA10B8-A444-4F80-8F55-6146540C5A57}" name="唯一識別碼" dataDxfId="362" totalsRowDxfId="361">
      <calculatedColumnFormula array="1">GUID</calculatedColumnFormula>
    </tableColumn>
    <tableColumn id="6" xr3:uid="{8A3791BE-D142-4B77-980F-0E769FF1CE0E}" name="1 - 剩餘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餘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餘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餘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餘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餘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餘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餘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餘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餘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餘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餘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餘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餘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餘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餘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餘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餘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餘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餘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餘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餘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餘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餘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餘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餘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餘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餘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餘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餘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餘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餘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餘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餘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餘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餘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餘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餘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餘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餘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2" xr3:uid="{6838A7E0-670C-4A2D-AF67-326212D8D278}" name="姓氏" dataDxfId="122" totalsRowDxfId="121"/>
    <tableColumn id="25" xr3:uid="{0E0946FC-F3D2-412C-BDE7-636B8FDBFE7C}" name="名字" dataDxfId="120" totalsRowDxfId="119"/>
    <tableColumn id="3" xr3:uid="{E7DD7F6C-DAA7-4B96-9638-5C8F7FEFCC2E}" name="性別" dataDxfId="118" totalsRowDxfId="117"/>
    <tableColumn id="23" xr3:uid="{AABD28F8-91AC-4EA0-915D-2F3C990C193D}" name="身分證號碼" dataDxfId="116" totalsRowDxfId="115"/>
    <tableColumn id="24" xr3:uid="{14505223-157D-4FB0-A334-A4E4687523F8}" name="年齡" dataDxfId="114" totalsRowDxfId="113"/>
    <tableColumn id="4" xr3:uid="{B39F2860-CADF-40CB-832A-CCDE8501D7E3}" name="電話" dataDxfId="112" totalsRowDxfId="111"/>
    <tableColumn id="16" xr3:uid="{6E8928D1-6540-4241-9B8F-BFBC65F8DA26}" name="Email" dataDxfId="110"/>
    <tableColumn id="17" xr3:uid="{5422D38F-7826-4B14-9992-0434FAF52537}" name="家庭住址" dataDxfId="109" totalsRowDxfId="108"/>
    <tableColumn id="13" xr3:uid="{1096126D-9431-4280-89CE-FD45CA05D86A}" name="新增會員時間" dataDxfId="107" totalsRowDxfId="106"/>
    <tableColumn id="22" xr3:uid="{8DAD451D-44A8-40A3-A244-DDF540273F95}" name="工號" dataDxfId="105" totalsRowDxfId="104"/>
    <tableColumn id="12" xr3:uid="{A8D286B9-575E-4C05-8F77-63C322A43E3C}" name="備註" totalsRowFunction="count" dataDxfId="103" totalsRowDxfId="102"/>
    <tableColumn id="137" xr3:uid="{A28FE4E6-E4F7-4285-960E-52FA91B37CDC}" name="已关联" dataDxfId="101" totalsRowDxfId="100">
      <calculatedColumnFormula array="1">History_Total</calculatedColumnFormula>
    </tableColumn>
    <tableColumn id="138" xr3:uid="{721FCAE3-06FB-4515-8BF9-94511832EAAF}" name="已关联存入" dataDxfId="99" totalsRowDxfId="98">
      <calculatedColumnFormula array="1">History_Saved</calculatedColumnFormula>
    </tableColumn>
    <tableColumn id="139" xr3:uid="{48CC7068-15C2-493C-AA4D-C49F4D0BB3AA}" name="已关联支取" dataDxfId="97" totalsRow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號" dataDxfId="91" totalsRowDxfId="90">
      <calculatedColumnFormula array="1">SN</calculatedColumnFormula>
    </tableColumn>
    <tableColumn id="2" xr3:uid="{B2493920-5E1A-4FDC-9855-B9542A099E48}" name="唯一識別碼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類型" dataDxfId="7" totalsRowDxfId="6"/>
    <tableColumn id="3" xr3:uid="{2DB9E3FB-FAB2-4AAE-92D3-3923415905C1}" name="時間" dataDxfId="5" totalsRowDxfId="4"/>
    <tableColumn id="7" xr3:uid="{09F84C56-CC9A-4AF7-B58F-B7114DD50367}" name="工號" dataDxfId="3" totalsRowDxfId="2"/>
    <tableColumn id="8" xr3:uid="{56756BBB-4B3E-40A7-A199-808B905113E1}" name="備註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Welcome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" customHeight="1" x14ac:dyDescent="0.4"/>
    <row r="3" spans="1:16" s="1" customFormat="1" ht="40" customHeight="1" x14ac:dyDescent="0.45">
      <c r="A3" s="72"/>
      <c r="B3" s="72"/>
      <c r="C3" s="72"/>
      <c r="D3" s="136" t="s">
        <v>177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15" customHeight="1" x14ac:dyDescent="0.4">
      <c r="A4" s="72"/>
      <c r="B4" s="72"/>
      <c r="C4" s="72"/>
      <c r="D4" s="137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" customHeight="1" x14ac:dyDescent="0.4">
      <c r="A5" s="72"/>
      <c r="B5" s="72"/>
      <c r="C5" s="72"/>
      <c r="D5" s="138" t="s">
        <v>178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 x14ac:dyDescent="0.4"/>
    <row r="7" spans="1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 x14ac:dyDescent="0.45">
      <c r="B8" s="1"/>
      <c r="C8" s="50"/>
      <c r="D8" s="50" t="s">
        <v>179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 x14ac:dyDescent="0.4">
      <c r="B9" s="1"/>
      <c r="C9" s="1">
        <v>1</v>
      </c>
      <c r="D9" s="46" t="s">
        <v>180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 x14ac:dyDescent="0.4">
      <c r="B10" s="1"/>
      <c r="C10" s="1">
        <v>1</v>
      </c>
      <c r="D10" s="46" t="s">
        <v>181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 x14ac:dyDescent="0.4">
      <c r="B11" s="1"/>
      <c r="C11" s="1">
        <v>1</v>
      </c>
      <c r="D11" s="46" t="s">
        <v>182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 x14ac:dyDescent="0.4">
      <c r="B12" s="1"/>
      <c r="C12" s="1">
        <v>-1</v>
      </c>
      <c r="D12" s="46" t="s">
        <v>183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 x14ac:dyDescent="0.45">
      <c r="B14" s="1"/>
      <c r="C14" s="50"/>
      <c r="D14" s="50" t="s">
        <v>87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 x14ac:dyDescent="0.4">
      <c r="B15" s="1"/>
      <c r="C15" s="1">
        <v>1</v>
      </c>
      <c r="D15" s="1" t="s">
        <v>88</v>
      </c>
      <c r="E15" s="21" t="s">
        <v>184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 x14ac:dyDescent="0.4">
      <c r="B16" s="1"/>
      <c r="C16" s="1"/>
      <c r="D16" s="1"/>
      <c r="E16" s="21" t="s">
        <v>185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 x14ac:dyDescent="0.4">
      <c r="B17" s="1"/>
      <c r="C17" s="1"/>
      <c r="D17" s="1"/>
      <c r="E17" s="21" t="s">
        <v>186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 x14ac:dyDescent="0.4">
      <c r="B19" s="1"/>
      <c r="C19" s="1">
        <v>1</v>
      </c>
      <c r="D19" s="1" t="s">
        <v>192</v>
      </c>
      <c r="E19" s="21" t="s">
        <v>187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 x14ac:dyDescent="0.4">
      <c r="B20" s="1"/>
      <c r="C20" s="1"/>
      <c r="D20" s="1"/>
      <c r="E20" s="21" t="s">
        <v>188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 x14ac:dyDescent="0.4">
      <c r="B21" s="1"/>
      <c r="C21" s="1"/>
      <c r="D21" s="1"/>
      <c r="E21" s="21" t="s">
        <v>189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 x14ac:dyDescent="0.4">
      <c r="B23" s="1"/>
      <c r="C23" s="1">
        <v>1</v>
      </c>
      <c r="D23" s="1" t="s">
        <v>193</v>
      </c>
      <c r="E23" s="21" t="s">
        <v>190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 x14ac:dyDescent="0.4">
      <c r="B24" s="1"/>
      <c r="C24" s="1">
        <v>1</v>
      </c>
      <c r="D24" s="1" t="s">
        <v>194</v>
      </c>
      <c r="E24" s="21" t="s">
        <v>191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 x14ac:dyDescent="0.4">
      <c r="B25" s="1"/>
      <c r="C25" s="1">
        <v>1</v>
      </c>
      <c r="D25" s="1" t="s">
        <v>195</v>
      </c>
      <c r="E25" s="82">
        <v>1</v>
      </c>
      <c r="F25" s="83" t="s">
        <v>196</v>
      </c>
      <c r="G25" s="1"/>
      <c r="H25" s="82">
        <v>1</v>
      </c>
      <c r="I25" s="83" t="s">
        <v>198</v>
      </c>
      <c r="J25" s="1"/>
      <c r="K25" s="1"/>
      <c r="L25" s="1"/>
      <c r="M25" s="1"/>
      <c r="N25" s="1"/>
      <c r="O25" s="1"/>
    </row>
    <row r="26" spans="2:15" ht="35.15" customHeight="1" x14ac:dyDescent="0.4">
      <c r="B26" s="1"/>
      <c r="C26" s="1"/>
      <c r="D26" s="1"/>
      <c r="E26" s="82">
        <v>0</v>
      </c>
      <c r="F26" s="83" t="s">
        <v>57</v>
      </c>
      <c r="G26" s="1"/>
      <c r="H26" s="82">
        <v>-0.01</v>
      </c>
      <c r="I26" s="83" t="s">
        <v>199</v>
      </c>
      <c r="J26" s="1"/>
      <c r="K26" s="1"/>
      <c r="L26" s="1"/>
      <c r="M26" s="1"/>
      <c r="N26" s="1"/>
      <c r="O26" s="1"/>
    </row>
    <row r="27" spans="2:15" ht="35.15" customHeight="1" x14ac:dyDescent="0.4">
      <c r="B27" s="1"/>
      <c r="C27" s="1"/>
      <c r="D27" s="1"/>
      <c r="E27" s="82">
        <v>-0.01</v>
      </c>
      <c r="F27" s="83" t="s">
        <v>197</v>
      </c>
      <c r="G27" s="1"/>
      <c r="H27" s="82"/>
      <c r="I27" s="113"/>
      <c r="J27" s="1"/>
      <c r="K27" s="1"/>
      <c r="L27" s="1"/>
      <c r="M27" s="1"/>
      <c r="N27" s="1"/>
      <c r="O27" s="1"/>
    </row>
    <row r="28" spans="2:15" ht="35.15" customHeight="1" x14ac:dyDescent="0.4">
      <c r="B28" s="1"/>
      <c r="C28" s="1"/>
      <c r="D28" s="1"/>
      <c r="E28" s="82"/>
      <c r="F28" s="83"/>
      <c r="G28" s="1"/>
      <c r="H28" s="82"/>
      <c r="I28" s="113"/>
      <c r="J28" s="1"/>
      <c r="K28" s="1"/>
      <c r="L28" s="1"/>
      <c r="M28" s="1"/>
      <c r="N28" s="1"/>
      <c r="O28" s="1"/>
    </row>
    <row r="29" spans="2:15" ht="35.15" customHeight="1" thickBot="1" x14ac:dyDescent="0.45">
      <c r="B29" s="1"/>
      <c r="C29" s="50">
        <v>1</v>
      </c>
      <c r="D29" s="135" t="s">
        <v>205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 x14ac:dyDescent="0.4">
      <c r="B30" s="1"/>
      <c r="C30" s="1">
        <v>1</v>
      </c>
      <c r="D30" s="1" t="s">
        <v>206</v>
      </c>
      <c r="E30" s="21" t="s">
        <v>200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 x14ac:dyDescent="0.4">
      <c r="B31" s="1"/>
      <c r="C31" s="1"/>
      <c r="D31" s="1"/>
      <c r="E31" s="21" t="s">
        <v>201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 x14ac:dyDescent="0.4">
      <c r="B33" s="1"/>
      <c r="C33" s="1">
        <v>1</v>
      </c>
      <c r="D33" s="1" t="s">
        <v>207</v>
      </c>
      <c r="E33" s="21" t="s">
        <v>202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 x14ac:dyDescent="0.4">
      <c r="B34" s="1"/>
      <c r="C34" s="1"/>
      <c r="D34" s="1"/>
      <c r="E34" s="21" t="s">
        <v>203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 x14ac:dyDescent="0.4">
      <c r="B35" s="1"/>
      <c r="C35" s="1"/>
      <c r="D35" s="1"/>
      <c r="E35" s="21" t="s">
        <v>204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 x14ac:dyDescent="0.4">
      <c r="B37" s="1"/>
      <c r="C37" s="1">
        <v>1</v>
      </c>
      <c r="D37" s="1" t="s">
        <v>218</v>
      </c>
      <c r="E37" s="21" t="s">
        <v>208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 x14ac:dyDescent="0.4">
      <c r="B38" s="1"/>
      <c r="C38" s="1"/>
      <c r="D38" s="1"/>
      <c r="E38" s="21" t="s">
        <v>209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 x14ac:dyDescent="0.4">
      <c r="B40" s="1"/>
      <c r="C40" s="1">
        <v>1</v>
      </c>
      <c r="D40" s="1" t="s">
        <v>175</v>
      </c>
      <c r="E40" s="21" t="s">
        <v>210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 x14ac:dyDescent="0.4">
      <c r="B41" s="1"/>
      <c r="C41" s="1">
        <v>1</v>
      </c>
      <c r="D41" s="1" t="s">
        <v>219</v>
      </c>
      <c r="E41" s="21" t="s">
        <v>211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 x14ac:dyDescent="0.4">
      <c r="B42" s="1"/>
      <c r="C42" s="1">
        <v>1</v>
      </c>
      <c r="D42" s="1" t="s">
        <v>220</v>
      </c>
      <c r="E42" s="21" t="s">
        <v>212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 x14ac:dyDescent="0.4">
      <c r="B43" s="1"/>
      <c r="C43" s="1">
        <v>1</v>
      </c>
      <c r="D43" s="1" t="s">
        <v>174</v>
      </c>
      <c r="E43" s="21" t="s">
        <v>213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 x14ac:dyDescent="0.4">
      <c r="B44" s="1"/>
      <c r="C44" s="1">
        <v>1</v>
      </c>
      <c r="D44" s="1" t="s">
        <v>157</v>
      </c>
      <c r="E44" s="21" t="s">
        <v>214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 x14ac:dyDescent="0.4">
      <c r="B45" s="1"/>
      <c r="C45" s="1">
        <v>1</v>
      </c>
      <c r="D45" s="1" t="s">
        <v>221</v>
      </c>
      <c r="E45" s="21" t="s">
        <v>215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 x14ac:dyDescent="0.4">
      <c r="B46" s="1"/>
      <c r="C46" s="1"/>
      <c r="D46" s="1"/>
      <c r="E46" s="21" t="s">
        <v>216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 x14ac:dyDescent="0.4">
      <c r="B47" s="1"/>
      <c r="C47" s="1"/>
      <c r="D47" s="1"/>
      <c r="E47" s="21" t="s">
        <v>217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 x14ac:dyDescent="0.45">
      <c r="B49" s="1"/>
      <c r="C49" s="50"/>
      <c r="D49" s="51" t="s">
        <v>222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 x14ac:dyDescent="0.4">
      <c r="B50" s="1"/>
      <c r="C50" s="115">
        <v>1</v>
      </c>
      <c r="D50" s="46" t="s">
        <v>223</v>
      </c>
      <c r="E50" s="115"/>
      <c r="F50" s="114"/>
      <c r="G50" s="115"/>
      <c r="H50" s="115"/>
      <c r="I50" s="115"/>
      <c r="J50" s="115"/>
      <c r="K50" s="115"/>
      <c r="L50" s="115"/>
      <c r="M50" s="115"/>
      <c r="N50" s="115"/>
      <c r="O50" s="1"/>
    </row>
    <row r="51" spans="2:15" ht="35.15" customHeight="1" x14ac:dyDescent="0.4">
      <c r="B51" s="1"/>
      <c r="C51" s="115">
        <v>1</v>
      </c>
      <c r="D51" s="46" t="s">
        <v>224</v>
      </c>
      <c r="E51" s="115"/>
      <c r="F51" s="114"/>
      <c r="G51" s="115"/>
      <c r="H51" s="115"/>
      <c r="I51" s="115"/>
      <c r="J51" s="115"/>
      <c r="K51" s="115"/>
      <c r="L51" s="115"/>
      <c r="M51" s="115"/>
      <c r="N51" s="115"/>
      <c r="O51" s="1"/>
    </row>
    <row r="52" spans="2:15" ht="35.15" customHeight="1" x14ac:dyDescent="0.4">
      <c r="B52" s="1"/>
      <c r="C52" s="1">
        <v>0</v>
      </c>
      <c r="D52" s="46" t="s">
        <v>225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 x14ac:dyDescent="0.45">
      <c r="B53" s="1"/>
      <c r="C53" s="1"/>
      <c r="D53" s="53" t="s">
        <v>226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 x14ac:dyDescent="0.45">
      <c r="B56" s="1"/>
      <c r="C56" s="1"/>
      <c r="D56" s="53" t="s">
        <v>156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 x14ac:dyDescent="0.45">
      <c r="B59" s="1"/>
      <c r="C59" s="1"/>
      <c r="D59" s="53" t="s">
        <v>227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 x14ac:dyDescent="0.45">
      <c r="B62" s="1"/>
      <c r="C62" s="1"/>
      <c r="D62" s="53" t="s">
        <v>228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229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 x14ac:dyDescent="0.4">
      <c r="B64" s="1"/>
      <c r="C64" s="1"/>
      <c r="D64" s="47" t="s">
        <v>230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6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34" customFormat="1" ht="6" customHeight="1" x14ac:dyDescent="0.4"/>
    <row r="2" spans="2:19" s="22" customFormat="1" ht="10" customHeight="1" x14ac:dyDescent="0.4"/>
    <row r="3" spans="2:19" s="22" customFormat="1" ht="40" customHeight="1" x14ac:dyDescent="0.45">
      <c r="B3" s="23"/>
      <c r="C3" s="41" t="s">
        <v>206</v>
      </c>
    </row>
    <row r="4" spans="2:19" s="22" customFormat="1" ht="8.15" customHeight="1" x14ac:dyDescent="0.4">
      <c r="B4" s="23"/>
      <c r="C4" s="24"/>
    </row>
    <row r="5" spans="2:19" s="22" customFormat="1" ht="40" customHeight="1" x14ac:dyDescent="0.4">
      <c r="B5" s="23"/>
      <c r="C5" s="42" t="s">
        <v>231</v>
      </c>
    </row>
    <row r="6" spans="2:19" ht="16.5" customHeight="1" x14ac:dyDescent="0.4">
      <c r="G6" s="25"/>
      <c r="H6" s="25"/>
      <c r="I6" s="25"/>
      <c r="J6" s="25"/>
      <c r="K6" s="25"/>
    </row>
    <row r="7" spans="2:19" ht="40" customHeight="1" x14ac:dyDescent="0.4">
      <c r="B7" s="26" t="s">
        <v>9</v>
      </c>
      <c r="C7" s="27" t="s">
        <v>232</v>
      </c>
      <c r="D7" s="121" t="s">
        <v>13</v>
      </c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</row>
    <row r="8" spans="2:19" ht="8.15" customHeight="1" x14ac:dyDescent="0.4"/>
    <row r="9" spans="2:19" ht="40" customHeight="1" x14ac:dyDescent="0.4">
      <c r="B9" s="26" t="s">
        <v>10</v>
      </c>
      <c r="C9" s="27" t="s">
        <v>233</v>
      </c>
      <c r="D9" s="27"/>
      <c r="E9" s="27"/>
      <c r="F9" s="27"/>
      <c r="G9" s="108" t="s">
        <v>242</v>
      </c>
      <c r="H9" s="163" t="s">
        <v>243</v>
      </c>
      <c r="I9" s="163"/>
      <c r="J9" s="163"/>
      <c r="K9" s="164" t="s">
        <v>244</v>
      </c>
      <c r="L9" s="164"/>
      <c r="M9" s="164"/>
      <c r="N9" s="164" t="s">
        <v>477</v>
      </c>
      <c r="O9" s="164"/>
      <c r="P9" s="164" t="s">
        <v>476</v>
      </c>
      <c r="Q9" s="164"/>
      <c r="R9" s="164"/>
      <c r="S9" s="164"/>
    </row>
    <row r="10" spans="2:19" ht="40" customHeight="1" x14ac:dyDescent="0.4">
      <c r="B10" s="26"/>
      <c r="C10" s="27"/>
      <c r="D10" s="28" t="s">
        <v>234</v>
      </c>
      <c r="E10" s="28" t="s">
        <v>235</v>
      </c>
      <c r="F10" s="28" t="s">
        <v>236</v>
      </c>
      <c r="G10" s="109" t="s">
        <v>237</v>
      </c>
      <c r="H10" s="28" t="s">
        <v>238</v>
      </c>
      <c r="I10" s="28" t="s">
        <v>158</v>
      </c>
      <c r="J10" s="28" t="s">
        <v>159</v>
      </c>
      <c r="K10" s="28" t="s">
        <v>239</v>
      </c>
      <c r="L10" s="28" t="s">
        <v>240</v>
      </c>
      <c r="M10" s="28" t="s">
        <v>241</v>
      </c>
      <c r="N10" s="28" t="s">
        <v>479</v>
      </c>
      <c r="O10" s="28" t="s">
        <v>478</v>
      </c>
      <c r="P10" s="162" t="s">
        <v>338</v>
      </c>
      <c r="Q10" s="162" t="s">
        <v>339</v>
      </c>
      <c r="R10" s="162" t="s">
        <v>340</v>
      </c>
      <c r="S10" s="162" t="s">
        <v>341</v>
      </c>
    </row>
    <row r="11" spans="2:19" ht="40" customHeight="1" x14ac:dyDescent="0.4">
      <c r="B11" s="26"/>
      <c r="C11" s="27"/>
      <c r="D11" s="38" t="str">
        <f>CONCATENATE(Store_Setting[[#This Row],[商品序號]], " | ", Store_Setting[[#This Row],[商品名稱]])</f>
        <v>1 | 1</v>
      </c>
      <c r="E11" s="17">
        <v>1</v>
      </c>
      <c r="F11" s="120">
        <v>1</v>
      </c>
      <c r="G11" s="110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Row],[唯一識別碼]],Store_History[類型],"入庫")</f>
        <v>0</v>
      </c>
      <c r="M11" s="18">
        <f>SUMIFS(Store_History[数量],Store_History[唯一識別碼],Store_Setting[[#This Row],[唯一識別碼]],Store_History[類型],"取貨")</f>
        <v>0</v>
      </c>
      <c r="N11" s="19" t="s">
        <v>83</v>
      </c>
      <c r="O11" s="19" t="s">
        <v>83</v>
      </c>
      <c r="P11" s="54" t="s">
        <v>342</v>
      </c>
      <c r="Q11" s="54" t="s">
        <v>343</v>
      </c>
      <c r="R11" s="54" t="s">
        <v>344</v>
      </c>
      <c r="S11" s="54" t="s">
        <v>345</v>
      </c>
    </row>
    <row r="12" spans="2:19" ht="40" customHeight="1" x14ac:dyDescent="0.4">
      <c r="B12" s="26"/>
      <c r="C12" s="27"/>
      <c r="D12" s="38" t="str">
        <f>CONCATENATE(Store_Setting[[#This Row],[商品序號]], " | ", Store_Setting[[#This Row],[商品名稱]])</f>
        <v>2 | 2</v>
      </c>
      <c r="E12" s="17">
        <v>2</v>
      </c>
      <c r="F12" s="120">
        <v>2</v>
      </c>
      <c r="G12" s="110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Row],[唯一識別碼]],Store_History[類型],"入庫")</f>
        <v>0</v>
      </c>
      <c r="M12" s="18">
        <f>SUMIFS(Store_History[数量],Store_History[唯一識別碼],Store_Setting[[#This Row],[唯一識別碼]],Store_History[類型],"取貨")</f>
        <v>0</v>
      </c>
      <c r="N12" s="19" t="s">
        <v>83</v>
      </c>
      <c r="O12" s="19" t="s">
        <v>83</v>
      </c>
      <c r="P12" s="54" t="s">
        <v>346</v>
      </c>
      <c r="Q12" s="54" t="s">
        <v>347</v>
      </c>
      <c r="R12" s="54" t="s">
        <v>348</v>
      </c>
      <c r="S12" s="54" t="s">
        <v>343</v>
      </c>
    </row>
    <row r="13" spans="2:19" ht="40" customHeight="1" x14ac:dyDescent="0.4">
      <c r="B13" s="26"/>
      <c r="C13" s="27"/>
      <c r="D13" s="38" t="str">
        <f>CONCATENATE(Store_Setting[[#This Row],[商品序號]], " | ", Store_Setting[[#This Row],[商品名稱]])</f>
        <v xml:space="preserve">3 | </v>
      </c>
      <c r="E13" s="17">
        <v>3</v>
      </c>
      <c r="F13" s="120"/>
      <c r="G13" s="110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Row],[唯一識別碼]],Store_History[類型],"入庫")</f>
        <v>0</v>
      </c>
      <c r="M13" s="18">
        <f>SUMIFS(Store_History[数量],Store_History[唯一識別碼],Store_Setting[[#This Row],[唯一識別碼]],Store_History[類型],"取貨")</f>
        <v>0</v>
      </c>
      <c r="N13" s="19" t="s">
        <v>83</v>
      </c>
      <c r="O13" s="19" t="s">
        <v>83</v>
      </c>
      <c r="P13" s="54" t="s">
        <v>349</v>
      </c>
      <c r="Q13" s="54" t="s">
        <v>350</v>
      </c>
      <c r="R13" s="54" t="s">
        <v>351</v>
      </c>
      <c r="S13" s="54" t="s">
        <v>344</v>
      </c>
    </row>
    <row r="14" spans="2:19" ht="40" customHeight="1" x14ac:dyDescent="0.4">
      <c r="B14" s="26"/>
      <c r="C14" s="27"/>
      <c r="D14" s="38" t="str">
        <f>CONCATENATE(Store_Setting[[#This Row],[商品序號]], " | ", Store_Setting[[#This Row],[商品名稱]])</f>
        <v xml:space="preserve">4 | </v>
      </c>
      <c r="E14" s="17">
        <v>4</v>
      </c>
      <c r="F14" s="120"/>
      <c r="G14" s="110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Row],[唯一識別碼]],Store_History[類型],"入庫")</f>
        <v>0</v>
      </c>
      <c r="M14" s="18">
        <f>SUMIFS(Store_History[数量],Store_History[唯一識別碼],Store_Setting[[#This Row],[唯一識別碼]],Store_History[類型],"取貨")</f>
        <v>0</v>
      </c>
      <c r="N14" s="19" t="s">
        <v>83</v>
      </c>
      <c r="O14" s="19" t="s">
        <v>83</v>
      </c>
      <c r="P14" s="54" t="s">
        <v>352</v>
      </c>
      <c r="Q14" s="54" t="s">
        <v>353</v>
      </c>
      <c r="R14" s="54" t="s">
        <v>354</v>
      </c>
      <c r="S14" s="54" t="s">
        <v>355</v>
      </c>
    </row>
    <row r="15" spans="2:19" ht="40" customHeight="1" x14ac:dyDescent="0.4">
      <c r="B15" s="26"/>
      <c r="C15" s="27"/>
      <c r="D15" s="38" t="str">
        <f>CONCATENATE(Store_Setting[[#This Row],[商品序號]], " | ", Store_Setting[[#This Row],[商品名稱]])</f>
        <v xml:space="preserve">5 | </v>
      </c>
      <c r="E15" s="17">
        <v>5</v>
      </c>
      <c r="F15" s="120"/>
      <c r="G15" s="110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Row],[唯一識別碼]],Store_History[類型],"入庫")</f>
        <v>0</v>
      </c>
      <c r="M15" s="18">
        <f>SUMIFS(Store_History[数量],Store_History[唯一識別碼],Store_Setting[[#This Row],[唯一識別碼]],Store_History[類型],"取貨")</f>
        <v>0</v>
      </c>
      <c r="N15" s="19" t="s">
        <v>83</v>
      </c>
      <c r="O15" s="19" t="s">
        <v>83</v>
      </c>
      <c r="P15" s="54" t="s">
        <v>356</v>
      </c>
      <c r="Q15" s="54" t="s">
        <v>357</v>
      </c>
      <c r="R15" s="54" t="s">
        <v>358</v>
      </c>
      <c r="S15" s="54" t="s">
        <v>347</v>
      </c>
    </row>
    <row r="16" spans="2:19" ht="40" customHeight="1" x14ac:dyDescent="0.4">
      <c r="B16" s="26"/>
      <c r="C16" s="27"/>
      <c r="D16" s="38" t="str">
        <f>CONCATENATE(Store_Setting[[#This Row],[商品序號]], " | ", Store_Setting[[#This Row],[商品名稱]])</f>
        <v xml:space="preserve">6 | </v>
      </c>
      <c r="E16" s="17">
        <v>6</v>
      </c>
      <c r="F16" s="120"/>
      <c r="G16" s="110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Row],[唯一識別碼]],Store_History[類型],"入庫")</f>
        <v>0</v>
      </c>
      <c r="M16" s="18">
        <f>SUMIFS(Store_History[数量],Store_History[唯一識別碼],Store_Setting[[#This Row],[唯一識別碼]],Store_History[類型],"取貨")</f>
        <v>0</v>
      </c>
      <c r="N16" s="19" t="s">
        <v>83</v>
      </c>
      <c r="O16" s="19" t="s">
        <v>83</v>
      </c>
      <c r="P16" s="54" t="s">
        <v>359</v>
      </c>
      <c r="Q16" s="54" t="s">
        <v>360</v>
      </c>
      <c r="R16" s="54" t="s">
        <v>361</v>
      </c>
      <c r="S16" s="54" t="s">
        <v>348</v>
      </c>
    </row>
    <row r="17" spans="2:19" ht="40" customHeight="1" x14ac:dyDescent="0.4">
      <c r="B17" s="26"/>
      <c r="C17" s="27"/>
      <c r="D17" s="38" t="str">
        <f>CONCATENATE(Store_Setting[[#This Row],[商品序號]], " | ", Store_Setting[[#This Row],[商品名稱]])</f>
        <v xml:space="preserve">7 | </v>
      </c>
      <c r="E17" s="17">
        <v>7</v>
      </c>
      <c r="F17" s="120"/>
      <c r="G17" s="110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Row],[唯一識別碼]],Store_History[類型],"入庫")</f>
        <v>0</v>
      </c>
      <c r="M17" s="18">
        <f>SUMIFS(Store_History[数量],Store_History[唯一識別碼],Store_Setting[[#This Row],[唯一識別碼]],Store_History[類型],"取貨")</f>
        <v>0</v>
      </c>
      <c r="N17" s="19" t="s">
        <v>83</v>
      </c>
      <c r="O17" s="19" t="s">
        <v>83</v>
      </c>
      <c r="P17" s="54" t="s">
        <v>362</v>
      </c>
      <c r="Q17" s="54" t="s">
        <v>363</v>
      </c>
      <c r="R17" s="54" t="s">
        <v>364</v>
      </c>
      <c r="S17" s="54" t="s">
        <v>365</v>
      </c>
    </row>
    <row r="18" spans="2:19" ht="40" customHeight="1" x14ac:dyDescent="0.4">
      <c r="B18" s="26"/>
      <c r="C18" s="27"/>
      <c r="D18" s="38" t="str">
        <f>CONCATENATE(Store_Setting[[#This Row],[商品序號]], " | ", Store_Setting[[#This Row],[商品名稱]])</f>
        <v xml:space="preserve">8 | </v>
      </c>
      <c r="E18" s="17">
        <v>8</v>
      </c>
      <c r="F18" s="120"/>
      <c r="G18" s="110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Row],[唯一識別碼]],Store_History[類型],"入庫")</f>
        <v>0</v>
      </c>
      <c r="M18" s="18">
        <f>SUMIFS(Store_History[数量],Store_History[唯一識別碼],Store_Setting[[#This Row],[唯一識別碼]],Store_History[類型],"取貨")</f>
        <v>0</v>
      </c>
      <c r="N18" s="19" t="s">
        <v>83</v>
      </c>
      <c r="O18" s="19" t="s">
        <v>83</v>
      </c>
      <c r="P18" s="54" t="s">
        <v>366</v>
      </c>
      <c r="Q18" s="54" t="s">
        <v>367</v>
      </c>
      <c r="R18" s="54" t="s">
        <v>368</v>
      </c>
      <c r="S18" s="54" t="s">
        <v>350</v>
      </c>
    </row>
    <row r="19" spans="2:19" ht="40" customHeight="1" x14ac:dyDescent="0.4">
      <c r="B19" s="26"/>
      <c r="C19" s="27"/>
      <c r="D19" s="38" t="str">
        <f>CONCATENATE(Store_Setting[[#This Row],[商品序號]], " | ", Store_Setting[[#This Row],[商品名稱]])</f>
        <v xml:space="preserve">9 | </v>
      </c>
      <c r="E19" s="17">
        <v>9</v>
      </c>
      <c r="F19" s="120"/>
      <c r="G19" s="110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Row],[唯一識別碼]],Store_History[類型],"入庫")</f>
        <v>0</v>
      </c>
      <c r="M19" s="18">
        <f>SUMIFS(Store_History[数量],Store_History[唯一識別碼],Store_Setting[[#This Row],[唯一識別碼]],Store_History[類型],"取貨")</f>
        <v>0</v>
      </c>
      <c r="N19" s="19" t="s">
        <v>83</v>
      </c>
      <c r="O19" s="19" t="s">
        <v>83</v>
      </c>
      <c r="P19" s="54" t="s">
        <v>369</v>
      </c>
      <c r="Q19" s="54" t="s">
        <v>370</v>
      </c>
      <c r="R19" s="54" t="s">
        <v>371</v>
      </c>
      <c r="S19" s="54" t="s">
        <v>351</v>
      </c>
    </row>
    <row r="20" spans="2:19" ht="40" customHeight="1" x14ac:dyDescent="0.4">
      <c r="B20" s="26"/>
      <c r="C20" s="27"/>
      <c r="D20" s="38" t="str">
        <f>CONCATENATE(Store_Setting[[#This Row],[商品序號]], " | ", Store_Setting[[#This Row],[商品名稱]])</f>
        <v xml:space="preserve">10 | </v>
      </c>
      <c r="E20" s="17">
        <v>10</v>
      </c>
      <c r="F20" s="120"/>
      <c r="G20" s="110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Row],[唯一識別碼]],Store_History[類型],"入庫")</f>
        <v>0</v>
      </c>
      <c r="M20" s="18">
        <f>SUMIFS(Store_History[数量],Store_History[唯一識別碼],Store_Setting[[#This Row],[唯一識別碼]],Store_History[類型],"取貨")</f>
        <v>0</v>
      </c>
      <c r="N20" s="19" t="s">
        <v>83</v>
      </c>
      <c r="O20" s="19" t="s">
        <v>83</v>
      </c>
      <c r="P20" s="54" t="s">
        <v>372</v>
      </c>
      <c r="Q20" s="54" t="s">
        <v>373</v>
      </c>
      <c r="R20" s="54" t="s">
        <v>374</v>
      </c>
      <c r="S20" s="54" t="s">
        <v>375</v>
      </c>
    </row>
    <row r="21" spans="2:19" ht="40" customHeight="1" x14ac:dyDescent="0.4">
      <c r="B21" s="26"/>
      <c r="C21" s="27"/>
      <c r="D21" s="38" t="str">
        <f>CONCATENATE(Store_Setting[[#This Row],[商品序號]], " | ", Store_Setting[[#This Row],[商品名稱]])</f>
        <v xml:space="preserve">11 | </v>
      </c>
      <c r="E21" s="17">
        <v>11</v>
      </c>
      <c r="F21" s="120"/>
      <c r="G21" s="110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Row],[唯一識別碼]],Store_History[類型],"入庫")</f>
        <v>0</v>
      </c>
      <c r="M21" s="18">
        <f>SUMIFS(Store_History[数量],Store_History[唯一識別碼],Store_Setting[[#This Row],[唯一識別碼]],Store_History[類型],"取貨")</f>
        <v>0</v>
      </c>
      <c r="N21" s="19" t="s">
        <v>83</v>
      </c>
      <c r="O21" s="19" t="s">
        <v>83</v>
      </c>
      <c r="P21" s="54" t="s">
        <v>376</v>
      </c>
      <c r="Q21" s="54" t="s">
        <v>377</v>
      </c>
      <c r="R21" s="54" t="s">
        <v>378</v>
      </c>
      <c r="S21" s="54" t="s">
        <v>353</v>
      </c>
    </row>
    <row r="22" spans="2:19" ht="40" customHeight="1" x14ac:dyDescent="0.4">
      <c r="B22" s="26"/>
      <c r="C22" s="27"/>
      <c r="D22" s="38" t="str">
        <f>CONCATENATE(Store_Setting[[#This Row],[商品序號]], " | ", Store_Setting[[#This Row],[商品名稱]])</f>
        <v xml:space="preserve">12 | </v>
      </c>
      <c r="E22" s="17">
        <v>12</v>
      </c>
      <c r="F22" s="120"/>
      <c r="G22" s="110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Row],[唯一識別碼]],Store_History[類型],"入庫")</f>
        <v>0</v>
      </c>
      <c r="M22" s="18">
        <f>SUMIFS(Store_History[数量],Store_History[唯一識別碼],Store_Setting[[#This Row],[唯一識別碼]],Store_History[類型],"取貨")</f>
        <v>0</v>
      </c>
      <c r="N22" s="19" t="s">
        <v>83</v>
      </c>
      <c r="O22" s="19" t="s">
        <v>83</v>
      </c>
      <c r="P22" s="54" t="s">
        <v>379</v>
      </c>
      <c r="Q22" s="54" t="s">
        <v>380</v>
      </c>
      <c r="R22" s="54" t="s">
        <v>381</v>
      </c>
      <c r="S22" s="54" t="s">
        <v>354</v>
      </c>
    </row>
    <row r="23" spans="2:19" ht="40" customHeight="1" x14ac:dyDescent="0.4">
      <c r="B23" s="26"/>
      <c r="C23" s="27"/>
      <c r="D23" s="38" t="str">
        <f>CONCATENATE(Store_Setting[[#This Row],[商品序號]], " | ", Store_Setting[[#This Row],[商品名稱]])</f>
        <v xml:space="preserve">13 | </v>
      </c>
      <c r="E23" s="17">
        <v>13</v>
      </c>
      <c r="F23" s="120"/>
      <c r="G23" s="110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Row],[唯一識別碼]],Store_History[類型],"入庫")</f>
        <v>0</v>
      </c>
      <c r="M23" s="18">
        <f>SUMIFS(Store_History[数量],Store_History[唯一識別碼],Store_Setting[[#This Row],[唯一識別碼]],Store_History[類型],"取貨")</f>
        <v>0</v>
      </c>
      <c r="N23" s="19" t="s">
        <v>83</v>
      </c>
      <c r="O23" s="19" t="s">
        <v>83</v>
      </c>
      <c r="P23" s="54" t="s">
        <v>382</v>
      </c>
      <c r="Q23" s="54" t="s">
        <v>383</v>
      </c>
      <c r="R23" s="54" t="s">
        <v>384</v>
      </c>
      <c r="S23" s="54" t="s">
        <v>385</v>
      </c>
    </row>
    <row r="24" spans="2:19" ht="40" customHeight="1" x14ac:dyDescent="0.4">
      <c r="B24" s="26"/>
      <c r="C24" s="27"/>
      <c r="D24" s="38" t="str">
        <f>CONCATENATE(Store_Setting[[#This Row],[商品序號]], " | ", Store_Setting[[#This Row],[商品名稱]])</f>
        <v xml:space="preserve">14 | </v>
      </c>
      <c r="E24" s="17">
        <v>14</v>
      </c>
      <c r="F24" s="120"/>
      <c r="G24" s="110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Row],[唯一識別碼]],Store_History[類型],"入庫")</f>
        <v>0</v>
      </c>
      <c r="M24" s="18">
        <f>SUMIFS(Store_History[数量],Store_History[唯一識別碼],Store_Setting[[#This Row],[唯一識別碼]],Store_History[類型],"取貨")</f>
        <v>0</v>
      </c>
      <c r="N24" s="19" t="s">
        <v>83</v>
      </c>
      <c r="O24" s="19" t="s">
        <v>83</v>
      </c>
      <c r="P24" s="54" t="s">
        <v>386</v>
      </c>
      <c r="Q24" s="54" t="s">
        <v>387</v>
      </c>
      <c r="R24" s="54" t="s">
        <v>388</v>
      </c>
      <c r="S24" s="54" t="s">
        <v>357</v>
      </c>
    </row>
    <row r="25" spans="2:19" ht="40" customHeight="1" x14ac:dyDescent="0.4">
      <c r="B25" s="26"/>
      <c r="C25" s="27"/>
      <c r="D25" s="38" t="str">
        <f>CONCATENATE(Store_Setting[[#This Row],[商品序號]], " | ", Store_Setting[[#This Row],[商品名稱]])</f>
        <v xml:space="preserve">15 | </v>
      </c>
      <c r="E25" s="17">
        <v>15</v>
      </c>
      <c r="F25" s="120"/>
      <c r="G25" s="110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Row],[唯一識別碼]],Store_History[類型],"入庫")</f>
        <v>0</v>
      </c>
      <c r="M25" s="18">
        <f>SUMIFS(Store_History[数量],Store_History[唯一識別碼],Store_Setting[[#This Row],[唯一識別碼]],Store_History[類型],"取貨")</f>
        <v>0</v>
      </c>
      <c r="N25" s="19" t="s">
        <v>83</v>
      </c>
      <c r="O25" s="19" t="s">
        <v>83</v>
      </c>
      <c r="P25" s="54" t="s">
        <v>389</v>
      </c>
      <c r="Q25" s="54" t="s">
        <v>390</v>
      </c>
      <c r="R25" s="54" t="s">
        <v>391</v>
      </c>
      <c r="S25" s="54" t="s">
        <v>358</v>
      </c>
    </row>
    <row r="26" spans="2:19" ht="40" customHeight="1" x14ac:dyDescent="0.4">
      <c r="B26" s="26"/>
      <c r="C26" s="27"/>
      <c r="D26" s="38" t="str">
        <f>CONCATENATE(Store_Setting[[#This Row],[商品序號]], " | ", Store_Setting[[#This Row],[商品名稱]])</f>
        <v xml:space="preserve">16 | </v>
      </c>
      <c r="E26" s="17">
        <v>16</v>
      </c>
      <c r="F26" s="120"/>
      <c r="G26" s="110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Row],[唯一識別碼]],Store_History[類型],"入庫")</f>
        <v>0</v>
      </c>
      <c r="M26" s="18">
        <f>SUMIFS(Store_History[数量],Store_History[唯一識別碼],Store_Setting[[#This Row],[唯一識別碼]],Store_History[類型],"取貨")</f>
        <v>0</v>
      </c>
      <c r="N26" s="19" t="s">
        <v>83</v>
      </c>
      <c r="O26" s="19" t="s">
        <v>83</v>
      </c>
      <c r="P26" s="54" t="s">
        <v>392</v>
      </c>
      <c r="Q26" s="54" t="s">
        <v>393</v>
      </c>
      <c r="R26" s="54" t="s">
        <v>394</v>
      </c>
      <c r="S26" s="54" t="s">
        <v>395</v>
      </c>
    </row>
    <row r="27" spans="2:19" ht="40" customHeight="1" x14ac:dyDescent="0.4">
      <c r="B27" s="26"/>
      <c r="C27" s="27"/>
      <c r="D27" s="38" t="str">
        <f>CONCATENATE(Store_Setting[[#This Row],[商品序號]], " | ", Store_Setting[[#This Row],[商品名稱]])</f>
        <v xml:space="preserve">17 | </v>
      </c>
      <c r="E27" s="17">
        <v>17</v>
      </c>
      <c r="F27" s="120"/>
      <c r="G27" s="110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Row],[唯一識別碼]],Store_History[類型],"入庫")</f>
        <v>0</v>
      </c>
      <c r="M27" s="18">
        <f>SUMIFS(Store_History[数量],Store_History[唯一識別碼],Store_Setting[[#This Row],[唯一識別碼]],Store_History[類型],"取貨")</f>
        <v>0</v>
      </c>
      <c r="N27" s="19" t="s">
        <v>83</v>
      </c>
      <c r="O27" s="19" t="s">
        <v>83</v>
      </c>
      <c r="P27" s="54" t="s">
        <v>396</v>
      </c>
      <c r="Q27" s="54" t="s">
        <v>397</v>
      </c>
      <c r="R27" s="54" t="s">
        <v>398</v>
      </c>
      <c r="S27" s="54" t="s">
        <v>360</v>
      </c>
    </row>
    <row r="28" spans="2:19" ht="40" customHeight="1" x14ac:dyDescent="0.4">
      <c r="B28" s="26"/>
      <c r="C28" s="27"/>
      <c r="D28" s="38" t="str">
        <f>CONCATENATE(Store_Setting[[#This Row],[商品序號]], " | ", Store_Setting[[#This Row],[商品名稱]])</f>
        <v xml:space="preserve">18 | </v>
      </c>
      <c r="E28" s="17">
        <v>18</v>
      </c>
      <c r="F28" s="120"/>
      <c r="G28" s="110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Row],[唯一識別碼]],Store_History[類型],"入庫")</f>
        <v>0</v>
      </c>
      <c r="M28" s="18">
        <f>SUMIFS(Store_History[数量],Store_History[唯一識別碼],Store_Setting[[#This Row],[唯一識別碼]],Store_History[類型],"取貨")</f>
        <v>0</v>
      </c>
      <c r="N28" s="19" t="s">
        <v>83</v>
      </c>
      <c r="O28" s="19" t="s">
        <v>83</v>
      </c>
      <c r="P28" s="54" t="s">
        <v>399</v>
      </c>
      <c r="Q28" s="54" t="s">
        <v>400</v>
      </c>
      <c r="R28" s="54" t="s">
        <v>401</v>
      </c>
      <c r="S28" s="54" t="s">
        <v>361</v>
      </c>
    </row>
    <row r="29" spans="2:19" ht="40" customHeight="1" x14ac:dyDescent="0.4">
      <c r="B29" s="26"/>
      <c r="C29" s="27"/>
      <c r="D29" s="38" t="str">
        <f>CONCATENATE(Store_Setting[[#This Row],[商品序號]], " | ", Store_Setting[[#This Row],[商品名稱]])</f>
        <v xml:space="preserve">19 | </v>
      </c>
      <c r="E29" s="17">
        <v>19</v>
      </c>
      <c r="F29" s="120"/>
      <c r="G29" s="110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Row],[唯一識別碼]],Store_History[類型],"入庫")</f>
        <v>0</v>
      </c>
      <c r="M29" s="18">
        <f>SUMIFS(Store_History[数量],Store_History[唯一識別碼],Store_Setting[[#This Row],[唯一識別碼]],Store_History[類型],"取貨")</f>
        <v>0</v>
      </c>
      <c r="N29" s="19" t="s">
        <v>83</v>
      </c>
      <c r="O29" s="19" t="s">
        <v>83</v>
      </c>
      <c r="P29" s="54" t="s">
        <v>402</v>
      </c>
      <c r="Q29" s="54" t="s">
        <v>403</v>
      </c>
      <c r="R29" s="54" t="s">
        <v>404</v>
      </c>
      <c r="S29" s="54" t="s">
        <v>405</v>
      </c>
    </row>
    <row r="30" spans="2:19" ht="40" customHeight="1" x14ac:dyDescent="0.4">
      <c r="B30" s="26"/>
      <c r="C30" s="27"/>
      <c r="D30" s="38" t="str">
        <f>CONCATENATE(Store_Setting[[#This Row],[商品序號]], " | ", Store_Setting[[#This Row],[商品名稱]])</f>
        <v xml:space="preserve">20 | </v>
      </c>
      <c r="E30" s="17">
        <v>20</v>
      </c>
      <c r="F30" s="120"/>
      <c r="G30" s="110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Row],[唯一識別碼]],Store_History[類型],"入庫")</f>
        <v>0</v>
      </c>
      <c r="M30" s="18">
        <f>SUMIFS(Store_History[数量],Store_History[唯一識別碼],Store_Setting[[#This Row],[唯一識別碼]],Store_History[類型],"取貨")</f>
        <v>0</v>
      </c>
      <c r="N30" s="19" t="s">
        <v>83</v>
      </c>
      <c r="O30" s="19" t="s">
        <v>83</v>
      </c>
      <c r="P30" s="54" t="s">
        <v>406</v>
      </c>
      <c r="Q30" s="54" t="s">
        <v>407</v>
      </c>
      <c r="R30" s="54" t="s">
        <v>408</v>
      </c>
      <c r="S30" s="54" t="s">
        <v>363</v>
      </c>
    </row>
    <row r="31" spans="2:19" ht="40" customHeight="1" x14ac:dyDescent="0.4">
      <c r="B31" s="26"/>
      <c r="C31" s="27"/>
      <c r="D31" s="38" t="str">
        <f>CONCATENATE(Store_Setting[[#This Row],[商品序號]], " | ", Store_Setting[[#This Row],[商品名稱]])</f>
        <v xml:space="preserve">21 | </v>
      </c>
      <c r="E31" s="17">
        <v>21</v>
      </c>
      <c r="F31" s="120"/>
      <c r="G31" s="110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Row],[唯一識別碼]],Store_History[類型],"入庫")</f>
        <v>0</v>
      </c>
      <c r="M31" s="18">
        <f>SUMIFS(Store_History[数量],Store_History[唯一識別碼],Store_Setting[[#This Row],[唯一識別碼]],Store_History[類型],"取貨")</f>
        <v>0</v>
      </c>
      <c r="N31" s="19" t="s">
        <v>83</v>
      </c>
      <c r="O31" s="19" t="s">
        <v>83</v>
      </c>
      <c r="P31" s="54" t="s">
        <v>409</v>
      </c>
      <c r="Q31" s="54" t="s">
        <v>410</v>
      </c>
      <c r="R31" s="54" t="s">
        <v>411</v>
      </c>
      <c r="S31" s="54" t="s">
        <v>364</v>
      </c>
    </row>
    <row r="32" spans="2:19" ht="40" customHeight="1" x14ac:dyDescent="0.4">
      <c r="B32" s="26"/>
      <c r="C32" s="27"/>
      <c r="D32" s="38" t="str">
        <f>CONCATENATE(Store_Setting[[#This Row],[商品序號]], " | ", Store_Setting[[#This Row],[商品名稱]])</f>
        <v xml:space="preserve">22 | </v>
      </c>
      <c r="E32" s="17">
        <v>22</v>
      </c>
      <c r="F32" s="120"/>
      <c r="G32" s="110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Row],[唯一識別碼]],Store_History[類型],"入庫")</f>
        <v>0</v>
      </c>
      <c r="M32" s="18">
        <f>SUMIFS(Store_History[数量],Store_History[唯一識別碼],Store_Setting[[#This Row],[唯一識別碼]],Store_History[類型],"取貨")</f>
        <v>0</v>
      </c>
      <c r="N32" s="19" t="s">
        <v>83</v>
      </c>
      <c r="O32" s="19" t="s">
        <v>83</v>
      </c>
      <c r="P32" s="54" t="s">
        <v>412</v>
      </c>
      <c r="Q32" s="54" t="s">
        <v>413</v>
      </c>
      <c r="R32" s="54" t="s">
        <v>414</v>
      </c>
      <c r="S32" s="54" t="s">
        <v>415</v>
      </c>
    </row>
    <row r="33" spans="2:19" ht="40" customHeight="1" x14ac:dyDescent="0.4">
      <c r="B33" s="26"/>
      <c r="C33" s="27"/>
      <c r="D33" s="38" t="str">
        <f>CONCATENATE(Store_Setting[[#This Row],[商品序號]], " | ", Store_Setting[[#This Row],[商品名稱]])</f>
        <v xml:space="preserve">23 | </v>
      </c>
      <c r="E33" s="17">
        <v>23</v>
      </c>
      <c r="F33" s="120"/>
      <c r="G33" s="110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Row],[唯一識別碼]],Store_History[類型],"入庫")</f>
        <v>0</v>
      </c>
      <c r="M33" s="18">
        <f>SUMIFS(Store_History[数量],Store_History[唯一識別碼],Store_Setting[[#This Row],[唯一識別碼]],Store_History[類型],"取貨")</f>
        <v>0</v>
      </c>
      <c r="N33" s="19" t="s">
        <v>83</v>
      </c>
      <c r="O33" s="19" t="s">
        <v>83</v>
      </c>
      <c r="P33" s="54" t="s">
        <v>416</v>
      </c>
      <c r="Q33" s="54" t="s">
        <v>417</v>
      </c>
      <c r="R33" s="54" t="s">
        <v>418</v>
      </c>
      <c r="S33" s="54" t="s">
        <v>367</v>
      </c>
    </row>
    <row r="34" spans="2:19" ht="40" customHeight="1" x14ac:dyDescent="0.4">
      <c r="B34" s="26"/>
      <c r="C34" s="27"/>
      <c r="D34" s="38" t="str">
        <f>CONCATENATE(Store_Setting[[#This Row],[商品序號]], " | ", Store_Setting[[#This Row],[商品名稱]])</f>
        <v xml:space="preserve">24 | </v>
      </c>
      <c r="E34" s="17">
        <v>24</v>
      </c>
      <c r="F34" s="120"/>
      <c r="G34" s="110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Row],[唯一識別碼]],Store_History[類型],"入庫")</f>
        <v>0</v>
      </c>
      <c r="M34" s="18">
        <f>SUMIFS(Store_History[数量],Store_History[唯一識別碼],Store_Setting[[#This Row],[唯一識別碼]],Store_History[類型],"取貨")</f>
        <v>0</v>
      </c>
      <c r="N34" s="19" t="s">
        <v>83</v>
      </c>
      <c r="O34" s="19" t="s">
        <v>83</v>
      </c>
      <c r="P34" s="54" t="s">
        <v>419</v>
      </c>
      <c r="Q34" s="54" t="s">
        <v>420</v>
      </c>
      <c r="R34" s="54" t="s">
        <v>421</v>
      </c>
      <c r="S34" s="54" t="s">
        <v>368</v>
      </c>
    </row>
    <row r="35" spans="2:19" ht="40" customHeight="1" x14ac:dyDescent="0.4">
      <c r="B35" s="26"/>
      <c r="C35" s="27"/>
      <c r="D35" s="38" t="str">
        <f>CONCATENATE(Store_Setting[[#This Row],[商品序號]], " | ", Store_Setting[[#This Row],[商品名稱]])</f>
        <v xml:space="preserve">25 | </v>
      </c>
      <c r="E35" s="17">
        <v>25</v>
      </c>
      <c r="F35" s="120"/>
      <c r="G35" s="110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Row],[唯一識別碼]],Store_History[類型],"入庫")</f>
        <v>0</v>
      </c>
      <c r="M35" s="18">
        <f>SUMIFS(Store_History[数量],Store_History[唯一識別碼],Store_Setting[[#This Row],[唯一識別碼]],Store_History[類型],"取貨")</f>
        <v>0</v>
      </c>
      <c r="N35" s="19" t="s">
        <v>83</v>
      </c>
      <c r="O35" s="19" t="s">
        <v>83</v>
      </c>
      <c r="P35" s="54" t="s">
        <v>422</v>
      </c>
      <c r="Q35" s="54" t="s">
        <v>423</v>
      </c>
      <c r="R35" s="54" t="s">
        <v>424</v>
      </c>
      <c r="S35" s="54" t="s">
        <v>425</v>
      </c>
    </row>
    <row r="36" spans="2:19" ht="40" customHeight="1" x14ac:dyDescent="0.4">
      <c r="B36" s="26"/>
      <c r="C36" s="27"/>
      <c r="D36" s="38" t="str">
        <f>CONCATENATE(Store_Setting[[#This Row],[商品序號]], " | ", Store_Setting[[#This Row],[商品名稱]])</f>
        <v xml:space="preserve">26 | </v>
      </c>
      <c r="E36" s="17">
        <v>26</v>
      </c>
      <c r="F36" s="120"/>
      <c r="G36" s="110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Row],[唯一識別碼]],Store_History[類型],"入庫")</f>
        <v>0</v>
      </c>
      <c r="M36" s="18">
        <f>SUMIFS(Store_History[数量],Store_History[唯一識別碼],Store_Setting[[#This Row],[唯一識別碼]],Store_History[類型],"取貨")</f>
        <v>0</v>
      </c>
      <c r="N36" s="19" t="s">
        <v>83</v>
      </c>
      <c r="O36" s="19" t="s">
        <v>83</v>
      </c>
      <c r="P36" s="54" t="s">
        <v>426</v>
      </c>
      <c r="Q36" s="54" t="s">
        <v>427</v>
      </c>
      <c r="R36" s="54" t="s">
        <v>428</v>
      </c>
      <c r="S36" s="54" t="s">
        <v>370</v>
      </c>
    </row>
    <row r="37" spans="2:19" ht="40" customHeight="1" x14ac:dyDescent="0.4">
      <c r="B37" s="26"/>
      <c r="C37" s="27"/>
      <c r="D37" s="38" t="str">
        <f>CONCATENATE(Store_Setting[[#This Row],[商品序號]], " | ", Store_Setting[[#This Row],[商品名稱]])</f>
        <v xml:space="preserve">27 | </v>
      </c>
      <c r="E37" s="17">
        <v>27</v>
      </c>
      <c r="F37" s="120"/>
      <c r="G37" s="110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Row],[唯一識別碼]],Store_History[類型],"入庫")</f>
        <v>0</v>
      </c>
      <c r="M37" s="18">
        <f>SUMIFS(Store_History[数量],Store_History[唯一識別碼],Store_Setting[[#This Row],[唯一識別碼]],Store_History[類型],"取貨")</f>
        <v>0</v>
      </c>
      <c r="N37" s="19" t="s">
        <v>83</v>
      </c>
      <c r="O37" s="19" t="s">
        <v>83</v>
      </c>
      <c r="P37" s="54" t="s">
        <v>429</v>
      </c>
      <c r="Q37" s="54" t="s">
        <v>430</v>
      </c>
      <c r="R37" s="54" t="s">
        <v>431</v>
      </c>
      <c r="S37" s="54" t="s">
        <v>371</v>
      </c>
    </row>
    <row r="38" spans="2:19" ht="40" customHeight="1" x14ac:dyDescent="0.4">
      <c r="B38" s="26"/>
      <c r="C38" s="27"/>
      <c r="D38" s="38" t="str">
        <f>CONCATENATE(Store_Setting[[#This Row],[商品序號]], " | ", Store_Setting[[#This Row],[商品名稱]])</f>
        <v xml:space="preserve">28 | </v>
      </c>
      <c r="E38" s="17">
        <v>28</v>
      </c>
      <c r="F38" s="120"/>
      <c r="G38" s="110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Row],[唯一識別碼]],Store_History[類型],"入庫")</f>
        <v>0</v>
      </c>
      <c r="M38" s="18">
        <f>SUMIFS(Store_History[数量],Store_History[唯一識別碼],Store_Setting[[#This Row],[唯一識別碼]],Store_History[類型],"取貨")</f>
        <v>0</v>
      </c>
      <c r="N38" s="19" t="s">
        <v>83</v>
      </c>
      <c r="O38" s="19" t="s">
        <v>83</v>
      </c>
      <c r="P38" s="54" t="s">
        <v>432</v>
      </c>
      <c r="Q38" s="54" t="s">
        <v>433</v>
      </c>
      <c r="R38" s="54" t="s">
        <v>434</v>
      </c>
      <c r="S38" s="54" t="s">
        <v>435</v>
      </c>
    </row>
    <row r="39" spans="2:19" ht="40" customHeight="1" x14ac:dyDescent="0.4">
      <c r="B39" s="26"/>
      <c r="C39" s="27"/>
      <c r="D39" s="38" t="str">
        <f>CONCATENATE(Store_Setting[[#This Row],[商品序號]], " | ", Store_Setting[[#This Row],[商品名稱]])</f>
        <v xml:space="preserve">29 | </v>
      </c>
      <c r="E39" s="17">
        <v>29</v>
      </c>
      <c r="F39" s="120"/>
      <c r="G39" s="110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Row],[唯一識別碼]],Store_History[類型],"入庫")</f>
        <v>0</v>
      </c>
      <c r="M39" s="18">
        <f>SUMIFS(Store_History[数量],Store_History[唯一識別碼],Store_Setting[[#This Row],[唯一識別碼]],Store_History[類型],"取貨")</f>
        <v>0</v>
      </c>
      <c r="N39" s="19" t="s">
        <v>83</v>
      </c>
      <c r="O39" s="19" t="s">
        <v>83</v>
      </c>
      <c r="P39" s="54" t="s">
        <v>436</v>
      </c>
      <c r="Q39" s="54" t="s">
        <v>437</v>
      </c>
      <c r="R39" s="54" t="s">
        <v>438</v>
      </c>
      <c r="S39" s="54" t="s">
        <v>373</v>
      </c>
    </row>
    <row r="40" spans="2:19" ht="40" customHeight="1" x14ac:dyDescent="0.4">
      <c r="B40" s="26"/>
      <c r="C40" s="27"/>
      <c r="D40" s="38" t="str">
        <f>CONCATENATE(Store_Setting[[#This Row],[商品序號]], " | ", Store_Setting[[#This Row],[商品名稱]])</f>
        <v xml:space="preserve">30 | </v>
      </c>
      <c r="E40" s="17">
        <v>30</v>
      </c>
      <c r="F40" s="120"/>
      <c r="G40" s="110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Row],[唯一識別碼]],Store_History[類型],"入庫")</f>
        <v>0</v>
      </c>
      <c r="M40" s="18">
        <f>SUMIFS(Store_History[数量],Store_History[唯一識別碼],Store_Setting[[#This Row],[唯一識別碼]],Store_History[類型],"取貨")</f>
        <v>0</v>
      </c>
      <c r="N40" s="19" t="s">
        <v>83</v>
      </c>
      <c r="O40" s="19" t="s">
        <v>83</v>
      </c>
      <c r="P40" s="54" t="s">
        <v>439</v>
      </c>
      <c r="Q40" s="54" t="s">
        <v>440</v>
      </c>
      <c r="R40" s="54" t="s">
        <v>441</v>
      </c>
      <c r="S40" s="54" t="s">
        <v>374</v>
      </c>
    </row>
    <row r="41" spans="2:19" ht="40" customHeight="1" x14ac:dyDescent="0.4">
      <c r="B41" s="26"/>
      <c r="C41" s="27"/>
      <c r="D41" s="38" t="str">
        <f>CONCATENATE(Store_Setting[[#This Row],[商品序號]], " | ", Store_Setting[[#This Row],[商品名稱]])</f>
        <v xml:space="preserve">31 | </v>
      </c>
      <c r="E41" s="17">
        <v>31</v>
      </c>
      <c r="F41" s="120"/>
      <c r="G41" s="110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Row],[唯一識別碼]],Store_History[類型],"入庫")</f>
        <v>0</v>
      </c>
      <c r="M41" s="18">
        <f>SUMIFS(Store_History[数量],Store_History[唯一識別碼],Store_Setting[[#This Row],[唯一識別碼]],Store_History[類型],"取貨")</f>
        <v>0</v>
      </c>
      <c r="N41" s="19" t="s">
        <v>83</v>
      </c>
      <c r="O41" s="19" t="s">
        <v>83</v>
      </c>
      <c r="P41" s="54" t="s">
        <v>442</v>
      </c>
      <c r="Q41" s="54" t="s">
        <v>443</v>
      </c>
      <c r="R41" s="54" t="s">
        <v>444</v>
      </c>
      <c r="S41" s="54" t="s">
        <v>445</v>
      </c>
    </row>
    <row r="42" spans="2:19" ht="40" customHeight="1" x14ac:dyDescent="0.4">
      <c r="B42" s="26"/>
      <c r="C42" s="27"/>
      <c r="D42" s="38" t="str">
        <f>CONCATENATE(Store_Setting[[#This Row],[商品序號]], " | ", Store_Setting[[#This Row],[商品名稱]])</f>
        <v xml:space="preserve">32 | </v>
      </c>
      <c r="E42" s="17">
        <v>32</v>
      </c>
      <c r="F42" s="120"/>
      <c r="G42" s="110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Row],[唯一識別碼]],Store_History[類型],"入庫")</f>
        <v>0</v>
      </c>
      <c r="M42" s="18">
        <f>SUMIFS(Store_History[数量],Store_History[唯一識別碼],Store_Setting[[#This Row],[唯一識別碼]],Store_History[類型],"取貨")</f>
        <v>0</v>
      </c>
      <c r="N42" s="19" t="s">
        <v>83</v>
      </c>
      <c r="O42" s="19" t="s">
        <v>83</v>
      </c>
      <c r="P42" s="54" t="s">
        <v>446</v>
      </c>
      <c r="Q42" s="54" t="s">
        <v>447</v>
      </c>
      <c r="R42" s="54" t="s">
        <v>448</v>
      </c>
      <c r="S42" s="54" t="s">
        <v>377</v>
      </c>
    </row>
    <row r="43" spans="2:19" ht="40" customHeight="1" x14ac:dyDescent="0.4">
      <c r="B43" s="26"/>
      <c r="C43" s="27"/>
      <c r="D43" s="38" t="str">
        <f>CONCATENATE(Store_Setting[[#This Row],[商品序號]], " | ", Store_Setting[[#This Row],[商品名稱]])</f>
        <v xml:space="preserve">33 | </v>
      </c>
      <c r="E43" s="17">
        <v>33</v>
      </c>
      <c r="F43" s="120"/>
      <c r="G43" s="110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Row],[唯一識別碼]],Store_History[類型],"入庫")</f>
        <v>0</v>
      </c>
      <c r="M43" s="18">
        <f>SUMIFS(Store_History[数量],Store_History[唯一識別碼],Store_Setting[[#This Row],[唯一識別碼]],Store_History[類型],"取貨")</f>
        <v>0</v>
      </c>
      <c r="N43" s="19" t="s">
        <v>83</v>
      </c>
      <c r="O43" s="19" t="s">
        <v>83</v>
      </c>
      <c r="P43" s="54" t="s">
        <v>449</v>
      </c>
      <c r="Q43" s="54" t="s">
        <v>450</v>
      </c>
      <c r="R43" s="54" t="s">
        <v>451</v>
      </c>
      <c r="S43" s="54" t="s">
        <v>378</v>
      </c>
    </row>
    <row r="44" spans="2:19" ht="40" customHeight="1" x14ac:dyDescent="0.4">
      <c r="B44" s="26"/>
      <c r="C44" s="27"/>
      <c r="D44" s="38" t="str">
        <f>CONCATENATE(Store_Setting[[#This Row],[商品序號]], " | ", Store_Setting[[#This Row],[商品名稱]])</f>
        <v xml:space="preserve">34 | </v>
      </c>
      <c r="E44" s="17">
        <v>34</v>
      </c>
      <c r="F44" s="120"/>
      <c r="G44" s="110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Row],[唯一識別碼]],Store_History[類型],"入庫")</f>
        <v>0</v>
      </c>
      <c r="M44" s="18">
        <f>SUMIFS(Store_History[数量],Store_History[唯一識別碼],Store_Setting[[#This Row],[唯一識別碼]],Store_History[類型],"取貨")</f>
        <v>0</v>
      </c>
      <c r="N44" s="19" t="s">
        <v>83</v>
      </c>
      <c r="O44" s="19" t="s">
        <v>83</v>
      </c>
      <c r="P44" s="54" t="s">
        <v>452</v>
      </c>
      <c r="Q44" s="54" t="s">
        <v>453</v>
      </c>
      <c r="R44" s="54" t="s">
        <v>454</v>
      </c>
      <c r="S44" s="54" t="s">
        <v>455</v>
      </c>
    </row>
    <row r="45" spans="2:19" ht="40" customHeight="1" x14ac:dyDescent="0.4">
      <c r="B45" s="26"/>
      <c r="C45" s="27"/>
      <c r="D45" s="38" t="str">
        <f>CONCATENATE(Store_Setting[[#This Row],[商品序號]], " | ", Store_Setting[[#This Row],[商品名稱]])</f>
        <v xml:space="preserve">35 | </v>
      </c>
      <c r="E45" s="17">
        <v>35</v>
      </c>
      <c r="F45" s="120"/>
      <c r="G45" s="110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Row],[唯一識別碼]],Store_History[類型],"入庫")</f>
        <v>0</v>
      </c>
      <c r="M45" s="18">
        <f>SUMIFS(Store_History[数量],Store_History[唯一識別碼],Store_Setting[[#This Row],[唯一識別碼]],Store_History[類型],"取貨")</f>
        <v>0</v>
      </c>
      <c r="N45" s="19" t="s">
        <v>83</v>
      </c>
      <c r="O45" s="19" t="s">
        <v>83</v>
      </c>
      <c r="P45" s="54" t="s">
        <v>456</v>
      </c>
      <c r="Q45" s="54" t="s">
        <v>457</v>
      </c>
      <c r="R45" s="54" t="s">
        <v>458</v>
      </c>
      <c r="S45" s="54" t="s">
        <v>380</v>
      </c>
    </row>
    <row r="46" spans="2:19" ht="40" customHeight="1" x14ac:dyDescent="0.4">
      <c r="B46" s="26"/>
      <c r="C46" s="27"/>
      <c r="D46" s="38" t="str">
        <f>CONCATENATE(Store_Setting[[#This Row],[商品序號]], " | ", Store_Setting[[#This Row],[商品名稱]])</f>
        <v xml:space="preserve">36 | </v>
      </c>
      <c r="E46" s="17">
        <v>36</v>
      </c>
      <c r="F46" s="120"/>
      <c r="G46" s="110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Row],[唯一識別碼]],Store_History[類型],"入庫")</f>
        <v>0</v>
      </c>
      <c r="M46" s="18">
        <f>SUMIFS(Store_History[数量],Store_History[唯一識別碼],Store_Setting[[#This Row],[唯一識別碼]],Store_History[類型],"取貨")</f>
        <v>0</v>
      </c>
      <c r="N46" s="19" t="s">
        <v>83</v>
      </c>
      <c r="O46" s="19" t="s">
        <v>83</v>
      </c>
      <c r="P46" s="54" t="s">
        <v>459</v>
      </c>
      <c r="Q46" s="54" t="s">
        <v>460</v>
      </c>
      <c r="R46" s="54" t="s">
        <v>461</v>
      </c>
      <c r="S46" s="54" t="s">
        <v>381</v>
      </c>
    </row>
    <row r="47" spans="2:19" ht="40" customHeight="1" x14ac:dyDescent="0.4">
      <c r="B47" s="26"/>
      <c r="C47" s="27"/>
      <c r="D47" s="38" t="str">
        <f>CONCATENATE(Store_Setting[[#This Row],[商品序號]], " | ", Store_Setting[[#This Row],[商品名稱]])</f>
        <v xml:space="preserve">37 | </v>
      </c>
      <c r="E47" s="17">
        <v>37</v>
      </c>
      <c r="F47" s="120"/>
      <c r="G47" s="110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Row],[唯一識別碼]],Store_History[類型],"入庫")</f>
        <v>0</v>
      </c>
      <c r="M47" s="18">
        <f>SUMIFS(Store_History[数量],Store_History[唯一識別碼],Store_Setting[[#This Row],[唯一識別碼]],Store_History[類型],"取貨")</f>
        <v>0</v>
      </c>
      <c r="N47" s="19" t="s">
        <v>83</v>
      </c>
      <c r="O47" s="19" t="s">
        <v>83</v>
      </c>
      <c r="P47" s="54" t="s">
        <v>462</v>
      </c>
      <c r="Q47" s="54" t="s">
        <v>463</v>
      </c>
      <c r="R47" s="54" t="s">
        <v>464</v>
      </c>
      <c r="S47" s="54" t="s">
        <v>465</v>
      </c>
    </row>
    <row r="48" spans="2:19" ht="40" customHeight="1" x14ac:dyDescent="0.4">
      <c r="B48" s="26"/>
      <c r="C48" s="27"/>
      <c r="D48" s="38" t="str">
        <f>CONCATENATE(Store_Setting[[#This Row],[商品序號]], " | ", Store_Setting[[#This Row],[商品名稱]])</f>
        <v xml:space="preserve">38 | </v>
      </c>
      <c r="E48" s="17">
        <v>38</v>
      </c>
      <c r="F48" s="120"/>
      <c r="G48" s="110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Row],[唯一識別碼]],Store_History[類型],"入庫")</f>
        <v>0</v>
      </c>
      <c r="M48" s="18">
        <f>SUMIFS(Store_History[数量],Store_History[唯一識別碼],Store_Setting[[#This Row],[唯一識別碼]],Store_History[類型],"取貨")</f>
        <v>0</v>
      </c>
      <c r="N48" s="19" t="s">
        <v>83</v>
      </c>
      <c r="O48" s="19" t="s">
        <v>83</v>
      </c>
      <c r="P48" s="54" t="s">
        <v>466</v>
      </c>
      <c r="Q48" s="54" t="s">
        <v>467</v>
      </c>
      <c r="R48" s="54" t="s">
        <v>468</v>
      </c>
      <c r="S48" s="54" t="s">
        <v>383</v>
      </c>
    </row>
    <row r="49" spans="2:19" ht="40" customHeight="1" x14ac:dyDescent="0.4">
      <c r="B49" s="26"/>
      <c r="C49" s="27"/>
      <c r="D49" s="38" t="str">
        <f>CONCATENATE(Store_Setting[[#This Row],[商品序號]], " | ", Store_Setting[[#This Row],[商品名稱]])</f>
        <v xml:space="preserve">39 | </v>
      </c>
      <c r="E49" s="17">
        <v>39</v>
      </c>
      <c r="F49" s="120"/>
      <c r="G49" s="110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Row],[唯一識別碼]],Store_History[類型],"入庫")</f>
        <v>0</v>
      </c>
      <c r="M49" s="18">
        <f>SUMIFS(Store_History[数量],Store_History[唯一識別碼],Store_Setting[[#This Row],[唯一識別碼]],Store_History[類型],"取貨")</f>
        <v>0</v>
      </c>
      <c r="N49" s="19" t="s">
        <v>83</v>
      </c>
      <c r="O49" s="19" t="s">
        <v>83</v>
      </c>
      <c r="P49" s="54" t="s">
        <v>469</v>
      </c>
      <c r="Q49" s="54" t="s">
        <v>470</v>
      </c>
      <c r="R49" s="54" t="s">
        <v>471</v>
      </c>
      <c r="S49" s="54" t="s">
        <v>384</v>
      </c>
    </row>
    <row r="50" spans="2:19" ht="40" customHeight="1" x14ac:dyDescent="0.4">
      <c r="B50" s="26"/>
      <c r="C50" s="27"/>
      <c r="D50" s="38" t="str">
        <f>CONCATENATE(Store_Setting[[#This Row],[商品序號]], " | ", Store_Setting[[#This Row],[商品名稱]])</f>
        <v xml:space="preserve">40 | </v>
      </c>
      <c r="E50" s="17">
        <v>40</v>
      </c>
      <c r="F50" s="120"/>
      <c r="G50" s="110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Row],[唯一識別碼]],Store_History[類型],"入庫")</f>
        <v>0</v>
      </c>
      <c r="M50" s="18">
        <f>SUMIFS(Store_History[数量],Store_History[唯一識別碼],Store_Setting[[#This Row],[唯一識別碼]],Store_History[類型],"取貨")</f>
        <v>0</v>
      </c>
      <c r="N50" s="19" t="s">
        <v>83</v>
      </c>
      <c r="O50" s="19" t="s">
        <v>83</v>
      </c>
      <c r="P50" s="54" t="s">
        <v>472</v>
      </c>
      <c r="Q50" s="54" t="s">
        <v>473</v>
      </c>
      <c r="R50" s="54" t="s">
        <v>474</v>
      </c>
      <c r="S50" s="54" t="s">
        <v>475</v>
      </c>
    </row>
    <row r="51" spans="2:19" ht="8.15" customHeight="1" x14ac:dyDescent="0.4">
      <c r="G51" s="60"/>
    </row>
    <row r="52" spans="2:19" ht="40" customHeight="1" x14ac:dyDescent="0.4">
      <c r="B52" s="26" t="s">
        <v>11</v>
      </c>
      <c r="C52" s="27" t="s">
        <v>245</v>
      </c>
      <c r="D52" s="122" t="s">
        <v>169</v>
      </c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</row>
    <row r="53" spans="2:19" ht="40" customHeight="1" x14ac:dyDescent="0.4">
      <c r="B53" s="26"/>
      <c r="C53" s="27" t="s">
        <v>246</v>
      </c>
      <c r="D53" s="123" t="s">
        <v>263</v>
      </c>
      <c r="E53" s="123" t="s">
        <v>169</v>
      </c>
      <c r="F53" s="123"/>
      <c r="G53" s="124"/>
      <c r="H53" s="124"/>
      <c r="I53" s="124"/>
      <c r="J53" s="124"/>
      <c r="K53" s="124"/>
      <c r="L53" s="124"/>
      <c r="M53" s="124"/>
      <c r="N53" s="124"/>
      <c r="O53" s="124"/>
    </row>
    <row r="54" spans="2:19" ht="40" customHeight="1" x14ac:dyDescent="0.4">
      <c r="B54" s="26"/>
      <c r="C54" s="27" t="s">
        <v>247</v>
      </c>
      <c r="D54" s="123"/>
      <c r="E54" s="123"/>
      <c r="F54" s="123"/>
      <c r="G54" s="124"/>
      <c r="H54" s="124"/>
      <c r="I54" s="124"/>
      <c r="J54" s="124"/>
      <c r="K54" s="124"/>
      <c r="L54" s="124"/>
      <c r="M54" s="124"/>
      <c r="N54" s="124"/>
      <c r="O54" s="124"/>
    </row>
    <row r="55" spans="2:19" ht="8.15" customHeight="1" x14ac:dyDescent="0.4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</row>
    <row r="56" spans="2:19" ht="40" customHeight="1" x14ac:dyDescent="0.4">
      <c r="B56" s="26" t="s">
        <v>12</v>
      </c>
      <c r="C56" s="27" t="s">
        <v>258</v>
      </c>
      <c r="D56" s="29" t="s">
        <v>19</v>
      </c>
      <c r="E56" s="12" t="s">
        <v>260</v>
      </c>
      <c r="F56" s="12" t="s">
        <v>261</v>
      </c>
      <c r="G56" s="30" t="s">
        <v>262</v>
      </c>
      <c r="H56" s="30" t="s">
        <v>15</v>
      </c>
      <c r="I56" s="30" t="s">
        <v>16</v>
      </c>
      <c r="J56" s="30" t="s">
        <v>481</v>
      </c>
      <c r="K56" s="30" t="s">
        <v>482</v>
      </c>
      <c r="L56" s="30" t="s">
        <v>269</v>
      </c>
      <c r="M56" s="149"/>
      <c r="N56" s="149"/>
      <c r="O56" s="149"/>
    </row>
    <row r="57" spans="2:19" ht="40" customHeight="1" x14ac:dyDescent="0.4">
      <c r="B57" s="26"/>
      <c r="C57" s="27"/>
      <c r="D57" s="65" t="s">
        <v>83</v>
      </c>
      <c r="E57" s="65" t="s">
        <v>84</v>
      </c>
      <c r="F57" s="65" t="s">
        <v>84</v>
      </c>
      <c r="G57" s="65" t="s">
        <v>84</v>
      </c>
      <c r="H57" s="65" t="s">
        <v>84</v>
      </c>
      <c r="I57" s="65" t="s">
        <v>84</v>
      </c>
      <c r="J57" s="149"/>
      <c r="K57" s="149"/>
      <c r="L57" s="149"/>
      <c r="M57" s="149"/>
      <c r="N57" s="149"/>
      <c r="O57" s="149"/>
    </row>
    <row r="58" spans="2:19" ht="40" customHeight="1" x14ac:dyDescent="0.4">
      <c r="B58" s="26"/>
      <c r="C58" s="71" t="s">
        <v>486</v>
      </c>
      <c r="D58" s="65" t="s">
        <v>485</v>
      </c>
      <c r="E58" s="65" t="s">
        <v>485</v>
      </c>
      <c r="F58" s="65" t="s">
        <v>484</v>
      </c>
      <c r="G58" s="65" t="s">
        <v>485</v>
      </c>
      <c r="H58" s="65" t="s">
        <v>484</v>
      </c>
      <c r="I58" s="65" t="s">
        <v>484</v>
      </c>
      <c r="J58" s="65" t="s">
        <v>484</v>
      </c>
      <c r="K58" s="65" t="s">
        <v>484</v>
      </c>
      <c r="L58" s="65" t="s">
        <v>485</v>
      </c>
      <c r="M58" s="154" t="s">
        <v>483</v>
      </c>
      <c r="N58" s="149"/>
      <c r="O58" s="149"/>
    </row>
    <row r="59" spans="2:19" ht="40" customHeight="1" x14ac:dyDescent="0.4">
      <c r="B59" s="26"/>
      <c r="C59" s="71" t="s">
        <v>487</v>
      </c>
      <c r="D59" s="65" t="s">
        <v>485</v>
      </c>
      <c r="E59" s="65" t="s">
        <v>485</v>
      </c>
      <c r="F59" s="65" t="s">
        <v>485</v>
      </c>
      <c r="G59" s="65" t="s">
        <v>485</v>
      </c>
      <c r="H59" s="65" t="s">
        <v>485</v>
      </c>
      <c r="I59" s="65" t="s">
        <v>485</v>
      </c>
      <c r="J59" s="154"/>
      <c r="K59" s="65" t="s">
        <v>485</v>
      </c>
      <c r="L59" s="65" t="s">
        <v>485</v>
      </c>
      <c r="M59" s="154"/>
      <c r="N59" s="149"/>
      <c r="O59" s="149"/>
    </row>
    <row r="60" spans="2:19" ht="40" customHeight="1" x14ac:dyDescent="0.4">
      <c r="B60" s="26"/>
      <c r="C60" s="71" t="s">
        <v>259</v>
      </c>
      <c r="D60" s="65" t="s">
        <v>84</v>
      </c>
      <c r="E60" s="150" t="s">
        <v>257</v>
      </c>
      <c r="F60" s="149"/>
      <c r="G60" s="149"/>
      <c r="H60" s="149"/>
      <c r="I60" s="149"/>
      <c r="J60" s="149"/>
      <c r="K60" s="149"/>
      <c r="L60" s="149"/>
      <c r="M60" s="149"/>
      <c r="N60" s="149"/>
      <c r="O60" s="149"/>
    </row>
    <row r="61" spans="2:19" ht="40" customHeight="1" x14ac:dyDescent="0.4">
      <c r="B61" s="26"/>
      <c r="C61" s="71" t="s">
        <v>326</v>
      </c>
      <c r="D61" s="65" t="s">
        <v>83</v>
      </c>
      <c r="E61" s="150" t="s">
        <v>325</v>
      </c>
      <c r="F61" s="149"/>
      <c r="G61" s="149"/>
      <c r="H61" s="149"/>
      <c r="I61" s="149"/>
      <c r="J61" s="149"/>
      <c r="K61" s="149"/>
      <c r="L61" s="149"/>
      <c r="M61" s="149"/>
      <c r="N61" s="149"/>
      <c r="O61" s="149"/>
    </row>
    <row r="62" spans="2:19" ht="40" customHeight="1" x14ac:dyDescent="0.4">
      <c r="B62" s="26"/>
      <c r="C62" s="71" t="s">
        <v>327</v>
      </c>
      <c r="D62" s="65" t="s">
        <v>83</v>
      </c>
      <c r="E62" s="150" t="s">
        <v>324</v>
      </c>
      <c r="F62" s="149"/>
      <c r="G62" s="149"/>
      <c r="H62" s="149"/>
      <c r="I62" s="149"/>
      <c r="J62" s="149"/>
      <c r="K62" s="149"/>
      <c r="L62" s="149"/>
      <c r="M62" s="149"/>
      <c r="N62" s="149"/>
      <c r="O62" s="149"/>
    </row>
    <row r="63" spans="2:19" ht="8.15" customHeight="1" x14ac:dyDescent="0.4">
      <c r="B63" s="106"/>
      <c r="D63" s="107"/>
      <c r="E63" s="107"/>
      <c r="F63" s="107"/>
      <c r="G63" s="107"/>
      <c r="H63" s="107"/>
      <c r="I63" s="107"/>
      <c r="J63" s="107"/>
      <c r="K63" s="107"/>
      <c r="L63" s="107"/>
      <c r="M63" s="107"/>
    </row>
    <row r="64" spans="2:19" ht="40" customHeight="1" x14ac:dyDescent="0.4">
      <c r="B64" s="26" t="s">
        <v>17</v>
      </c>
      <c r="C64" s="27" t="s">
        <v>249</v>
      </c>
      <c r="D64" s="122" t="s">
        <v>152</v>
      </c>
      <c r="E64" s="122" t="s">
        <v>255</v>
      </c>
      <c r="F64" s="122" t="s">
        <v>153</v>
      </c>
      <c r="G64" s="122" t="s">
        <v>161</v>
      </c>
      <c r="H64" s="122" t="s">
        <v>162</v>
      </c>
      <c r="I64" s="122" t="s">
        <v>163</v>
      </c>
      <c r="J64" s="122" t="s">
        <v>164</v>
      </c>
      <c r="K64" s="122"/>
      <c r="L64" s="122"/>
      <c r="M64" s="122"/>
      <c r="N64" s="122"/>
      <c r="O64" s="122"/>
    </row>
    <row r="65" spans="2:15" ht="40" customHeight="1" x14ac:dyDescent="0.4">
      <c r="B65" s="26"/>
      <c r="C65" s="71" t="s">
        <v>328</v>
      </c>
      <c r="D65" s="65" t="s">
        <v>83</v>
      </c>
      <c r="E65" s="150" t="s">
        <v>256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40" customHeight="1" x14ac:dyDescent="0.4">
      <c r="B66" s="26"/>
      <c r="C66" s="71" t="s">
        <v>329</v>
      </c>
      <c r="D66" s="65" t="s">
        <v>83</v>
      </c>
      <c r="E66" s="150" t="s">
        <v>323</v>
      </c>
      <c r="F66" s="27"/>
      <c r="G66" s="27"/>
      <c r="H66" s="27"/>
      <c r="I66" s="27"/>
      <c r="J66" s="27"/>
      <c r="K66" s="27"/>
      <c r="L66" s="27"/>
      <c r="M66" s="27"/>
      <c r="N66" s="27"/>
      <c r="O66" s="27"/>
    </row>
    <row r="67" spans="2:15" ht="40" customHeight="1" x14ac:dyDescent="0.4">
      <c r="B67" s="26"/>
      <c r="C67" s="71" t="s">
        <v>330</v>
      </c>
      <c r="D67" s="65" t="s">
        <v>83</v>
      </c>
      <c r="E67" s="150" t="s">
        <v>322</v>
      </c>
      <c r="F67" s="27"/>
      <c r="G67" s="27"/>
      <c r="H67" s="27"/>
      <c r="I67" s="27"/>
      <c r="J67" s="27"/>
      <c r="K67" s="27"/>
      <c r="L67" s="27"/>
      <c r="M67" s="27"/>
      <c r="N67" s="27"/>
      <c r="O67" s="27"/>
    </row>
    <row r="68" spans="2:15" ht="8.15" customHeight="1" x14ac:dyDescent="0.4"/>
    <row r="69" spans="2:15" ht="40" customHeight="1" x14ac:dyDescent="0.4">
      <c r="B69" s="139" t="s">
        <v>149</v>
      </c>
      <c r="C69" s="27" t="s">
        <v>2</v>
      </c>
      <c r="D69" s="147" t="s">
        <v>5</v>
      </c>
      <c r="E69" s="147" t="s">
        <v>6</v>
      </c>
      <c r="F69" s="148"/>
      <c r="G69" s="148"/>
      <c r="H69" s="148"/>
      <c r="I69" s="148"/>
      <c r="J69" s="148"/>
      <c r="K69" s="148"/>
      <c r="L69" s="148"/>
      <c r="M69" s="148"/>
      <c r="N69" s="148"/>
      <c r="O69" s="148"/>
    </row>
    <row r="70" spans="2:15" ht="8.15" customHeight="1" x14ac:dyDescent="0.4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</row>
    <row r="71" spans="2:15" ht="40" customHeight="1" x14ac:dyDescent="0.4">
      <c r="B71" s="139" t="s">
        <v>160</v>
      </c>
      <c r="C71" s="27" t="s">
        <v>176</v>
      </c>
      <c r="D71" s="147" t="s">
        <v>250</v>
      </c>
      <c r="E71" s="147" t="s">
        <v>251</v>
      </c>
      <c r="F71" s="148"/>
      <c r="G71" s="148"/>
      <c r="H71" s="148"/>
      <c r="I71" s="148"/>
      <c r="J71" s="148"/>
      <c r="K71" s="148"/>
      <c r="L71" s="148"/>
      <c r="M71" s="148"/>
      <c r="N71" s="148"/>
      <c r="O71" s="148"/>
    </row>
    <row r="72" spans="2:15" ht="8.15" customHeight="1" x14ac:dyDescent="0.4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</row>
    <row r="73" spans="2:15" ht="40" customHeight="1" x14ac:dyDescent="0.4">
      <c r="B73" s="139" t="s">
        <v>166</v>
      </c>
      <c r="C73" s="27" t="s">
        <v>0</v>
      </c>
      <c r="D73" s="147" t="s">
        <v>7</v>
      </c>
      <c r="E73" s="147" t="s">
        <v>8</v>
      </c>
      <c r="F73" s="148"/>
      <c r="G73" s="148"/>
      <c r="H73" s="148"/>
      <c r="I73" s="148"/>
      <c r="J73" s="148"/>
      <c r="K73" s="148"/>
      <c r="L73" s="148"/>
      <c r="M73" s="148"/>
      <c r="N73" s="148"/>
      <c r="O73" s="148"/>
    </row>
    <row r="74" spans="2:15" ht="8.15" customHeight="1" x14ac:dyDescent="0.4">
      <c r="B74" s="106"/>
      <c r="D74" s="107"/>
      <c r="E74" s="107"/>
      <c r="F74" s="107"/>
      <c r="G74" s="107"/>
      <c r="H74" s="107"/>
      <c r="I74" s="107"/>
      <c r="J74" s="107"/>
      <c r="K74" s="107"/>
      <c r="L74" s="107"/>
      <c r="M74" s="107"/>
      <c r="N74" s="107"/>
      <c r="O74" s="107"/>
    </row>
    <row r="75" spans="2:15" ht="40" customHeight="1" x14ac:dyDescent="0.4">
      <c r="B75" s="139" t="s">
        <v>242</v>
      </c>
      <c r="C75" s="153" t="s">
        <v>193</v>
      </c>
      <c r="D75" s="154" t="str">
        <f>_xlfn.CONCAT("共有 ", COUNT(UserInfo[序號]), " 人", "，男佔 ", COUNTIF(UserInfo[性別],"男")," 人", "，女佔 ", COUNTIF(UserInfo[性別],"女")," 人")</f>
        <v>共有 2 人，男佔 1 人，女佔 1 人</v>
      </c>
      <c r="E75" s="149"/>
      <c r="F75" s="27"/>
      <c r="G75" s="27"/>
      <c r="H75" s="27"/>
      <c r="I75" s="27"/>
      <c r="J75" s="27"/>
      <c r="K75" s="27"/>
      <c r="L75" s="27"/>
      <c r="M75" s="27"/>
      <c r="N75" s="27"/>
      <c r="O75" s="27"/>
    </row>
    <row r="76" spans="2:15" ht="40" customHeight="1" x14ac:dyDescent="0.4">
      <c r="B76" s="139"/>
      <c r="C76" s="153" t="s">
        <v>248</v>
      </c>
      <c r="D76" s="154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6" s="149"/>
      <c r="F76" s="27"/>
      <c r="G76" s="27"/>
      <c r="H76" s="27"/>
      <c r="I76" s="27"/>
      <c r="J76" s="27"/>
      <c r="K76" s="27"/>
      <c r="L76" s="27"/>
      <c r="M76" s="27"/>
      <c r="N76" s="27"/>
      <c r="O76" s="27"/>
    </row>
    <row r="77" spans="2:15" ht="40" customHeight="1" x14ac:dyDescent="0.4">
      <c r="B77" s="139"/>
      <c r="C77" s="153" t="s">
        <v>218</v>
      </c>
      <c r="D77" s="154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77" s="149"/>
      <c r="F77" s="27"/>
      <c r="G77" s="155"/>
      <c r="H77" s="27"/>
      <c r="I77" s="27"/>
      <c r="J77" s="27"/>
      <c r="K77" s="27"/>
      <c r="L77" s="27"/>
      <c r="M77" s="27"/>
      <c r="N77" s="27"/>
      <c r="O77" s="27"/>
    </row>
    <row r="78" spans="2:15" ht="40" customHeight="1" x14ac:dyDescent="0.4">
      <c r="B78" s="139"/>
      <c r="C78" s="153" t="s">
        <v>194</v>
      </c>
      <c r="D78" s="154" t="str">
        <f>_xlfn.CONCAT("共有 ", COUNTA(Get_Staff_Member)," 位元員工")</f>
        <v>共有 2 位元員工</v>
      </c>
      <c r="E78" s="149"/>
      <c r="F78" s="27"/>
      <c r="G78" s="27"/>
      <c r="H78" s="27"/>
      <c r="I78" s="27"/>
      <c r="J78" s="27"/>
      <c r="K78" s="27"/>
      <c r="L78" s="27"/>
      <c r="M78" s="27"/>
      <c r="N78" s="27"/>
      <c r="O78" s="27"/>
    </row>
    <row r="79" spans="2:15" ht="40" customHeight="1" x14ac:dyDescent="0.4">
      <c r="B79" s="139"/>
      <c r="C79" s="153" t="s">
        <v>249</v>
      </c>
      <c r="D79" s="154" t="str">
        <f>_xlfn.CONCAT("已設定 ", COUNTA(Get_Work_Unit)," 個單位")</f>
        <v>已設定 7 個單位</v>
      </c>
      <c r="E79" s="149"/>
      <c r="F79" s="27"/>
      <c r="G79" s="27"/>
      <c r="H79" s="27"/>
      <c r="I79" s="27"/>
      <c r="J79" s="27"/>
      <c r="K79" s="27"/>
      <c r="L79" s="27"/>
      <c r="M79" s="27"/>
      <c r="N79" s="27"/>
      <c r="O79" s="27"/>
    </row>
    <row r="80" spans="2:15" ht="16" customHeight="1" x14ac:dyDescent="0.4"/>
    <row r="81" spans="2:5" ht="40" customHeight="1" x14ac:dyDescent="0.4">
      <c r="B81" s="44" t="s">
        <v>254</v>
      </c>
      <c r="C81" s="44"/>
      <c r="D81" s="44"/>
      <c r="E81" s="44"/>
    </row>
    <row r="82" spans="2:5" ht="40" customHeight="1" x14ac:dyDescent="0.4">
      <c r="B82" s="31" t="s">
        <v>252</v>
      </c>
      <c r="C82" s="36" t="s">
        <v>86</v>
      </c>
      <c r="D82" s="45"/>
      <c r="E82" s="45"/>
    </row>
    <row r="83" spans="2:5" ht="40" customHeight="1" x14ac:dyDescent="0.4">
      <c r="B83" s="31" t="s">
        <v>14</v>
      </c>
      <c r="C83" s="40" t="s">
        <v>13</v>
      </c>
      <c r="D83" s="43"/>
      <c r="E83" s="43"/>
    </row>
    <row r="84" spans="2:5" ht="40" customHeight="1" x14ac:dyDescent="0.4">
      <c r="B84" s="31" t="s">
        <v>253</v>
      </c>
      <c r="C84" s="36" t="s">
        <v>85</v>
      </c>
      <c r="D84" s="45"/>
      <c r="E84" s="45"/>
    </row>
    <row r="85" spans="2:5" ht="40" customHeight="1" x14ac:dyDescent="0.4">
      <c r="B85" s="31" t="s">
        <v>82</v>
      </c>
      <c r="C85" s="36" t="s">
        <v>480</v>
      </c>
      <c r="D85" s="36"/>
      <c r="E85" s="36"/>
    </row>
    <row r="86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1" priority="2">
      <formula>MOD(ROW(),2)=1</formula>
    </cfRule>
    <cfRule type="expression" dxfId="400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2 D65:D67 N11:O50 D57:I57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4" r:id="rId1" xr:uid="{4E14B09B-F407-4922-ABB2-323A16485ECB}"/>
    <hyperlink ref="C8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26" customWidth="1"/>
    <col min="3" max="3" width="14.69140625" style="126" customWidth="1"/>
    <col min="4" max="4" width="15.69140625" style="126" customWidth="1"/>
    <col min="5" max="5" width="44.69140625" style="126" customWidth="1"/>
    <col min="6" max="6" width="5.69140625" style="127" customWidth="1"/>
    <col min="7" max="8" width="2.69140625" style="126" customWidth="1"/>
    <col min="9" max="16384" width="9.15234375" style="126" hidden="1"/>
  </cols>
  <sheetData>
    <row r="1" spans="1:8" s="151" customFormat="1" ht="6" customHeight="1" x14ac:dyDescent="0.4">
      <c r="F1" s="152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78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79"/>
      <c r="G4" s="1"/>
    </row>
    <row r="5" spans="1:8" ht="35.15" customHeight="1" x14ac:dyDescent="0.4">
      <c r="B5" s="1"/>
      <c r="C5" s="9" t="s">
        <v>264</v>
      </c>
      <c r="D5" s="8"/>
      <c r="E5" s="10"/>
      <c r="F5" s="80"/>
      <c r="G5" s="1"/>
    </row>
    <row r="6" spans="1:8" ht="14.15" customHeight="1" x14ac:dyDescent="0.4">
      <c r="B6" s="1"/>
      <c r="C6" s="1"/>
      <c r="D6" s="1"/>
      <c r="E6" s="1"/>
      <c r="F6" s="79"/>
      <c r="G6" s="1"/>
    </row>
    <row r="7" spans="1:8" ht="35.15" customHeight="1" x14ac:dyDescent="0.4">
      <c r="B7" s="1"/>
      <c r="C7" s="1" t="s">
        <v>233</v>
      </c>
      <c r="D7" s="11" t="s">
        <v>234</v>
      </c>
      <c r="E7" s="34"/>
      <c r="F7" s="111">
        <v>-1</v>
      </c>
      <c r="G7" s="60"/>
    </row>
    <row r="8" spans="1:8" ht="35.15" customHeight="1" x14ac:dyDescent="0.4">
      <c r="B8" s="1"/>
      <c r="C8" s="1"/>
      <c r="D8" s="35" t="s">
        <v>271</v>
      </c>
      <c r="E8" s="32" t="str">
        <f>IFERROR(VLOOKUP(E7,Store_Setting[[唯一識別碼]:[取貨小計]],2,0)&amp;"","")</f>
        <v/>
      </c>
      <c r="F8" s="75"/>
      <c r="G8" s="60"/>
    </row>
    <row r="9" spans="1:8" ht="35.15" customHeight="1" x14ac:dyDescent="0.4">
      <c r="B9" s="1"/>
      <c r="C9" s="1"/>
      <c r="D9" s="35" t="s">
        <v>236</v>
      </c>
      <c r="E9" s="32" t="str">
        <f>IFERROR(VLOOKUP(E7,Store_Setting[[唯一識別碼]:[取貨小計]],3,0)&amp;"","")</f>
        <v/>
      </c>
      <c r="F9" s="75"/>
      <c r="G9" s="60"/>
    </row>
    <row r="10" spans="1:8" ht="15" customHeight="1" x14ac:dyDescent="0.4">
      <c r="B10" s="1"/>
      <c r="C10" s="1"/>
      <c r="D10" s="1"/>
      <c r="E10" s="1"/>
      <c r="F10" s="75"/>
      <c r="G10" s="60"/>
    </row>
    <row r="11" spans="1:8" ht="35.15" customHeight="1" x14ac:dyDescent="0.4">
      <c r="B11" s="1"/>
      <c r="C11" s="1" t="s">
        <v>155</v>
      </c>
      <c r="D11" s="11" t="s">
        <v>272</v>
      </c>
      <c r="E11" s="33"/>
      <c r="F11" s="112">
        <v>-1</v>
      </c>
      <c r="G11" s="60"/>
    </row>
    <row r="12" spans="1:8" ht="35.15" customHeight="1" x14ac:dyDescent="0.4">
      <c r="B12" s="1"/>
      <c r="C12" s="1"/>
      <c r="D12" s="11" t="s">
        <v>273</v>
      </c>
      <c r="E12" s="64"/>
      <c r="F12" s="112">
        <v>-1</v>
      </c>
      <c r="G12" s="60"/>
    </row>
    <row r="13" spans="1:8" ht="35.15" customHeight="1" x14ac:dyDescent="0.4">
      <c r="B13" s="1"/>
      <c r="C13" s="1"/>
      <c r="D13" s="11" t="s">
        <v>249</v>
      </c>
      <c r="E13" s="34"/>
      <c r="F13" s="111">
        <v>-1</v>
      </c>
      <c r="G13" s="60"/>
    </row>
    <row r="14" spans="1:8" ht="15" customHeight="1" x14ac:dyDescent="0.4">
      <c r="B14" s="1"/>
      <c r="C14" s="1"/>
      <c r="D14" s="1"/>
      <c r="E14" s="1"/>
      <c r="F14" s="75"/>
      <c r="G14" s="60"/>
    </row>
    <row r="15" spans="1:8" ht="35.15" customHeight="1" x14ac:dyDescent="0.4">
      <c r="B15" s="1"/>
      <c r="C15" s="1"/>
      <c r="D15" s="11" t="s">
        <v>269</v>
      </c>
      <c r="E15" s="14"/>
      <c r="F15" s="76"/>
      <c r="G15" s="60"/>
    </row>
    <row r="16" spans="1:8" ht="15" customHeight="1" x14ac:dyDescent="0.4">
      <c r="B16" s="1"/>
      <c r="C16" s="1"/>
      <c r="D16" s="1"/>
      <c r="E16" s="1"/>
      <c r="F16" s="75"/>
      <c r="G16" s="60"/>
    </row>
    <row r="17" spans="2:12" ht="35.15" customHeight="1" x14ac:dyDescent="0.4">
      <c r="B17" s="1"/>
      <c r="C17" s="1" t="s">
        <v>267</v>
      </c>
      <c r="D17" s="11" t="s">
        <v>270</v>
      </c>
      <c r="E17" s="33" t="s">
        <v>169</v>
      </c>
      <c r="F17" s="75"/>
      <c r="G17" s="60"/>
    </row>
    <row r="18" spans="2:12" ht="14.15" customHeight="1" x14ac:dyDescent="0.4">
      <c r="B18" s="1"/>
      <c r="C18" s="1"/>
      <c r="D18" s="1"/>
      <c r="E18" s="1"/>
      <c r="F18" s="79"/>
      <c r="G18" s="1"/>
    </row>
    <row r="19" spans="2:12" ht="14.15" customHeight="1" x14ac:dyDescent="0.4"/>
    <row r="20" spans="2:12" ht="40" hidden="1" customHeight="1" x14ac:dyDescent="0.4">
      <c r="L20" s="126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5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1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271</v>
      </c>
      <c r="C6" s="6" t="s">
        <v>234</v>
      </c>
      <c r="D6" s="6" t="s">
        <v>272</v>
      </c>
      <c r="E6" s="6" t="s">
        <v>150</v>
      </c>
      <c r="F6" s="6" t="s">
        <v>151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54" cm="1">
        <f t="array" ref="B7">SNGKI</f>
        <v>1</v>
      </c>
      <c r="C7" s="118" t="s">
        <v>170</v>
      </c>
      <c r="D7" s="55" t="s">
        <v>250</v>
      </c>
      <c r="E7" s="16"/>
      <c r="F7" s="19"/>
      <c r="G7" s="84">
        <v>45268.505555555559</v>
      </c>
      <c r="H7" s="55" t="s">
        <v>169</v>
      </c>
      <c r="I7" s="128" t="s">
        <v>173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30" customWidth="1"/>
    <col min="3" max="3" width="14.69140625" style="130" customWidth="1"/>
    <col min="4" max="4" width="15.69140625" style="130" customWidth="1"/>
    <col min="5" max="5" width="44.69140625" style="130" customWidth="1"/>
    <col min="6" max="6" width="5.69140625" style="129" customWidth="1"/>
    <col min="7" max="8" width="2.69140625" style="129" customWidth="1"/>
    <col min="9" max="16384" width="9.15234375" style="129" hidden="1"/>
  </cols>
  <sheetData>
    <row r="1" spans="1:8" ht="6" customHeight="1" x14ac:dyDescent="0.4">
      <c r="A1" s="57"/>
      <c r="B1" s="57"/>
      <c r="C1" s="57"/>
      <c r="D1" s="57"/>
      <c r="E1" s="57"/>
      <c r="F1" s="73"/>
      <c r="G1" s="73"/>
      <c r="H1" s="73"/>
    </row>
    <row r="2" spans="1:8" ht="55" customHeight="1" x14ac:dyDescent="0.4">
      <c r="A2" s="59"/>
      <c r="B2" s="58" t="str">
        <f>設定!D7 &amp;" - 新增會員"</f>
        <v>Yi - 新增會員</v>
      </c>
      <c r="C2" s="58"/>
      <c r="D2" s="58"/>
      <c r="E2" s="59"/>
      <c r="F2" s="74"/>
      <c r="G2" s="74"/>
      <c r="H2" s="74"/>
    </row>
    <row r="3" spans="1:8" ht="14.15" customHeight="1" x14ac:dyDescent="0.4"/>
    <row r="4" spans="1:8" ht="14.15" customHeight="1" x14ac:dyDescent="0.4">
      <c r="B4" s="60"/>
      <c r="C4" s="60"/>
      <c r="D4" s="60"/>
      <c r="E4" s="60"/>
      <c r="F4" s="60"/>
      <c r="G4" s="60"/>
    </row>
    <row r="5" spans="1:8" ht="35.15" customHeight="1" x14ac:dyDescent="0.4">
      <c r="B5" s="60"/>
      <c r="C5" s="61" t="s">
        <v>264</v>
      </c>
      <c r="D5" s="8"/>
      <c r="E5" s="62"/>
      <c r="F5" s="81"/>
      <c r="G5" s="75"/>
    </row>
    <row r="6" spans="1:8" ht="14.15" customHeight="1" x14ac:dyDescent="0.4">
      <c r="B6" s="60"/>
      <c r="C6" s="60"/>
      <c r="D6" s="60"/>
      <c r="E6" s="60"/>
      <c r="F6" s="75"/>
      <c r="G6" s="75"/>
    </row>
    <row r="7" spans="1:8" ht="35.15" customHeight="1" x14ac:dyDescent="0.4">
      <c r="B7" s="60"/>
      <c r="C7" s="60" t="s">
        <v>265</v>
      </c>
      <c r="D7" s="141" t="s">
        <v>234</v>
      </c>
      <c r="E7" s="145" t="str">
        <f>CONCATENATE(IF(E8="","", _xlfn.CONCAT(E8)), IF(E9="","", _xlfn.CONCAT(E9)), IF(E14="","", _xlfn.CONCAT(" | ",E14)))</f>
        <v/>
      </c>
      <c r="F7" s="75"/>
      <c r="G7" s="75"/>
    </row>
    <row r="8" spans="1:8" ht="35.15" customHeight="1" x14ac:dyDescent="0.4">
      <c r="B8" s="60"/>
      <c r="C8" s="60"/>
      <c r="D8" s="63" t="s">
        <v>18</v>
      </c>
      <c r="E8" s="14"/>
      <c r="F8" s="111">
        <v>-1</v>
      </c>
      <c r="G8" s="75"/>
    </row>
    <row r="9" spans="1:8" ht="35.15" customHeight="1" x14ac:dyDescent="0.4">
      <c r="B9" s="60"/>
      <c r="C9" s="60"/>
      <c r="D9" s="63" t="s">
        <v>19</v>
      </c>
      <c r="E9" s="7"/>
      <c r="F9" s="112">
        <v>-1</v>
      </c>
      <c r="G9" s="75"/>
    </row>
    <row r="10" spans="1:8" ht="35.15" customHeight="1" x14ac:dyDescent="0.4">
      <c r="B10" s="60"/>
      <c r="C10" s="60"/>
      <c r="D10" s="63" t="s">
        <v>260</v>
      </c>
      <c r="E10" s="7"/>
      <c r="F10" s="112"/>
      <c r="G10" s="75"/>
    </row>
    <row r="11" spans="1:8" ht="35.15" customHeight="1" x14ac:dyDescent="0.4">
      <c r="B11" s="60"/>
      <c r="C11" s="60"/>
      <c r="D11" s="63" t="s">
        <v>261</v>
      </c>
      <c r="E11" s="121"/>
      <c r="F11" s="112"/>
      <c r="G11" s="75"/>
    </row>
    <row r="12" spans="1:8" ht="35.15" customHeight="1" x14ac:dyDescent="0.4">
      <c r="B12" s="60"/>
      <c r="C12" s="60"/>
      <c r="D12" s="63" t="s">
        <v>262</v>
      </c>
      <c r="E12" s="146"/>
      <c r="F12" s="112"/>
      <c r="G12" s="75"/>
    </row>
    <row r="13" spans="1:8" ht="15" customHeight="1" x14ac:dyDescent="0.4">
      <c r="B13" s="60"/>
      <c r="C13" s="60"/>
      <c r="D13" s="60"/>
      <c r="E13" s="60"/>
      <c r="F13" s="75"/>
      <c r="G13" s="75"/>
    </row>
    <row r="14" spans="1:8" ht="35.15" customHeight="1" x14ac:dyDescent="0.4">
      <c r="B14" s="60"/>
      <c r="C14" s="60" t="s">
        <v>266</v>
      </c>
      <c r="D14" s="63" t="s">
        <v>268</v>
      </c>
      <c r="E14" s="7"/>
      <c r="F14" s="112">
        <v>-1</v>
      </c>
      <c r="G14" s="75"/>
    </row>
    <row r="15" spans="1:8" ht="35.15" customHeight="1" x14ac:dyDescent="0.4">
      <c r="B15" s="60"/>
      <c r="C15" s="60"/>
      <c r="D15" s="63" t="s">
        <v>15</v>
      </c>
      <c r="E15" s="7"/>
      <c r="F15" s="112"/>
      <c r="G15" s="75"/>
    </row>
    <row r="16" spans="1:8" ht="35.15" customHeight="1" x14ac:dyDescent="0.4">
      <c r="B16" s="60"/>
      <c r="C16" s="60"/>
      <c r="D16" s="63" t="s">
        <v>16</v>
      </c>
      <c r="E16" s="14"/>
      <c r="F16" s="111"/>
      <c r="G16" s="75"/>
    </row>
    <row r="17" spans="2:7" ht="15" customHeight="1" x14ac:dyDescent="0.4">
      <c r="B17" s="60"/>
      <c r="C17" s="60"/>
      <c r="D17" s="60"/>
      <c r="E17" s="60"/>
      <c r="F17" s="75"/>
      <c r="G17" s="75"/>
    </row>
    <row r="18" spans="2:7" ht="35.15" customHeight="1" x14ac:dyDescent="0.4">
      <c r="B18" s="60"/>
      <c r="C18" s="60"/>
      <c r="D18" s="63" t="s">
        <v>269</v>
      </c>
      <c r="E18" s="14"/>
      <c r="F18" s="76"/>
      <c r="G18" s="75"/>
    </row>
    <row r="19" spans="2:7" ht="15" customHeight="1" x14ac:dyDescent="0.4">
      <c r="B19" s="60"/>
      <c r="C19" s="60"/>
      <c r="D19" s="60"/>
      <c r="E19" s="60"/>
      <c r="F19" s="75"/>
      <c r="G19" s="75"/>
    </row>
    <row r="20" spans="2:7" ht="35.15" customHeight="1" x14ac:dyDescent="0.4">
      <c r="B20" s="60"/>
      <c r="C20" s="60" t="s">
        <v>267</v>
      </c>
      <c r="D20" s="63" t="s">
        <v>270</v>
      </c>
      <c r="E20" s="7" t="s">
        <v>169</v>
      </c>
      <c r="F20" s="75"/>
      <c r="G20" s="75"/>
    </row>
    <row r="21" spans="2:7" ht="14.15" customHeight="1" x14ac:dyDescent="0.4">
      <c r="B21" s="60"/>
      <c r="C21" s="60"/>
      <c r="D21" s="60"/>
      <c r="E21" s="60"/>
      <c r="F21" s="75"/>
      <c r="G21" s="7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60" customWidth="1"/>
    <col min="2" max="2" width="8.69140625" style="60" customWidth="1"/>
    <col min="3" max="3" width="30.69140625" style="142" customWidth="1"/>
    <col min="4" max="4" width="12.69140625" style="143" customWidth="1"/>
    <col min="5" max="6" width="12.69140625" style="143" hidden="1" customWidth="1"/>
    <col min="7" max="7" width="12.69140625" style="143" customWidth="1"/>
    <col min="8" max="123" width="12.69140625" style="143" hidden="1" customWidth="1"/>
    <col min="124" max="124" width="8.69140625" style="132" customWidth="1"/>
    <col min="125" max="125" width="14.69140625" style="133" customWidth="1"/>
    <col min="126" max="126" width="8.69140625" style="85" customWidth="1"/>
    <col min="127" max="127" width="24.69140625" style="97" hidden="1" customWidth="1"/>
    <col min="128" max="128" width="12.69140625" style="85" customWidth="1"/>
    <col min="129" max="129" width="20.69140625" style="97" customWidth="1"/>
    <col min="130" max="130" width="28.69140625" style="97" hidden="1" customWidth="1"/>
    <col min="131" max="131" width="44.69140625" style="97" hidden="1" customWidth="1"/>
    <col min="132" max="132" width="26.69140625" style="86" hidden="1" customWidth="1"/>
    <col min="133" max="133" width="18.69140625" style="77" hidden="1" customWidth="1"/>
    <col min="134" max="134" width="44.69140625" style="131" customWidth="1"/>
    <col min="135" max="135" width="14.69140625" style="113" customWidth="1"/>
    <col min="136" max="137" width="14.69140625" style="161" customWidth="1"/>
    <col min="138" max="138" width="2.69140625" style="13" customWidth="1"/>
    <col min="139" max="16384" width="9.15234375" style="13" hidden="1"/>
  </cols>
  <sheetData>
    <row r="1" spans="1:138" s="160" customFormat="1" ht="6" customHeight="1" x14ac:dyDescent="0.4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3"/>
      <c r="EA1" s="73"/>
      <c r="EB1" s="57"/>
      <c r="EC1" s="73"/>
      <c r="ED1" s="73"/>
      <c r="EE1" s="57"/>
    </row>
    <row r="2" spans="1:138" s="2" customFormat="1" ht="55" customHeight="1" x14ac:dyDescent="0.4">
      <c r="A2" s="59"/>
      <c r="B2" s="58" t="str">
        <f>設定!D7 &amp;" - 會員詳細資訊"</f>
        <v>Yi - 會員詳細資訊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4"/>
      <c r="DX2" s="59"/>
      <c r="DY2" s="59"/>
      <c r="DZ2" s="74"/>
      <c r="EA2" s="74"/>
      <c r="EB2" s="59"/>
      <c r="EC2" s="74"/>
      <c r="ED2" s="74"/>
      <c r="EE2" s="59"/>
    </row>
    <row r="3" spans="1:138" s="1" customFormat="1" ht="8.15" customHeigh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5"/>
      <c r="EA3" s="75"/>
      <c r="EB3" s="60"/>
      <c r="EC3" s="75"/>
      <c r="ED3" s="75"/>
      <c r="EE3" s="60"/>
    </row>
    <row r="4" spans="1:138" s="1" customFormat="1" ht="6" customHeight="1" x14ac:dyDescent="0.4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8"/>
      <c r="DU4" s="98"/>
      <c r="DV4" s="98"/>
      <c r="DW4" s="98"/>
      <c r="DX4" s="98"/>
      <c r="DY4" s="98"/>
      <c r="DZ4" s="102"/>
      <c r="EA4" s="102"/>
      <c r="EB4" s="98"/>
      <c r="EC4" s="102"/>
      <c r="ED4" s="102"/>
      <c r="EE4" s="90"/>
      <c r="EF4" s="90"/>
      <c r="EG4" s="90"/>
    </row>
    <row r="5" spans="1:138" s="1" customFormat="1" ht="8.15" customHeight="1" x14ac:dyDescent="0.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5"/>
      <c r="EA5" s="75"/>
      <c r="EB5" s="60"/>
      <c r="EC5" s="75"/>
      <c r="ED5" s="75"/>
      <c r="EE5" s="60"/>
      <c r="EF5" s="60"/>
      <c r="EG5" s="60"/>
    </row>
    <row r="6" spans="1:138" s="1" customFormat="1" ht="40" customHeight="1" x14ac:dyDescent="0.4">
      <c r="A6" s="60"/>
      <c r="B6" s="60"/>
      <c r="C6" s="140"/>
      <c r="D6" s="159" t="str">
        <f>_xlfn.CONCAT(設定!F11)</f>
        <v>1</v>
      </c>
      <c r="E6" s="159" t="str">
        <f>_xlfn.CONCAT(設定!F11," - 歷史記錄")</f>
        <v>1 - 歷史記錄</v>
      </c>
      <c r="F6" s="159"/>
      <c r="G6" s="157" t="str">
        <f>_xlfn.CONCAT(設定!F12)</f>
        <v>2</v>
      </c>
      <c r="H6" s="157" t="str">
        <f>_xlfn.CONCAT(設定!F12," - 歷史記錄")</f>
        <v>2 - 歷史記錄</v>
      </c>
      <c r="I6" s="157"/>
      <c r="J6" s="159" t="str">
        <f>_xlfn.CONCAT(設定!F13)</f>
        <v/>
      </c>
      <c r="K6" s="159" t="str">
        <f>_xlfn.CONCAT(設定!F13," - 歷史記錄")</f>
        <v xml:space="preserve"> - 歷史記錄</v>
      </c>
      <c r="L6" s="159"/>
      <c r="M6" s="157" t="str">
        <f>_xlfn.CONCAT(設定!F14)</f>
        <v/>
      </c>
      <c r="N6" s="157" t="str">
        <f>_xlfn.CONCAT(設定!F14," - 歷史記錄")</f>
        <v xml:space="preserve"> - 歷史記錄</v>
      </c>
      <c r="O6" s="157"/>
      <c r="P6" s="159" t="str">
        <f>_xlfn.CONCAT(設定!F15)</f>
        <v/>
      </c>
      <c r="Q6" s="159" t="str">
        <f>_xlfn.CONCAT(設定!F15," - 歷史記錄")</f>
        <v xml:space="preserve"> - 歷史記錄</v>
      </c>
      <c r="R6" s="159"/>
      <c r="S6" s="157" t="str">
        <f>_xlfn.CONCAT(設定!F16)</f>
        <v/>
      </c>
      <c r="T6" s="157" t="str">
        <f>_xlfn.CONCAT(設定!F16," - 歷史記錄")</f>
        <v xml:space="preserve"> - 歷史記錄</v>
      </c>
      <c r="U6" s="157"/>
      <c r="V6" s="159" t="str">
        <f>_xlfn.CONCAT(設定!F17)</f>
        <v/>
      </c>
      <c r="W6" s="159" t="str">
        <f>_xlfn.CONCAT(設定!F17," - 歷史記錄")</f>
        <v xml:space="preserve"> - 歷史記錄</v>
      </c>
      <c r="X6" s="159"/>
      <c r="Y6" s="157" t="str">
        <f>_xlfn.CONCAT(設定!F18)</f>
        <v/>
      </c>
      <c r="Z6" s="157" t="str">
        <f>_xlfn.CONCAT(設定!F18," - 歷史記錄")</f>
        <v xml:space="preserve"> - 歷史記錄</v>
      </c>
      <c r="AA6" s="157"/>
      <c r="AB6" s="159" t="str">
        <f>_xlfn.CONCAT(設定!F19)</f>
        <v/>
      </c>
      <c r="AC6" s="159" t="str">
        <f>_xlfn.CONCAT(設定!F19," - 歷史記錄")</f>
        <v xml:space="preserve"> - 歷史記錄</v>
      </c>
      <c r="AD6" s="159"/>
      <c r="AE6" s="157" t="str">
        <f>_xlfn.CONCAT(設定!F20)</f>
        <v/>
      </c>
      <c r="AF6" s="157" t="str">
        <f>_xlfn.CONCAT(設定!F20," - 歷史記錄")</f>
        <v xml:space="preserve"> - 歷史記錄</v>
      </c>
      <c r="AG6" s="157"/>
      <c r="AH6" s="159" t="str">
        <f>_xlfn.CONCAT(設定!F21)</f>
        <v/>
      </c>
      <c r="AI6" s="159" t="str">
        <f>_xlfn.CONCAT(設定!F21," - 歷史記錄")</f>
        <v xml:space="preserve"> - 歷史記錄</v>
      </c>
      <c r="AJ6" s="159"/>
      <c r="AK6" s="157" t="str">
        <f>_xlfn.CONCAT(設定!F22)</f>
        <v/>
      </c>
      <c r="AL6" s="157" t="str">
        <f>_xlfn.CONCAT(設定!F22," - 歷史記錄")</f>
        <v xml:space="preserve"> - 歷史記錄</v>
      </c>
      <c r="AM6" s="157"/>
      <c r="AN6" s="159" t="str">
        <f>_xlfn.CONCAT(設定!F23)</f>
        <v/>
      </c>
      <c r="AO6" s="159" t="str">
        <f>_xlfn.CONCAT(設定!F23," - 歷史記錄")</f>
        <v xml:space="preserve"> - 歷史記錄</v>
      </c>
      <c r="AP6" s="159"/>
      <c r="AQ6" s="157" t="str">
        <f>_xlfn.CONCAT(設定!F24)</f>
        <v/>
      </c>
      <c r="AR6" s="157" t="str">
        <f>_xlfn.CONCAT(設定!F24," - 歷史記錄")</f>
        <v xml:space="preserve"> - 歷史記錄</v>
      </c>
      <c r="AS6" s="157"/>
      <c r="AT6" s="159" t="str">
        <f>_xlfn.CONCAT(設定!F25)</f>
        <v/>
      </c>
      <c r="AU6" s="159" t="str">
        <f>_xlfn.CONCAT(設定!F25," - 歷史記錄")</f>
        <v xml:space="preserve"> - 歷史記錄</v>
      </c>
      <c r="AV6" s="159"/>
      <c r="AW6" s="157" t="str">
        <f>_xlfn.CONCAT(設定!F26)</f>
        <v/>
      </c>
      <c r="AX6" s="157" t="str">
        <f>_xlfn.CONCAT(設定!F26," - 歷史記錄")</f>
        <v xml:space="preserve"> - 歷史記錄</v>
      </c>
      <c r="AY6" s="157"/>
      <c r="AZ6" s="159" t="str">
        <f>_xlfn.CONCAT(設定!F27)</f>
        <v/>
      </c>
      <c r="BA6" s="159" t="str">
        <f>_xlfn.CONCAT(設定!F27," - 歷史記錄")</f>
        <v xml:space="preserve"> - 歷史記錄</v>
      </c>
      <c r="BB6" s="159"/>
      <c r="BC6" s="157" t="str">
        <f>_xlfn.CONCAT(設定!F28)</f>
        <v/>
      </c>
      <c r="BD6" s="157" t="str">
        <f>_xlfn.CONCAT(設定!F28," - 歷史記錄")</f>
        <v xml:space="preserve"> - 歷史記錄</v>
      </c>
      <c r="BE6" s="157"/>
      <c r="BF6" s="159" t="str">
        <f>_xlfn.CONCAT(設定!F29)</f>
        <v/>
      </c>
      <c r="BG6" s="159" t="str">
        <f>_xlfn.CONCAT(設定!F29," - 歷史記錄")</f>
        <v xml:space="preserve"> - 歷史記錄</v>
      </c>
      <c r="BH6" s="159"/>
      <c r="BI6" s="157" t="str">
        <f>_xlfn.CONCAT(設定!F30)</f>
        <v/>
      </c>
      <c r="BJ6" s="157" t="str">
        <f>_xlfn.CONCAT(設定!F30," - 歷史記錄")</f>
        <v xml:space="preserve"> - 歷史記錄</v>
      </c>
      <c r="BK6" s="157"/>
      <c r="BL6" s="158" t="str">
        <f>_xlfn.CONCAT(設定!F31)</f>
        <v/>
      </c>
      <c r="BM6" s="158" t="str">
        <f>_xlfn.CONCAT(設定!F31," - 歷史記錄")</f>
        <v xml:space="preserve"> - 歷史記錄</v>
      </c>
      <c r="BN6" s="158"/>
      <c r="BO6" s="157" t="str">
        <f>_xlfn.CONCAT(設定!F32)</f>
        <v/>
      </c>
      <c r="BP6" s="157" t="str">
        <f>_xlfn.CONCAT(設定!F32," - 歷史記錄")</f>
        <v xml:space="preserve"> - 歷史記錄</v>
      </c>
      <c r="BQ6" s="157"/>
      <c r="BR6" s="156" t="s">
        <v>337</v>
      </c>
      <c r="BS6" s="158" t="str">
        <f>_xlfn.CONCAT(設定!F33," - 歷史記錄")</f>
        <v xml:space="preserve"> - 歷史記錄</v>
      </c>
      <c r="BT6" s="158"/>
      <c r="BU6" s="157" t="str">
        <f>_xlfn.CONCAT(設定!F34)</f>
        <v/>
      </c>
      <c r="BV6" s="157" t="str">
        <f>_xlfn.CONCAT(設定!F34," - 歷史記錄")</f>
        <v xml:space="preserve"> - 歷史記錄</v>
      </c>
      <c r="BW6" s="157"/>
      <c r="BX6" s="158" t="str">
        <f>_xlfn.CONCAT(設定!F35)</f>
        <v/>
      </c>
      <c r="BY6" s="158" t="str">
        <f>_xlfn.CONCAT(設定!F35," - 歷史記錄")</f>
        <v xml:space="preserve"> - 歷史記錄</v>
      </c>
      <c r="BZ6" s="158"/>
      <c r="CA6" s="157" t="str">
        <f>_xlfn.CONCAT(設定!F36)</f>
        <v/>
      </c>
      <c r="CB6" s="157" t="str">
        <f>_xlfn.CONCAT(設定!F36," - 歷史記錄")</f>
        <v xml:space="preserve"> - 歷史記錄</v>
      </c>
      <c r="CC6" s="157"/>
      <c r="CD6" s="158" t="str">
        <f>_xlfn.CONCAT(設定!F37)</f>
        <v/>
      </c>
      <c r="CE6" s="158" t="str">
        <f>_xlfn.CONCAT(設定!F37," - 歷史記錄")</f>
        <v xml:space="preserve"> - 歷史記錄</v>
      </c>
      <c r="CF6" s="158"/>
      <c r="CG6" s="157" t="str">
        <f>_xlfn.CONCAT(設定!F38)</f>
        <v/>
      </c>
      <c r="CH6" s="157" t="str">
        <f>_xlfn.CONCAT(設定!F38," - 歷史記錄")</f>
        <v xml:space="preserve"> - 歷史記錄</v>
      </c>
      <c r="CI6" s="157"/>
      <c r="CJ6" s="158" t="str">
        <f>_xlfn.CONCAT(設定!F39)</f>
        <v/>
      </c>
      <c r="CK6" s="158" t="str">
        <f>_xlfn.CONCAT(設定!F39," - 歷史記錄")</f>
        <v xml:space="preserve"> - 歷史記錄</v>
      </c>
      <c r="CL6" s="158"/>
      <c r="CM6" s="157" t="str">
        <f>_xlfn.CONCAT(設定!F40)</f>
        <v/>
      </c>
      <c r="CN6" s="157" t="str">
        <f>_xlfn.CONCAT(設定!F40," - 歷史記錄")</f>
        <v xml:space="preserve"> - 歷史記錄</v>
      </c>
      <c r="CO6" s="157"/>
      <c r="CP6" s="158" t="str">
        <f>_xlfn.CONCAT(設定!F41)</f>
        <v/>
      </c>
      <c r="CQ6" s="158" t="str">
        <f>_xlfn.CONCAT(設定!F41," - 歷史記錄")</f>
        <v xml:space="preserve"> - 歷史記錄</v>
      </c>
      <c r="CR6" s="158"/>
      <c r="CS6" s="157" t="str">
        <f>_xlfn.CONCAT(設定!F42)</f>
        <v/>
      </c>
      <c r="CT6" s="157" t="str">
        <f>_xlfn.CONCAT(設定!F42," - 歷史記錄")</f>
        <v xml:space="preserve"> - 歷史記錄</v>
      </c>
      <c r="CU6" s="157"/>
      <c r="CV6" s="158" t="str">
        <f>_xlfn.CONCAT(設定!F43)</f>
        <v/>
      </c>
      <c r="CW6" s="158" t="str">
        <f>_xlfn.CONCAT(設定!F43," - 歷史記錄")</f>
        <v xml:space="preserve"> - 歷史記錄</v>
      </c>
      <c r="CX6" s="158"/>
      <c r="CY6" s="157" t="str">
        <f>_xlfn.CONCAT(設定!F44)</f>
        <v/>
      </c>
      <c r="CZ6" s="157" t="str">
        <f>_xlfn.CONCAT(設定!F44," - 歷史記錄")</f>
        <v xml:space="preserve"> - 歷史記錄</v>
      </c>
      <c r="DA6" s="157"/>
      <c r="DB6" s="158" t="str">
        <f>_xlfn.CONCAT(設定!F45)</f>
        <v/>
      </c>
      <c r="DC6" s="158" t="str">
        <f>_xlfn.CONCAT(設定!F45," - 歷史記錄")</f>
        <v xml:space="preserve"> - 歷史記錄</v>
      </c>
      <c r="DD6" s="158"/>
      <c r="DE6" s="157" t="str">
        <f>_xlfn.CONCAT(設定!F46)</f>
        <v/>
      </c>
      <c r="DF6" s="157" t="str">
        <f>_xlfn.CONCAT(設定!F46," - 歷史記錄")</f>
        <v xml:space="preserve"> - 歷史記錄</v>
      </c>
      <c r="DG6" s="157"/>
      <c r="DH6" s="158" t="str">
        <f>_xlfn.CONCAT(設定!F47)</f>
        <v/>
      </c>
      <c r="DI6" s="158" t="str">
        <f>_xlfn.CONCAT(設定!F47," - 歷史記錄")</f>
        <v xml:space="preserve"> - 歷史記錄</v>
      </c>
      <c r="DJ6" s="158"/>
      <c r="DK6" s="157" t="str">
        <f>_xlfn.CONCAT(設定!F48)</f>
        <v/>
      </c>
      <c r="DL6" s="157" t="str">
        <f>_xlfn.CONCAT(設定!F48," - 歷史記錄")</f>
        <v xml:space="preserve"> - 歷史記錄</v>
      </c>
      <c r="DM6" s="157"/>
      <c r="DN6" s="158" t="str">
        <f>_xlfn.CONCAT(設定!F49)</f>
        <v/>
      </c>
      <c r="DO6" s="158" t="str">
        <f>_xlfn.CONCAT(設定!F49," - 歷史記錄")</f>
        <v xml:space="preserve"> - 歷史記錄</v>
      </c>
      <c r="DP6" s="158"/>
      <c r="DQ6" s="157" t="str">
        <f>_xlfn.CONCAT(設定!F50)</f>
        <v/>
      </c>
      <c r="DR6" s="157" t="str">
        <f>_xlfn.CONCAT(設定!F50," - 歷史記錄")</f>
        <v xml:space="preserve"> - 歷史記錄</v>
      </c>
      <c r="DS6" s="157"/>
      <c r="DT6" s="165" t="s">
        <v>276</v>
      </c>
      <c r="DU6" s="165"/>
      <c r="DV6" s="165"/>
      <c r="DW6" s="165"/>
      <c r="DX6" s="165"/>
      <c r="DY6" s="165" t="s">
        <v>275</v>
      </c>
      <c r="DZ6" s="165"/>
      <c r="EA6" s="165"/>
      <c r="EB6" s="165" t="s">
        <v>274</v>
      </c>
      <c r="EC6" s="165"/>
      <c r="ED6" s="105" t="s">
        <v>488</v>
      </c>
      <c r="EE6" s="166" t="s">
        <v>331</v>
      </c>
      <c r="EF6" s="166"/>
      <c r="EG6" s="166"/>
    </row>
    <row r="7" spans="1:138" s="1" customFormat="1" ht="8.15" customHeight="1" x14ac:dyDescent="0.4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5"/>
      <c r="EA7" s="75"/>
      <c r="EB7" s="60"/>
      <c r="EC7" s="75"/>
      <c r="ED7" s="75"/>
      <c r="EE7" s="60"/>
    </row>
    <row r="8" spans="1:138" s="1" customFormat="1" ht="40" customHeight="1" x14ac:dyDescent="0.4">
      <c r="A8" s="60"/>
      <c r="B8" s="94" t="s">
        <v>271</v>
      </c>
      <c r="C8" s="94" t="s">
        <v>234</v>
      </c>
      <c r="D8" s="94" t="s">
        <v>278</v>
      </c>
      <c r="E8" s="94" t="s">
        <v>55</v>
      </c>
      <c r="F8" s="94" t="s">
        <v>54</v>
      </c>
      <c r="G8" s="94" t="s">
        <v>279</v>
      </c>
      <c r="H8" s="94" t="s">
        <v>53</v>
      </c>
      <c r="I8" s="94" t="s">
        <v>52</v>
      </c>
      <c r="J8" s="94" t="s">
        <v>280</v>
      </c>
      <c r="K8" s="94" t="s">
        <v>30</v>
      </c>
      <c r="L8" s="94" t="s">
        <v>51</v>
      </c>
      <c r="M8" s="94" t="s">
        <v>281</v>
      </c>
      <c r="N8" s="94" t="s">
        <v>31</v>
      </c>
      <c r="O8" s="94" t="s">
        <v>50</v>
      </c>
      <c r="P8" s="94" t="s">
        <v>282</v>
      </c>
      <c r="Q8" s="94" t="s">
        <v>32</v>
      </c>
      <c r="R8" s="94" t="s">
        <v>49</v>
      </c>
      <c r="S8" s="94" t="s">
        <v>283</v>
      </c>
      <c r="T8" s="94" t="s">
        <v>33</v>
      </c>
      <c r="U8" s="94" t="s">
        <v>46</v>
      </c>
      <c r="V8" s="94" t="s">
        <v>284</v>
      </c>
      <c r="W8" s="94" t="s">
        <v>34</v>
      </c>
      <c r="X8" s="94" t="s">
        <v>39</v>
      </c>
      <c r="Y8" s="94" t="s">
        <v>285</v>
      </c>
      <c r="Z8" s="94" t="s">
        <v>35</v>
      </c>
      <c r="AA8" s="94" t="s">
        <v>40</v>
      </c>
      <c r="AB8" s="94" t="s">
        <v>286</v>
      </c>
      <c r="AC8" s="94" t="s">
        <v>36</v>
      </c>
      <c r="AD8" s="94" t="s">
        <v>41</v>
      </c>
      <c r="AE8" s="94" t="s">
        <v>287</v>
      </c>
      <c r="AF8" s="94" t="s">
        <v>37</v>
      </c>
      <c r="AG8" s="94" t="s">
        <v>42</v>
      </c>
      <c r="AH8" s="94" t="s">
        <v>288</v>
      </c>
      <c r="AI8" s="94" t="s">
        <v>38</v>
      </c>
      <c r="AJ8" s="94" t="s">
        <v>43</v>
      </c>
      <c r="AK8" s="94" t="s">
        <v>289</v>
      </c>
      <c r="AL8" s="94" t="s">
        <v>44</v>
      </c>
      <c r="AM8" s="94" t="s">
        <v>45</v>
      </c>
      <c r="AN8" s="94" t="s">
        <v>290</v>
      </c>
      <c r="AO8" s="94" t="s">
        <v>67</v>
      </c>
      <c r="AP8" s="94" t="s">
        <v>66</v>
      </c>
      <c r="AQ8" s="94" t="s">
        <v>291</v>
      </c>
      <c r="AR8" s="94" t="s">
        <v>69</v>
      </c>
      <c r="AS8" s="94" t="s">
        <v>68</v>
      </c>
      <c r="AT8" s="94" t="s">
        <v>292</v>
      </c>
      <c r="AU8" s="94" t="s">
        <v>73</v>
      </c>
      <c r="AV8" s="94" t="s">
        <v>71</v>
      </c>
      <c r="AW8" s="94" t="s">
        <v>293</v>
      </c>
      <c r="AX8" s="94" t="s">
        <v>70</v>
      </c>
      <c r="AY8" s="94" t="s">
        <v>72</v>
      </c>
      <c r="AZ8" s="94" t="s">
        <v>294</v>
      </c>
      <c r="BA8" s="94" t="s">
        <v>75</v>
      </c>
      <c r="BB8" s="94" t="s">
        <v>74</v>
      </c>
      <c r="BC8" s="94" t="s">
        <v>295</v>
      </c>
      <c r="BD8" s="94" t="s">
        <v>76</v>
      </c>
      <c r="BE8" s="94" t="s">
        <v>77</v>
      </c>
      <c r="BF8" s="94" t="s">
        <v>296</v>
      </c>
      <c r="BG8" s="94" t="s">
        <v>78</v>
      </c>
      <c r="BH8" s="94" t="s">
        <v>79</v>
      </c>
      <c r="BI8" s="94" t="s">
        <v>297</v>
      </c>
      <c r="BJ8" s="94" t="s">
        <v>80</v>
      </c>
      <c r="BK8" s="94" t="s">
        <v>81</v>
      </c>
      <c r="BL8" s="94" t="s">
        <v>298</v>
      </c>
      <c r="BM8" s="94" t="s">
        <v>110</v>
      </c>
      <c r="BN8" s="94" t="s">
        <v>109</v>
      </c>
      <c r="BO8" s="94" t="s">
        <v>299</v>
      </c>
      <c r="BP8" s="94" t="s">
        <v>111</v>
      </c>
      <c r="BQ8" s="94" t="s">
        <v>112</v>
      </c>
      <c r="BR8" s="94" t="s">
        <v>300</v>
      </c>
      <c r="BS8" s="94" t="s">
        <v>113</v>
      </c>
      <c r="BT8" s="94" t="s">
        <v>114</v>
      </c>
      <c r="BU8" s="94" t="s">
        <v>301</v>
      </c>
      <c r="BV8" s="94" t="s">
        <v>115</v>
      </c>
      <c r="BW8" s="94" t="s">
        <v>116</v>
      </c>
      <c r="BX8" s="94" t="s">
        <v>302</v>
      </c>
      <c r="BY8" s="94" t="s">
        <v>117</v>
      </c>
      <c r="BZ8" s="94" t="s">
        <v>118</v>
      </c>
      <c r="CA8" s="94" t="s">
        <v>303</v>
      </c>
      <c r="CB8" s="94" t="s">
        <v>119</v>
      </c>
      <c r="CC8" s="94" t="s">
        <v>120</v>
      </c>
      <c r="CD8" s="94" t="s">
        <v>304</v>
      </c>
      <c r="CE8" s="94" t="s">
        <v>121</v>
      </c>
      <c r="CF8" s="94" t="s">
        <v>122</v>
      </c>
      <c r="CG8" s="94" t="s">
        <v>305</v>
      </c>
      <c r="CH8" s="94" t="s">
        <v>123</v>
      </c>
      <c r="CI8" s="94" t="s">
        <v>124</v>
      </c>
      <c r="CJ8" s="94" t="s">
        <v>306</v>
      </c>
      <c r="CK8" s="94" t="s">
        <v>125</v>
      </c>
      <c r="CL8" s="94" t="s">
        <v>126</v>
      </c>
      <c r="CM8" s="94" t="s">
        <v>307</v>
      </c>
      <c r="CN8" s="94" t="s">
        <v>127</v>
      </c>
      <c r="CO8" s="94" t="s">
        <v>128</v>
      </c>
      <c r="CP8" s="94" t="s">
        <v>308</v>
      </c>
      <c r="CQ8" s="94" t="s">
        <v>129</v>
      </c>
      <c r="CR8" s="94" t="s">
        <v>130</v>
      </c>
      <c r="CS8" s="94" t="s">
        <v>309</v>
      </c>
      <c r="CT8" s="94" t="s">
        <v>131</v>
      </c>
      <c r="CU8" s="94" t="s">
        <v>132</v>
      </c>
      <c r="CV8" s="94" t="s">
        <v>310</v>
      </c>
      <c r="CW8" s="94" t="s">
        <v>133</v>
      </c>
      <c r="CX8" s="94" t="s">
        <v>134</v>
      </c>
      <c r="CY8" s="94" t="s">
        <v>311</v>
      </c>
      <c r="CZ8" s="94" t="s">
        <v>135</v>
      </c>
      <c r="DA8" s="94" t="s">
        <v>136</v>
      </c>
      <c r="DB8" s="94" t="s">
        <v>312</v>
      </c>
      <c r="DC8" s="94" t="s">
        <v>137</v>
      </c>
      <c r="DD8" s="94" t="s">
        <v>138</v>
      </c>
      <c r="DE8" s="94" t="s">
        <v>313</v>
      </c>
      <c r="DF8" s="94" t="s">
        <v>139</v>
      </c>
      <c r="DG8" s="94" t="s">
        <v>140</v>
      </c>
      <c r="DH8" s="94" t="s">
        <v>314</v>
      </c>
      <c r="DI8" s="94" t="s">
        <v>142</v>
      </c>
      <c r="DJ8" s="94" t="s">
        <v>141</v>
      </c>
      <c r="DK8" s="94" t="s">
        <v>315</v>
      </c>
      <c r="DL8" s="94" t="s">
        <v>143</v>
      </c>
      <c r="DM8" s="94" t="s">
        <v>144</v>
      </c>
      <c r="DN8" s="94" t="s">
        <v>316</v>
      </c>
      <c r="DO8" s="94" t="s">
        <v>145</v>
      </c>
      <c r="DP8" s="94" t="s">
        <v>146</v>
      </c>
      <c r="DQ8" s="94" t="s">
        <v>317</v>
      </c>
      <c r="DR8" s="94" t="s">
        <v>147</v>
      </c>
      <c r="DS8" s="94" t="s">
        <v>148</v>
      </c>
      <c r="DT8" s="94" t="s">
        <v>18</v>
      </c>
      <c r="DU8" s="94" t="s">
        <v>19</v>
      </c>
      <c r="DV8" s="94" t="s">
        <v>260</v>
      </c>
      <c r="DW8" s="94" t="s">
        <v>261</v>
      </c>
      <c r="DX8" s="94" t="s">
        <v>262</v>
      </c>
      <c r="DY8" s="94" t="s">
        <v>268</v>
      </c>
      <c r="DZ8" s="103" t="s">
        <v>15</v>
      </c>
      <c r="EA8" s="103" t="s">
        <v>16</v>
      </c>
      <c r="EB8" s="99" t="s">
        <v>277</v>
      </c>
      <c r="EC8" s="103" t="s">
        <v>270</v>
      </c>
      <c r="ED8" s="103" t="s">
        <v>269</v>
      </c>
      <c r="EE8" s="94" t="s">
        <v>334</v>
      </c>
      <c r="EF8" s="94" t="s">
        <v>335</v>
      </c>
      <c r="EG8" s="94" t="s">
        <v>336</v>
      </c>
      <c r="EH8" s="60"/>
    </row>
    <row r="9" spans="1:138" ht="40" customHeight="1" x14ac:dyDescent="0.3">
      <c r="B9" s="56" cm="1">
        <f t="array" ref="B9">SN</f>
        <v>1</v>
      </c>
      <c r="C9" s="95" t="str" cm="1">
        <f t="array" ref="C9">GUID</f>
        <v>馮毅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66" t="s">
        <v>318</v>
      </c>
      <c r="DU9" s="67" t="s">
        <v>154</v>
      </c>
      <c r="DV9" s="68" t="s">
        <v>7</v>
      </c>
      <c r="DW9" s="68"/>
      <c r="DX9" s="55"/>
      <c r="DY9" s="68" t="s">
        <v>171</v>
      </c>
      <c r="DZ9" s="68" t="s">
        <v>165</v>
      </c>
      <c r="EA9" s="68"/>
      <c r="EB9" s="84">
        <v>45268.505555555559</v>
      </c>
      <c r="EC9" s="104" t="s">
        <v>169</v>
      </c>
      <c r="ED9" s="128" t="s">
        <v>319</v>
      </c>
      <c r="EE9" s="96" cm="1">
        <f t="array" ref="EE9">History_Total</f>
        <v>1</v>
      </c>
      <c r="EF9" s="96" cm="1">
        <f t="array" ref="EF9">History_Saved</f>
        <v>1</v>
      </c>
      <c r="EG9" s="96" cm="1">
        <f t="array" ref="EG9">History_Withdraw</f>
        <v>0</v>
      </c>
    </row>
    <row r="10" spans="1:138" ht="40" customHeight="1" x14ac:dyDescent="0.3">
      <c r="B10" s="54" cm="1">
        <f t="array" ref="B10">SN</f>
        <v>2</v>
      </c>
      <c r="C10" s="116" t="str" cm="1">
        <f t="array" ref="C10">GUID</f>
        <v>李怡 | 7551</v>
      </c>
      <c r="D10" s="117" cm="1">
        <f t="array" ref="D10">Get_1_Calc</f>
        <v>0</v>
      </c>
      <c r="E10" s="117" cm="1">
        <f t="array" ref="E10">Get_1_Add</f>
        <v>0</v>
      </c>
      <c r="F10" s="117" cm="1">
        <f t="array" ref="F10">Get_1_Del</f>
        <v>0</v>
      </c>
      <c r="G10" s="117" cm="1">
        <f t="array" ref="G10">Get_2_Calc</f>
        <v>0</v>
      </c>
      <c r="H10" s="117" cm="1">
        <f t="array" ref="H10">Get_2_Add</f>
        <v>0</v>
      </c>
      <c r="I10" s="117" cm="1">
        <f t="array" ref="I10">Get_2_Del</f>
        <v>0</v>
      </c>
      <c r="J10" s="117" cm="1">
        <f t="array" ref="J10">Get_3_Calc</f>
        <v>0</v>
      </c>
      <c r="K10" s="117" cm="1">
        <f t="array" ref="K10">Get_3_Add</f>
        <v>0</v>
      </c>
      <c r="L10" s="117" cm="1">
        <f t="array" ref="L10">Get_3_Del</f>
        <v>0</v>
      </c>
      <c r="M10" s="117" cm="1">
        <f t="array" ref="M10">Get_4_Calc</f>
        <v>0</v>
      </c>
      <c r="N10" s="117" cm="1">
        <f t="array" ref="N10">Get_4_Add</f>
        <v>0</v>
      </c>
      <c r="O10" s="117" cm="1">
        <f t="array" ref="O10">Get_4_Del</f>
        <v>0</v>
      </c>
      <c r="P10" s="117" cm="1">
        <f t="array" ref="P10">Get_5_Calc</f>
        <v>0</v>
      </c>
      <c r="Q10" s="117" cm="1">
        <f t="array" ref="Q10">Get_5_Add</f>
        <v>0</v>
      </c>
      <c r="R10" s="117" cm="1">
        <f t="array" ref="R10">Get_5_Del</f>
        <v>0</v>
      </c>
      <c r="S10" s="117" cm="1">
        <f t="array" ref="S10">Get_6_Calc</f>
        <v>0</v>
      </c>
      <c r="T10" s="117" cm="1">
        <f t="array" ref="T10">Get_6_Add</f>
        <v>0</v>
      </c>
      <c r="U10" s="117" cm="1">
        <f t="array" ref="U10">Get_6_Del</f>
        <v>0</v>
      </c>
      <c r="V10" s="117" cm="1">
        <f t="array" ref="V10">Get_7_Calc</f>
        <v>0</v>
      </c>
      <c r="W10" s="117" cm="1">
        <f t="array" ref="W10">Get_7_Add</f>
        <v>0</v>
      </c>
      <c r="X10" s="117" cm="1">
        <f t="array" ref="X10">Get_7_Del</f>
        <v>0</v>
      </c>
      <c r="Y10" s="117" cm="1">
        <f t="array" ref="Y10">Get_8_Calc</f>
        <v>0</v>
      </c>
      <c r="Z10" s="117" cm="1">
        <f t="array" ref="Z10">Get_8_Add</f>
        <v>0</v>
      </c>
      <c r="AA10" s="117" cm="1">
        <f t="array" ref="AA10">Get_8_Del</f>
        <v>0</v>
      </c>
      <c r="AB10" s="117" cm="1">
        <f t="array" ref="AB10">Get_9_Calc</f>
        <v>0</v>
      </c>
      <c r="AC10" s="117" cm="1">
        <f t="array" ref="AC10">Get_9_Add</f>
        <v>0</v>
      </c>
      <c r="AD10" s="117" cm="1">
        <f t="array" ref="AD10">Get_9_Del</f>
        <v>0</v>
      </c>
      <c r="AE10" s="117" cm="1">
        <f t="array" ref="AE10">Get_10_Calc</f>
        <v>0</v>
      </c>
      <c r="AF10" s="117" cm="1">
        <f t="array" ref="AF10">Get_10_Add</f>
        <v>0</v>
      </c>
      <c r="AG10" s="117" cm="1">
        <f t="array" ref="AG10">Get_10_Del</f>
        <v>0</v>
      </c>
      <c r="AH10" s="117" cm="1">
        <f t="array" ref="AH10">Get_11_Calc</f>
        <v>0</v>
      </c>
      <c r="AI10" s="117" cm="1">
        <f t="array" ref="AI10">Get_11_Add</f>
        <v>0</v>
      </c>
      <c r="AJ10" s="117" cm="1">
        <f t="array" ref="AJ10">Get_11_Del</f>
        <v>0</v>
      </c>
      <c r="AK10" s="117" cm="1">
        <f t="array" ref="AK10">Get_12_Calc</f>
        <v>0</v>
      </c>
      <c r="AL10" s="117" cm="1">
        <f t="array" ref="AL10">Get_12_Add</f>
        <v>0</v>
      </c>
      <c r="AM10" s="117" cm="1">
        <f t="array" ref="AM10">Get_12_Del</f>
        <v>0</v>
      </c>
      <c r="AN10" s="117" cm="1">
        <f t="array" ref="AN10">Get_13_Calc</f>
        <v>0</v>
      </c>
      <c r="AO10" s="117" cm="1">
        <f t="array" ref="AO10">Get_13_Add</f>
        <v>0</v>
      </c>
      <c r="AP10" s="117" cm="1">
        <f t="array" ref="AP10">Get_13_Del</f>
        <v>0</v>
      </c>
      <c r="AQ10" s="117" cm="1">
        <f t="array" ref="AQ10">Get_14_Calc</f>
        <v>0</v>
      </c>
      <c r="AR10" s="117" cm="1">
        <f t="array" ref="AR10">Get_14_Add</f>
        <v>0</v>
      </c>
      <c r="AS10" s="117" cm="1">
        <f t="array" ref="AS10">Get_14_Del</f>
        <v>0</v>
      </c>
      <c r="AT10" s="117" cm="1">
        <f t="array" ref="AT10">Get_15_Calc</f>
        <v>0</v>
      </c>
      <c r="AU10" s="117" cm="1">
        <f t="array" ref="AU10">Get_15_Add</f>
        <v>0</v>
      </c>
      <c r="AV10" s="117" cm="1">
        <f t="array" ref="AV10">Get_15_Del</f>
        <v>0</v>
      </c>
      <c r="AW10" s="117" cm="1">
        <f t="array" ref="AW10">Get_16_Calc</f>
        <v>0</v>
      </c>
      <c r="AX10" s="117" cm="1">
        <f t="array" ref="AX10">Get_16_Add</f>
        <v>0</v>
      </c>
      <c r="AY10" s="117" cm="1">
        <f t="array" ref="AY10">Get_16_Del</f>
        <v>0</v>
      </c>
      <c r="AZ10" s="117" cm="1">
        <f t="array" ref="AZ10">Get_17_Calc</f>
        <v>0</v>
      </c>
      <c r="BA10" s="117" cm="1">
        <f t="array" ref="BA10">Get_17_Add</f>
        <v>0</v>
      </c>
      <c r="BB10" s="117" cm="1">
        <f t="array" ref="BB10">Get_17_Del</f>
        <v>0</v>
      </c>
      <c r="BC10" s="117" cm="1">
        <f t="array" ref="BC10">Get_18_Calc</f>
        <v>0</v>
      </c>
      <c r="BD10" s="117" cm="1">
        <f t="array" ref="BD10">Get_18_Add</f>
        <v>0</v>
      </c>
      <c r="BE10" s="117" cm="1">
        <f t="array" ref="BE10">Get_18_Del</f>
        <v>0</v>
      </c>
      <c r="BF10" s="117" cm="1">
        <f t="array" ref="BF10">Get_19_Calc</f>
        <v>0</v>
      </c>
      <c r="BG10" s="117" cm="1">
        <f t="array" ref="BG10">Get_19_Add</f>
        <v>0</v>
      </c>
      <c r="BH10" s="117" cm="1">
        <f t="array" ref="BH10">Get_19_Del</f>
        <v>0</v>
      </c>
      <c r="BI10" s="117" cm="1">
        <f t="array" ref="BI10">Get_20_Calc</f>
        <v>0</v>
      </c>
      <c r="BJ10" s="117" cm="1">
        <f t="array" ref="BJ10">Get_20_Add</f>
        <v>0</v>
      </c>
      <c r="BK10" s="117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7" cm="1">
        <f t="array" ref="BO10">Get_22_Calc</f>
        <v>0</v>
      </c>
      <c r="BP10" s="117" cm="1">
        <f t="array" ref="BP10">Get_22_Add</f>
        <v>0</v>
      </c>
      <c r="BQ10" s="117" cm="1">
        <f t="array" ref="BQ10">Get_22_Del</f>
        <v>0</v>
      </c>
      <c r="BR10" s="117" cm="1">
        <f t="array" ref="BR10">Get_23_Calc</f>
        <v>0</v>
      </c>
      <c r="BS10" s="117" cm="1">
        <f t="array" ref="BS10">Get_23_Add</f>
        <v>0</v>
      </c>
      <c r="BT10" s="117" cm="1">
        <f t="array" ref="BT10">Get_23_Del</f>
        <v>0</v>
      </c>
      <c r="BU10" s="117" cm="1">
        <f t="array" ref="BU10">Get_24_Calc</f>
        <v>0</v>
      </c>
      <c r="BV10" s="117" cm="1">
        <f t="array" ref="BV10">Get_24_Add</f>
        <v>0</v>
      </c>
      <c r="BW10" s="117" cm="1">
        <f t="array" ref="BW10">Get_24_Del</f>
        <v>0</v>
      </c>
      <c r="BX10" s="117" cm="1">
        <f t="array" ref="BX10">Get_25_Calc</f>
        <v>0</v>
      </c>
      <c r="BY10" s="117" cm="1">
        <f t="array" ref="BY10">Get_25_Add</f>
        <v>0</v>
      </c>
      <c r="BZ10" s="117" cm="1">
        <f t="array" ref="BZ10">Get_25_Del</f>
        <v>0</v>
      </c>
      <c r="CA10" s="117" cm="1">
        <f t="array" ref="CA10">Get_26_Calc</f>
        <v>0</v>
      </c>
      <c r="CB10" s="117" cm="1">
        <f t="array" ref="CB10">Get_26_Add</f>
        <v>0</v>
      </c>
      <c r="CC10" s="117" cm="1">
        <f t="array" ref="CC10">Get_26_Del</f>
        <v>0</v>
      </c>
      <c r="CD10" s="117" cm="1">
        <f t="array" ref="CD10">Get_27_Calc</f>
        <v>0</v>
      </c>
      <c r="CE10" s="117" cm="1">
        <f t="array" ref="CE10">Get_27_Add</f>
        <v>0</v>
      </c>
      <c r="CF10" s="117" cm="1">
        <f t="array" ref="CF10">Get_27_Del</f>
        <v>0</v>
      </c>
      <c r="CG10" s="117" cm="1">
        <f t="array" ref="CG10">Get_28_Calc</f>
        <v>0</v>
      </c>
      <c r="CH10" s="117" cm="1">
        <f t="array" ref="CH10">Get_28_Add</f>
        <v>0</v>
      </c>
      <c r="CI10" s="117" cm="1">
        <f t="array" ref="CI10">Get_28_Del</f>
        <v>0</v>
      </c>
      <c r="CJ10" s="117" cm="1">
        <f t="array" ref="CJ10">Get_29_Calc</f>
        <v>0</v>
      </c>
      <c r="CK10" s="117" cm="1">
        <f t="array" ref="CK10">Get_29_Add</f>
        <v>0</v>
      </c>
      <c r="CL10" s="117" cm="1">
        <f t="array" ref="CL10">Get_29_Del</f>
        <v>0</v>
      </c>
      <c r="CM10" s="117" cm="1">
        <f t="array" ref="CM10">Get_30_Calc</f>
        <v>0</v>
      </c>
      <c r="CN10" s="117" cm="1">
        <f t="array" ref="CN10">Get_30_Add</f>
        <v>0</v>
      </c>
      <c r="CO10" s="117" cm="1">
        <f t="array" ref="CO10">Get_30_Del</f>
        <v>0</v>
      </c>
      <c r="CP10" s="117" cm="1">
        <f t="array" ref="CP10">Get_31_Calc</f>
        <v>0</v>
      </c>
      <c r="CQ10" s="117" cm="1">
        <f t="array" ref="CQ10">Get_31_Add</f>
        <v>0</v>
      </c>
      <c r="CR10" s="117" cm="1">
        <f t="array" ref="CR10">Get_31_Del</f>
        <v>0</v>
      </c>
      <c r="CS10" s="117" cm="1">
        <f t="array" ref="CS10">Get_32_Calc</f>
        <v>0</v>
      </c>
      <c r="CT10" s="117" cm="1">
        <f t="array" ref="CT10">Get_32_Add</f>
        <v>0</v>
      </c>
      <c r="CU10" s="117" cm="1">
        <f t="array" ref="CU10">Get_32_Del</f>
        <v>0</v>
      </c>
      <c r="CV10" s="117" cm="1">
        <f t="array" ref="CV10">Get_33_Calc</f>
        <v>0</v>
      </c>
      <c r="CW10" s="117" cm="1">
        <f t="array" ref="CW10">Get_33_Add</f>
        <v>0</v>
      </c>
      <c r="CX10" s="117" cm="1">
        <f t="array" ref="CX10">Get_33_Del</f>
        <v>0</v>
      </c>
      <c r="CY10" s="117" cm="1">
        <f t="array" ref="CY10">Get_34_Calc</f>
        <v>0</v>
      </c>
      <c r="CZ10" s="117" cm="1">
        <f t="array" ref="CZ10">Get_34_Add</f>
        <v>0</v>
      </c>
      <c r="DA10" s="117" cm="1">
        <f t="array" ref="DA10">Get_34_Del</f>
        <v>0</v>
      </c>
      <c r="DB10" s="117" cm="1">
        <f t="array" ref="DB10">Get_35_Calc</f>
        <v>0</v>
      </c>
      <c r="DC10" s="117" cm="1">
        <f t="array" ref="DC10">Get_35_Add</f>
        <v>0</v>
      </c>
      <c r="DD10" s="117" cm="1">
        <f t="array" ref="DD10">Get_35_Del</f>
        <v>0</v>
      </c>
      <c r="DE10" s="117" cm="1">
        <f t="array" ref="DE10">Get_36_Calc</f>
        <v>0</v>
      </c>
      <c r="DF10" s="117" cm="1">
        <f t="array" ref="DF10">Get_36_Add</f>
        <v>0</v>
      </c>
      <c r="DG10" s="117" cm="1">
        <f t="array" ref="DG10">Get_36_Del</f>
        <v>0</v>
      </c>
      <c r="DH10" s="117" cm="1">
        <f t="array" ref="DH10">Get_37_Calc</f>
        <v>0</v>
      </c>
      <c r="DI10" s="117" cm="1">
        <f t="array" ref="DI10">Get_37_Add</f>
        <v>0</v>
      </c>
      <c r="DJ10" s="117" cm="1">
        <f t="array" ref="DJ10">Get_37_Del</f>
        <v>0</v>
      </c>
      <c r="DK10" s="117" cm="1">
        <f t="array" ref="DK10">Get_38_Calc</f>
        <v>0</v>
      </c>
      <c r="DL10" s="117" cm="1">
        <f t="array" ref="DL10">Get_38_Add</f>
        <v>0</v>
      </c>
      <c r="DM10" s="117" cm="1">
        <f t="array" ref="DM10">Get_38_Del</f>
        <v>0</v>
      </c>
      <c r="DN10" s="117" cm="1">
        <f t="array" ref="DN10">Get_39_Calc</f>
        <v>0</v>
      </c>
      <c r="DO10" s="117" cm="1">
        <f t="array" ref="DO10">Get_39_Add</f>
        <v>0</v>
      </c>
      <c r="DP10" s="117" cm="1">
        <f t="array" ref="DP10">Get_39_Del</f>
        <v>0</v>
      </c>
      <c r="DQ10" s="117" cm="1">
        <f t="array" ref="DQ10">Get_40_Calc</f>
        <v>0</v>
      </c>
      <c r="DR10" s="117" cm="1">
        <f t="array" ref="DR10">Get_40_Add</f>
        <v>0</v>
      </c>
      <c r="DS10" s="117" cm="1">
        <f t="array" ref="DS10">Get_40_Del</f>
        <v>0</v>
      </c>
      <c r="DT10" s="66" t="s">
        <v>167</v>
      </c>
      <c r="DU10" s="67" t="s">
        <v>168</v>
      </c>
      <c r="DV10" s="68" t="s">
        <v>8</v>
      </c>
      <c r="DW10" s="68"/>
      <c r="DX10" s="55"/>
      <c r="DY10" s="68" t="s">
        <v>172</v>
      </c>
      <c r="DZ10" s="68"/>
      <c r="EA10" s="68"/>
      <c r="EB10" s="84">
        <v>45268.505555555559</v>
      </c>
      <c r="EC10" s="104" t="s">
        <v>169</v>
      </c>
      <c r="ED10" s="128" t="s">
        <v>319</v>
      </c>
      <c r="EE10" s="117" cm="1">
        <f t="array" ref="EE10">History_Total</f>
        <v>1</v>
      </c>
      <c r="EF10" s="117" cm="1">
        <f t="array" ref="EF10">History_Saved</f>
        <v>1</v>
      </c>
      <c r="EG10" s="117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69" priority="26">
      <formula>MOD(ROW(),2)=0</formula>
    </cfRule>
    <cfRule type="expression" dxfId="368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60" customWidth="1"/>
    <col min="2" max="2" width="8.69140625" style="60" customWidth="1"/>
    <col min="3" max="3" width="30.69140625" style="87" customWidth="1"/>
    <col min="4" max="5" width="12.69140625" style="88" customWidth="1"/>
    <col min="6" max="43" width="12.69140625" style="88" hidden="1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9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 x14ac:dyDescent="0.4"/>
    <row r="2" spans="2:47" s="59" customFormat="1" ht="55" customHeight="1" x14ac:dyDescent="0.4">
      <c r="B2" s="58" t="str">
        <f>設定!D7 &amp;" - 歷史記錄"</f>
        <v>Yi - 歷史記錄</v>
      </c>
      <c r="D2" s="101"/>
    </row>
    <row r="3" spans="2:47" ht="8.1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 x14ac:dyDescent="0.3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1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" customHeight="1" x14ac:dyDescent="0.3">
      <c r="B6" s="60"/>
      <c r="C6" s="144"/>
      <c r="D6" s="91" t="str">
        <f>_xlfn.CONCAT(設定!F11)</f>
        <v>1</v>
      </c>
      <c r="E6" s="92" t="str">
        <f>_xlfn.CONCAT(設定!F12)</f>
        <v>2</v>
      </c>
      <c r="F6" s="91" t="str">
        <f>_xlfn.CONCAT(設定!F13)</f>
        <v/>
      </c>
      <c r="G6" s="92" t="str">
        <f>_xlfn.CONCAT(設定!F14)</f>
        <v/>
      </c>
      <c r="H6" s="91" t="str">
        <f>_xlfn.CONCAT(設定!F15)</f>
        <v/>
      </c>
      <c r="I6" s="92" t="str">
        <f>_xlfn.CONCAT(設定!F16)</f>
        <v/>
      </c>
      <c r="J6" s="91" t="str">
        <f>_xlfn.CONCAT(設定!F17)</f>
        <v/>
      </c>
      <c r="K6" s="92" t="str">
        <f>_xlfn.CONCAT(設定!F18)</f>
        <v/>
      </c>
      <c r="L6" s="91" t="str">
        <f>_xlfn.CONCAT(設定!F19)</f>
        <v/>
      </c>
      <c r="M6" s="92" t="str">
        <f>_xlfn.CONCAT(設定!F20)</f>
        <v/>
      </c>
      <c r="N6" s="91" t="str">
        <f>_xlfn.CONCAT(設定!F21)</f>
        <v/>
      </c>
      <c r="O6" s="92" t="str">
        <f>_xlfn.CONCAT(設定!F22)</f>
        <v/>
      </c>
      <c r="P6" s="91" t="str">
        <f>_xlfn.CONCAT(設定!F23)</f>
        <v/>
      </c>
      <c r="Q6" s="92" t="str">
        <f>_xlfn.CONCAT(設定!F24)</f>
        <v/>
      </c>
      <c r="R6" s="91" t="str">
        <f>_xlfn.CONCAT(設定!F25)</f>
        <v/>
      </c>
      <c r="S6" s="92" t="str">
        <f>_xlfn.CONCAT(設定!F26)</f>
        <v/>
      </c>
      <c r="T6" s="91" t="str">
        <f>_xlfn.CONCAT(設定!F27)</f>
        <v/>
      </c>
      <c r="U6" s="92" t="str">
        <f>_xlfn.CONCAT(設定!F28)</f>
        <v/>
      </c>
      <c r="V6" s="91" t="str">
        <f>_xlfn.CONCAT(設定!F29)</f>
        <v/>
      </c>
      <c r="W6" s="92" t="str">
        <f>_xlfn.CONCAT(設定!F30)</f>
        <v/>
      </c>
      <c r="X6" s="91" t="str">
        <f>_xlfn.CONCAT(設定!F31)</f>
        <v/>
      </c>
      <c r="Y6" s="92" t="str">
        <f>_xlfn.CONCAT(設定!F32)</f>
        <v/>
      </c>
      <c r="Z6" s="91" t="str">
        <f>_xlfn.CONCAT(設定!F33)</f>
        <v/>
      </c>
      <c r="AA6" s="92" t="str">
        <f>_xlfn.CONCAT(設定!F34)</f>
        <v/>
      </c>
      <c r="AB6" s="91" t="str">
        <f>_xlfn.CONCAT(設定!F35)</f>
        <v/>
      </c>
      <c r="AC6" s="92" t="str">
        <f>_xlfn.CONCAT(設定!F36)</f>
        <v/>
      </c>
      <c r="AD6" s="91" t="str">
        <f>_xlfn.CONCAT(設定!F37)</f>
        <v/>
      </c>
      <c r="AE6" s="92" t="str">
        <f>_xlfn.CONCAT(設定!F38)</f>
        <v/>
      </c>
      <c r="AF6" s="91" t="str">
        <f>_xlfn.CONCAT(設定!F39)</f>
        <v/>
      </c>
      <c r="AG6" s="92" t="str">
        <f>_xlfn.CONCAT(設定!F40)</f>
        <v/>
      </c>
      <c r="AH6" s="91" t="str">
        <f>_xlfn.CONCAT(設定!F41)</f>
        <v/>
      </c>
      <c r="AI6" s="92" t="str">
        <f>_xlfn.CONCAT(設定!F42)</f>
        <v/>
      </c>
      <c r="AJ6" s="91" t="str">
        <f>_xlfn.CONCAT(設定!F43)</f>
        <v/>
      </c>
      <c r="AK6" s="92" t="str">
        <f>_xlfn.CONCAT(設定!F44)</f>
        <v/>
      </c>
      <c r="AL6" s="91" t="str">
        <f>_xlfn.CONCAT(設定!F45)</f>
        <v/>
      </c>
      <c r="AM6" s="92" t="str">
        <f>_xlfn.CONCAT(設定!F46)</f>
        <v/>
      </c>
      <c r="AN6" s="91" t="str">
        <f>_xlfn.CONCAT(設定!F47)</f>
        <v/>
      </c>
      <c r="AO6" s="92" t="str">
        <f>_xlfn.CONCAT(設定!F48)</f>
        <v/>
      </c>
      <c r="AP6" s="91" t="str">
        <f>_xlfn.CONCAT(設定!F49)</f>
        <v/>
      </c>
      <c r="AQ6" s="92" t="str">
        <f>_xlfn.CONCAT(設定!F50)</f>
        <v/>
      </c>
      <c r="AR6" s="165" t="s">
        <v>56</v>
      </c>
      <c r="AS6" s="165"/>
      <c r="AT6" s="165"/>
      <c r="AU6" s="165"/>
    </row>
    <row r="7" spans="2:47" ht="8.1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 x14ac:dyDescent="0.4">
      <c r="B8" s="94" t="s">
        <v>271</v>
      </c>
      <c r="C8" s="94" t="s">
        <v>234</v>
      </c>
      <c r="D8" s="94" t="s">
        <v>47</v>
      </c>
      <c r="E8" s="94" t="s">
        <v>48</v>
      </c>
      <c r="F8" s="94" t="s">
        <v>20</v>
      </c>
      <c r="G8" s="94" t="s">
        <v>21</v>
      </c>
      <c r="H8" s="94" t="s">
        <v>22</v>
      </c>
      <c r="I8" s="94" t="s">
        <v>23</v>
      </c>
      <c r="J8" s="94" t="s">
        <v>24</v>
      </c>
      <c r="K8" s="94" t="s">
        <v>25</v>
      </c>
      <c r="L8" s="94" t="s">
        <v>26</v>
      </c>
      <c r="M8" s="94" t="s">
        <v>28</v>
      </c>
      <c r="N8" s="94" t="s">
        <v>27</v>
      </c>
      <c r="O8" s="94" t="s">
        <v>29</v>
      </c>
      <c r="P8" s="94" t="s">
        <v>58</v>
      </c>
      <c r="Q8" s="94" t="s">
        <v>59</v>
      </c>
      <c r="R8" s="94" t="s">
        <v>60</v>
      </c>
      <c r="S8" s="94" t="s">
        <v>61</v>
      </c>
      <c r="T8" s="94" t="s">
        <v>62</v>
      </c>
      <c r="U8" s="94" t="s">
        <v>63</v>
      </c>
      <c r="V8" s="94" t="s">
        <v>64</v>
      </c>
      <c r="W8" s="94" t="s">
        <v>65</v>
      </c>
      <c r="X8" s="94" t="s">
        <v>90</v>
      </c>
      <c r="Y8" s="94" t="s">
        <v>91</v>
      </c>
      <c r="Z8" s="94" t="s">
        <v>92</v>
      </c>
      <c r="AA8" s="94" t="s">
        <v>93</v>
      </c>
      <c r="AB8" s="94" t="s">
        <v>94</v>
      </c>
      <c r="AC8" s="94" t="s">
        <v>95</v>
      </c>
      <c r="AD8" s="94" t="s">
        <v>96</v>
      </c>
      <c r="AE8" s="94" t="s">
        <v>97</v>
      </c>
      <c r="AF8" s="94" t="s">
        <v>98</v>
      </c>
      <c r="AG8" s="94" t="s">
        <v>99</v>
      </c>
      <c r="AH8" s="94" t="s">
        <v>89</v>
      </c>
      <c r="AI8" s="94" t="s">
        <v>100</v>
      </c>
      <c r="AJ8" s="94" t="s">
        <v>101</v>
      </c>
      <c r="AK8" s="94" t="s">
        <v>102</v>
      </c>
      <c r="AL8" s="94" t="s">
        <v>103</v>
      </c>
      <c r="AM8" s="94" t="s">
        <v>104</v>
      </c>
      <c r="AN8" s="94" t="s">
        <v>105</v>
      </c>
      <c r="AO8" s="94" t="s">
        <v>106</v>
      </c>
      <c r="AP8" s="94" t="s">
        <v>107</v>
      </c>
      <c r="AQ8" s="94" t="s">
        <v>108</v>
      </c>
      <c r="AR8" s="94" t="s">
        <v>272</v>
      </c>
      <c r="AS8" s="94" t="s">
        <v>321</v>
      </c>
      <c r="AT8" s="94" t="s">
        <v>270</v>
      </c>
      <c r="AU8" s="94" t="s">
        <v>269</v>
      </c>
    </row>
    <row r="9" spans="2:47" ht="39.75" customHeight="1" x14ac:dyDescent="0.4">
      <c r="B9" s="56" cm="1">
        <f t="array" ref="B9">SN</f>
        <v>1</v>
      </c>
      <c r="C9" s="69" t="s">
        <v>332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5</v>
      </c>
      <c r="AS9" s="84">
        <v>45268.505555555559</v>
      </c>
      <c r="AT9" s="55" t="s">
        <v>169</v>
      </c>
      <c r="AU9" s="89" t="s">
        <v>320</v>
      </c>
    </row>
    <row r="10" spans="2:47" ht="40" customHeight="1" x14ac:dyDescent="0.4">
      <c r="B10" s="54" cm="1">
        <f t="array" ref="B10">SN</f>
        <v>2</v>
      </c>
      <c r="C10" s="118" t="s">
        <v>333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5</v>
      </c>
      <c r="AS10" s="84">
        <v>45268.505555555559</v>
      </c>
      <c r="AT10" s="55" t="s">
        <v>169</v>
      </c>
      <c r="AU10" s="89" t="s">
        <v>320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歡迎</vt:lpstr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2024-02-26T15:35:20Z</dcterms:modified>
</cp:coreProperties>
</file>