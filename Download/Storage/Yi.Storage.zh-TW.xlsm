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5E60792-A7D5-460B-AF09-44001E5627B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<sst xmlns="http://schemas.openxmlformats.org/spreadsheetml/2006/main" count="683" uniqueCount="472">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</sst>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1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",Store_Setting[商品名稱])))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7" t="s">
        <v>182</v>
      </c>
      <c r="I9" s="127"/>
      <c r="J9" s="127"/>
      <c r="K9" s="128" t="s">
        <v>183</v>
      </c>
      <c r="L9" s="128"/>
      <c r="M9" s="128"/>
      <c r="N9" s="128" t="s">
        <v>413</v>
      </c>
      <c r="O9" s="128"/>
      <c r="P9" s="128" t="s">
        <v>412</v>
      </c>
      <c r="Q9" s="128"/>
      <c r="R9" s="128"/>
      <c r="S9" s="128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IF(Store_Setting[[#This Row],[商品名稱]]="","", _xlfn.CONCAT(" | ",Store_Setting[商品名稱])))</f>
        <v>1 | 12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Row],[唯一識別碼]],Store_History[類型],$D$80)</f>
        <v>0</v>
      </c>
      <c r="M11" s="84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IF(Store_Setting[[#This Row],[商品名稱]]="","", _xlfn.CONCAT(" | ",Store_Setting[商品名稱])))</f>
        <v>2 | 12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Row],[唯一識別碼]],Store_History[類型],$D$80)</f>
        <v>0</v>
      </c>
      <c r="M12" s="84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IF(Store_Setting[[#This Row],[商品名稱]]="","", _xlfn.CONCAT(" | ",Store_Setting[商品名稱])))</f>
        <v>3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Row],[唯一識別碼]],Store_History[類型],$D$80)</f>
        <v>0</v>
      </c>
      <c r="M13" s="84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IF(Store_Setting[[#This Row],[商品名稱]]="","", _xlfn.CONCAT(" | ",Store_Setting[商品名稱])))</f>
        <v>4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Row],[唯一識別碼]],Store_History[類型],$D$80)</f>
        <v>0</v>
      </c>
      <c r="M14" s="84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IF(Store_Setting[[#This Row],[商品名稱]]="","", _xlfn.CONCAT(" | ",Store_Setting[商品名稱])))</f>
        <v>5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Row],[唯一識別碼]],Store_History[類型],$D$80)</f>
        <v>0</v>
      </c>
      <c r="M15" s="84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IF(Store_Setting[[#This Row],[商品名稱]]="","", _xlfn.CONCAT(" | ",Store_Setting[商品名稱])))</f>
        <v>6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Row],[唯一識別碼]],Store_History[類型],$D$80)</f>
        <v>0</v>
      </c>
      <c r="M16" s="84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IF(Store_Setting[[#This Row],[商品名稱]]="","", _xlfn.CONCAT(" | ",Store_Setting[商品名稱])))</f>
        <v>7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Row],[唯一識別碼]],Store_History[類型],$D$80)</f>
        <v>0</v>
      </c>
      <c r="M17" s="84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IF(Store_Setting[[#This Row],[商品名稱]]="","", _xlfn.CONCAT(" | ",Store_Setting[商品名稱])))</f>
        <v>8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Row],[唯一識別碼]],Store_History[類型],$D$80)</f>
        <v>0</v>
      </c>
      <c r="M18" s="84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IF(Store_Setting[[#This Row],[商品名稱]]="","", _xlfn.CONCAT(" | ",Store_Setting[商品名稱])))</f>
        <v>9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Row],[唯一識別碼]],Store_History[類型],$D$80)</f>
        <v>0</v>
      </c>
      <c r="M19" s="84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IF(Store_Setting[[#This Row],[商品名稱]]="","", _xlfn.CONCAT(" | ",Store_Setting[商品名稱])))</f>
        <v>10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Row],[唯一識別碼]],Store_History[類型],$D$80)</f>
        <v>0</v>
      </c>
      <c r="M20" s="84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IF(Store_Setting[[#This Row],[商品名稱]]="","", _xlfn.CONCAT(" | ",Store_Setting[商品名稱])))</f>
        <v>11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Row],[唯一識別碼]],Store_History[類型],$D$80)</f>
        <v>0</v>
      </c>
      <c r="M21" s="84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IF(Store_Setting[[#This Row],[商品名稱]]="","", _xlfn.CONCAT(" | ",Store_Setting[商品名稱])))</f>
        <v>12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Row],[唯一識別碼]],Store_History[類型],$D$80)</f>
        <v>0</v>
      </c>
      <c r="M22" s="84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IF(Store_Setting[[#This Row],[商品名稱]]="","", _xlfn.CONCAT(" | ",Store_Setting[商品名稱])))</f>
        <v>13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Row],[唯一識別碼]],Store_History[類型],$D$80)</f>
        <v>0</v>
      </c>
      <c r="M23" s="84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IF(Store_Setting[[#This Row],[商品名稱]]="","", _xlfn.CONCAT(" | ",Store_Setting[商品名稱])))</f>
        <v>14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Row],[唯一識別碼]],Store_History[類型],$D$80)</f>
        <v>0</v>
      </c>
      <c r="M24" s="84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IF(Store_Setting[[#This Row],[商品名稱]]="","", _xlfn.CONCAT(" | ",Store_Setting[商品名稱])))</f>
        <v>15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Row],[唯一識別碼]],Store_History[類型],$D$80)</f>
        <v>0</v>
      </c>
      <c r="M25" s="84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IF(Store_Setting[[#This Row],[商品名稱]]="","", _xlfn.CONCAT(" | ",Store_Setting[商品名稱])))</f>
        <v>16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Row],[唯一識別碼]],Store_History[類型],$D$80)</f>
        <v>0</v>
      </c>
      <c r="M26" s="84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IF(Store_Setting[[#This Row],[商品名稱]]="","", _xlfn.CONCAT(" | ",Store_Setting[商品名稱])))</f>
        <v>17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Row],[唯一識別碼]],Store_History[類型],$D$80)</f>
        <v>0</v>
      </c>
      <c r="M27" s="84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IF(Store_Setting[[#This Row],[商品名稱]]="","", _xlfn.CONCAT(" | ",Store_Setting[商品名稱])))</f>
        <v>18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Row],[唯一識別碼]],Store_History[類型],$D$80)</f>
        <v>0</v>
      </c>
      <c r="M28" s="84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IF(Store_Setting[[#This Row],[商品名稱]]="","", _xlfn.CONCAT(" | ",Store_Setting[商品名稱])))</f>
        <v>19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Row],[唯一識別碼]],Store_History[類型],$D$80)</f>
        <v>0</v>
      </c>
      <c r="M29" s="84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IF(Store_Setting[[#This Row],[商品名稱]]="","", _xlfn.CONCAT(" | ",Store_Setting[商品名稱])))</f>
        <v>20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Row],[唯一識別碼]],Store_History[類型],$D$80)</f>
        <v>0</v>
      </c>
      <c r="M30" s="84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IF(Store_Setting[[#This Row],[商品名稱]]="","", _xlfn.CONCAT(" | ",Store_Setting[商品名稱])))</f>
        <v>21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Row],[唯一識別碼]],Store_History[類型],$D$80)</f>
        <v>0</v>
      </c>
      <c r="M31" s="84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IF(Store_Setting[[#This Row],[商品名稱]]="","", _xlfn.CONCAT(" | ",Store_Setting[商品名稱])))</f>
        <v>22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Row],[唯一識別碼]],Store_History[類型],$D$80)</f>
        <v>0</v>
      </c>
      <c r="M32" s="84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IF(Store_Setting[[#This Row],[商品名稱]]="","", _xlfn.CONCAT(" | ",Store_Setting[商品名稱])))</f>
        <v>23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Row],[唯一識別碼]],Store_History[類型],$D$80)</f>
        <v>0</v>
      </c>
      <c r="M33" s="84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IF(Store_Setting[[#This Row],[商品名稱]]="","", _xlfn.CONCAT(" | ",Store_Setting[商品名稱])))</f>
        <v>24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Row],[唯一識別碼]],Store_History[類型],$D$80)</f>
        <v>0</v>
      </c>
      <c r="M34" s="84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IF(Store_Setting[[#This Row],[商品名稱]]="","", _xlfn.CONCAT(" | ",Store_Setting[商品名稱])))</f>
        <v>25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Row],[唯一識別碼]],Store_History[類型],$D$80)</f>
        <v>0</v>
      </c>
      <c r="M35" s="84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IF(Store_Setting[[#This Row],[商品名稱]]="","", _xlfn.CONCAT(" | ",Store_Setting[商品名稱])))</f>
        <v>26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Row],[唯一識別碼]],Store_History[類型],$D$80)</f>
        <v>0</v>
      </c>
      <c r="M36" s="84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IF(Store_Setting[[#This Row],[商品名稱]]="","", _xlfn.CONCAT(" | ",Store_Setting[商品名稱])))</f>
        <v>27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Row],[唯一識別碼]],Store_History[類型],$D$80)</f>
        <v>0</v>
      </c>
      <c r="M37" s="84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IF(Store_Setting[[#This Row],[商品名稱]]="","", _xlfn.CONCAT(" | ",Store_Setting[商品名稱])))</f>
        <v>28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Row],[唯一識別碼]],Store_History[類型],$D$80)</f>
        <v>0</v>
      </c>
      <c r="M38" s="84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IF(Store_Setting[[#This Row],[商品名稱]]="","", _xlfn.CONCAT(" | ",Store_Setting[商品名稱])))</f>
        <v>29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Row],[唯一識別碼]],Store_History[類型],$D$80)</f>
        <v>0</v>
      </c>
      <c r="M39" s="84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IF(Store_Setting[[#This Row],[商品名稱]]="","", _xlfn.CONCAT(" | ",Store_Setting[商品名稱])))</f>
        <v>30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Row],[唯一識別碼]],Store_History[類型],$D$80)</f>
        <v>0</v>
      </c>
      <c r="M40" s="84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IF(Store_Setting[[#This Row],[商品名稱]]="","", _xlfn.CONCAT(" | ",Store_Setting[商品名稱])))</f>
        <v>31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Row],[唯一識別碼]],Store_History[類型],$D$80)</f>
        <v>0</v>
      </c>
      <c r="M41" s="84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IF(Store_Setting[[#This Row],[商品名稱]]="","", _xlfn.CONCAT(" | ",Store_Setting[商品名稱])))</f>
        <v>32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Row],[唯一識別碼]],Store_History[類型],$D$80)</f>
        <v>0</v>
      </c>
      <c r="M42" s="84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IF(Store_Setting[[#This Row],[商品名稱]]="","", _xlfn.CONCAT(" | ",Store_Setting[商品名稱])))</f>
        <v>33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Row],[唯一識別碼]],Store_History[類型],$D$80)</f>
        <v>0</v>
      </c>
      <c r="M43" s="84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IF(Store_Setting[[#This Row],[商品名稱]]="","", _xlfn.CONCAT(" | ",Store_Setting[商品名稱])))</f>
        <v>34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Row],[唯一識別碼]],Store_History[類型],$D$80)</f>
        <v>0</v>
      </c>
      <c r="M44" s="84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IF(Store_Setting[[#This Row],[商品名稱]]="","", _xlfn.CONCAT(" | ",Store_Setting[商品名稱])))</f>
        <v>35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Row],[唯一識別碼]],Store_History[類型],$D$80)</f>
        <v>0</v>
      </c>
      <c r="M45" s="84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IF(Store_Setting[[#This Row],[商品名稱]]="","", _xlfn.CONCAT(" | ",Store_Setting[商品名稱])))</f>
        <v>36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Row],[唯一識別碼]],Store_History[類型],$D$80)</f>
        <v>0</v>
      </c>
      <c r="M46" s="84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IF(Store_Setting[[#This Row],[商品名稱]]="","", _xlfn.CONCAT(" | ",Store_Setting[商品名稱])))</f>
        <v>37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Row],[唯一識別碼]],Store_History[類型],$D$80)</f>
        <v>0</v>
      </c>
      <c r="M47" s="84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IF(Store_Setting[[#This Row],[商品名稱]]="","", _xlfn.CONCAT(" | ",Store_Setting[商品名稱])))</f>
        <v>38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Row],[唯一識別碼]],Store_History[類型],$D$80)</f>
        <v>0</v>
      </c>
      <c r="M48" s="84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IF(Store_Setting[[#This Row],[商品名稱]]="","", _xlfn.CONCAT(" | ",Store_Setting[商品名稱])))</f>
        <v>39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Row],[唯一識別碼]],Store_History[類型],$D$80)</f>
        <v>0</v>
      </c>
      <c r="M49" s="84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IF(Store_Setting[[#This Row],[商品名稱]]="","", _xlfn.CONCAT(" | ",Store_Setting[商品名稱])))</f>
        <v>40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Row],[唯一識別碼]],Store_History[類型],$D$80)</f>
        <v>0</v>
      </c>
      <c r="M50" s="84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420</v>
      </c>
      <c r="H58" s="21" t="s">
        <v>440</v>
      </c>
      <c r="I58" s="21" t="s">
        <v>440</v>
      </c>
      <c r="J58" s="21" t="s">
        <v>420</v>
      </c>
      <c r="K58" s="21" t="s">
        <v>420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126" t="s">
        <v>469</v>
      </c>
      <c r="E70" s="21">
        <v>1</v>
      </c>
      <c r="F70" s="92" t="s">
        <v>470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 t="s">
        <v>471</v>
      </c>
      <c r="D71" s="88" t="s">
        <v>187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462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40" customHeight="1">
      <c r="B73" s="81"/>
      <c r="C73" s="42"/>
      <c r="D73" s="88" t="s">
        <v>169</v>
      </c>
      <c r="E73" s="21" t="s">
        <v>80</v>
      </c>
      <c r="F73" s="92"/>
      <c r="G73" s="91"/>
      <c r="H73" s="91"/>
      <c r="I73" s="91"/>
      <c r="J73" s="91"/>
      <c r="K73" s="91"/>
      <c r="L73" s="91"/>
      <c r="M73" s="91"/>
      <c r="N73" s="91"/>
      <c r="O73" s="91"/>
    </row>
    <row r="74" spans="2:15" s="115" customFormat="1" ht="8.25" customHeight="1">
      <c r="B74" s="116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</row>
    <row r="75" spans="2:15" s="115" customFormat="1" ht="40" customHeight="1">
      <c r="B75" s="118" t="s">
        <v>153</v>
      </c>
      <c r="C75" s="119" t="s">
        <v>464</v>
      </c>
      <c r="D75" s="120" t="s">
        <v>465</v>
      </c>
      <c r="E75" s="21" t="s">
        <v>81</v>
      </c>
      <c r="F75" s="121" t="s">
        <v>467</v>
      </c>
      <c r="G75" s="122"/>
      <c r="H75" s="122"/>
      <c r="I75" s="122"/>
      <c r="J75" s="122"/>
      <c r="K75" s="122"/>
      <c r="L75" s="122"/>
      <c r="M75" s="122"/>
      <c r="N75" s="122"/>
      <c r="O75" s="122"/>
    </row>
    <row r="76" spans="2:15" s="115" customFormat="1" ht="40" customHeight="1">
      <c r="B76" s="118"/>
      <c r="C76" s="119"/>
      <c r="D76" s="120" t="s">
        <v>466</v>
      </c>
      <c r="E76" s="125"/>
      <c r="F76" s="123"/>
      <c r="G76" s="123"/>
      <c r="H76" s="123"/>
      <c r="I76" s="123"/>
      <c r="J76" s="123"/>
      <c r="K76" s="123"/>
      <c r="L76" s="123"/>
      <c r="M76" s="123"/>
      <c r="N76" s="123"/>
      <c r="O76" s="124"/>
    </row>
    <row r="77" spans="2:15" ht="8.15" hidden="1" customHeight="1"/>
    <row r="78" spans="2:15" ht="40" hidden="1" customHeight="1">
      <c r="B78" s="94" t="s">
        <v>159</v>
      </c>
      <c r="C78" s="42" t="s">
        <v>211</v>
      </c>
      <c r="D78" s="95" t="s">
        <v>3</v>
      </c>
      <c r="E78" s="95" t="s">
        <v>4</v>
      </c>
      <c r="F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2:15" ht="8.15" hidden="1" customHeight="1">
      <c r="B79" s="86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</row>
    <row r="80" spans="2:15" ht="40" hidden="1" customHeight="1">
      <c r="B80" s="94" t="s">
        <v>426</v>
      </c>
      <c r="C80" s="42" t="s">
        <v>468</v>
      </c>
      <c r="D80" s="95" t="s">
        <v>189</v>
      </c>
      <c r="E80" s="95" t="s">
        <v>190</v>
      </c>
      <c r="F80" s="96"/>
      <c r="G80" s="96"/>
      <c r="H80" s="96"/>
      <c r="I80" s="96"/>
      <c r="J80" s="96"/>
      <c r="K80" s="96"/>
      <c r="L80" s="96"/>
      <c r="M80" s="96"/>
      <c r="N80" s="96"/>
      <c r="O80" s="96"/>
    </row>
    <row r="81" spans="2:15" ht="8.15" hidden="1" customHeight="1">
      <c r="B81" s="86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</row>
    <row r="82" spans="2:15" ht="40" hidden="1" customHeight="1">
      <c r="B82" s="94" t="s">
        <v>463</v>
      </c>
      <c r="C82" s="42" t="s">
        <v>199</v>
      </c>
      <c r="D82" s="95" t="s">
        <v>5</v>
      </c>
      <c r="E82" s="95" t="s">
        <v>6</v>
      </c>
      <c r="F82" s="96"/>
      <c r="G82" s="96"/>
      <c r="H82" s="96"/>
      <c r="I82" s="96"/>
      <c r="J82" s="96"/>
      <c r="K82" s="96"/>
      <c r="L82" s="96"/>
      <c r="M82" s="96"/>
      <c r="N82" s="96"/>
      <c r="O82" s="96"/>
    </row>
    <row r="83" spans="2:15" ht="8.15" customHeight="1">
      <c r="B83" s="86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</row>
    <row r="84" spans="2:15" ht="40" customHeight="1">
      <c r="B84" s="94" t="s">
        <v>181</v>
      </c>
      <c r="C84" s="97" t="s">
        <v>166</v>
      </c>
      <c r="D84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187</v>
      </c>
      <c r="D85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91"/>
      <c r="F85" s="42"/>
      <c r="G85" s="42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169</v>
      </c>
      <c r="D86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91"/>
      <c r="F86" s="42"/>
      <c r="G86" s="98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167</v>
      </c>
      <c r="D87" s="92" t="str">
        <f>_xlfn.CONCAT("共有 ", COUNTA(Get_Staff_Member)," 位元員工")</f>
        <v>共有 2 位元員工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40" customHeight="1">
      <c r="B88" s="94"/>
      <c r="C88" s="97" t="s">
        <v>188</v>
      </c>
      <c r="D88" s="92" t="str">
        <f>_xlfn.CONCAT("已設定 ", COUNTA(Get_Work_Unit)," 個單位")</f>
        <v>已設定 7 個單位</v>
      </c>
      <c r="E88" s="91"/>
      <c r="F88" s="42"/>
      <c r="G88" s="42"/>
      <c r="H88" s="42"/>
      <c r="I88" s="42"/>
      <c r="J88" s="42"/>
      <c r="K88" s="42"/>
      <c r="L88" s="42"/>
      <c r="M88" s="42"/>
      <c r="N88" s="42"/>
      <c r="O88" s="42"/>
    </row>
    <row r="89" spans="2:15" ht="16" customHeight="1"/>
    <row r="90" spans="2:15" ht="40" customHeight="1">
      <c r="B90" s="99" t="s">
        <v>193</v>
      </c>
      <c r="C90" s="99"/>
      <c r="D90" s="99"/>
      <c r="E90" s="99"/>
    </row>
    <row r="91" spans="2:15" ht="40" customHeight="1">
      <c r="B91" s="100" t="s">
        <v>191</v>
      </c>
      <c r="C91" s="8" t="s">
        <v>83</v>
      </c>
      <c r="D91" s="9"/>
      <c r="E91" s="9"/>
    </row>
    <row r="92" spans="2:15" ht="40" customHeight="1">
      <c r="B92" s="100" t="s">
        <v>12</v>
      </c>
      <c r="C92" s="101" t="s">
        <v>11</v>
      </c>
      <c r="D92" s="102"/>
      <c r="E92" s="102"/>
    </row>
    <row r="93" spans="2:15" ht="40" customHeight="1">
      <c r="B93" s="100" t="s">
        <v>192</v>
      </c>
      <c r="C93" s="8" t="s">
        <v>82</v>
      </c>
      <c r="D93" s="9"/>
      <c r="E93" s="9"/>
    </row>
    <row r="94" spans="2:15" ht="40" customHeight="1">
      <c r="B94" s="100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9" t="s">
        <v>215</v>
      </c>
      <c r="DU4" s="129"/>
      <c r="DV4" s="129"/>
      <c r="DW4" s="129"/>
      <c r="DX4" s="129"/>
      <c r="DY4" s="129" t="s">
        <v>214</v>
      </c>
      <c r="DZ4" s="129"/>
      <c r="EA4" s="129"/>
      <c r="EB4" s="129" t="s">
        <v>213</v>
      </c>
      <c r="EC4" s="129"/>
      <c r="ED4" s="41" t="s">
        <v>423</v>
      </c>
      <c r="EE4" s="130" t="s">
        <v>268</v>
      </c>
      <c r="EF4" s="130"/>
      <c r="EG4" s="130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9" t="s">
        <v>54</v>
      </c>
      <c r="AS4" s="129"/>
      <c r="AT4" s="129"/>
      <c r="AU4" s="129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40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2024-03-01T11:01:42Z</dcterms:modified>
</cp:coreProperties>
</file>