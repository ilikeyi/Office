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6BEA0E0-4CF7-4678-8231-E169BED7661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設定!$D$81:$E$81</definedName>
    <definedName name="Get_GUID">UserInfo[唯一識別碼]</definedName>
    <definedName name="Get_Keep_inventory">設定!$D$79:$E$79</definedName>
    <definedName name="Get_Staff_Member">設定!$D$53:$O$53</definedName>
    <definedName name="Get_Store_Uid">Store_Setting[唯一識別碼]</definedName>
    <definedName name="Get_Type_of_Access">設定!$D$77:$E$77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6" i="1"/>
  <c r="D87" i="1"/>
  <c r="B5" i="8" l="1" a="1"/>
  <c r="B5" i="8" s="1"/>
  <c r="D84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<sst xmlns="http://schemas.openxmlformats.org/spreadsheetml/2006/main" count="681" uniqueCount="470">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</sst>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Row],[唯一識別碼]],Store_History[類型],$D$79)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Row],[唯一識別碼]],Store_History[類型],$E$79)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6" t="s">
        <v>182</v>
      </c>
      <c r="I9" s="126"/>
      <c r="J9" s="126"/>
      <c r="K9" s="127" t="s">
        <v>183</v>
      </c>
      <c r="L9" s="127"/>
      <c r="M9" s="127"/>
      <c r="N9" s="127" t="s">
        <v>413</v>
      </c>
      <c r="O9" s="127"/>
      <c r="P9" s="127" t="s">
        <v>412</v>
      </c>
      <c r="Q9" s="127"/>
      <c r="R9" s="127"/>
      <c r="S9" s="127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IF(Store_Setting[[#This Row],[商品名稱]]="","", _xlfn.CONCAT(" | ",Store_Setting[商品名稱])))</f>
        <v>1 | 12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Row],[唯一識別碼]],Store_History[類型],$D$79)</f>
        <v>0</v>
      </c>
      <c r="M11" s="84">
        <f>SUMIFS(Store_History[数量],Store_History[唯一識別碼],Store_Setting[[#This Row],[唯一識別碼]],Store_History[類型],$E$79)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IF(Store_Setting[[#This Row],[商品名稱]]="","", _xlfn.CONCAT(" | ",Store_Setting[商品名稱])))</f>
        <v>2 | 12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Row],[唯一識別碼]],Store_History[類型],$D$79)</f>
        <v>0</v>
      </c>
      <c r="M12" s="84">
        <f>SUMIFS(Store_History[数量],Store_History[唯一識別碼],Store_Setting[[#This Row],[唯一識別碼]],Store_History[類型],$E$79)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IF(Store_Setting[[#This Row],[商品名稱]]="","", _xlfn.CONCAT(" | ",Store_Setting[商品名稱])))</f>
        <v>3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Row],[唯一識別碼]],Store_History[類型],$D$79)</f>
        <v>0</v>
      </c>
      <c r="M13" s="84">
        <f>SUMIFS(Store_History[数量],Store_History[唯一識別碼],Store_Setting[[#This Row],[唯一識別碼]],Store_History[類型],$E$79)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IF(Store_Setting[[#This Row],[商品名稱]]="","", _xlfn.CONCAT(" | ",Store_Setting[商品名稱])))</f>
        <v>4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Row],[唯一識別碼]],Store_History[類型],$D$79)</f>
        <v>0</v>
      </c>
      <c r="M14" s="84">
        <f>SUMIFS(Store_History[数量],Store_History[唯一識別碼],Store_Setting[[#This Row],[唯一識別碼]],Store_History[類型],$E$79)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IF(Store_Setting[[#This Row],[商品名稱]]="","", _xlfn.CONCAT(" | ",Store_Setting[商品名稱])))</f>
        <v>5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Row],[唯一識別碼]],Store_History[類型],$D$79)</f>
        <v>0</v>
      </c>
      <c r="M15" s="84">
        <f>SUMIFS(Store_History[数量],Store_History[唯一識別碼],Store_Setting[[#This Row],[唯一識別碼]],Store_History[類型],$E$79)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IF(Store_Setting[[#This Row],[商品名稱]]="","", _xlfn.CONCAT(" | ",Store_Setting[商品名稱])))</f>
        <v>6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Row],[唯一識別碼]],Store_History[類型],$D$79)</f>
        <v>0</v>
      </c>
      <c r="M16" s="84">
        <f>SUMIFS(Store_History[数量],Store_History[唯一識別碼],Store_Setting[[#This Row],[唯一識別碼]],Store_History[類型],$E$79)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IF(Store_Setting[[#This Row],[商品名稱]]="","", _xlfn.CONCAT(" | ",Store_Setting[商品名稱])))</f>
        <v>7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Row],[唯一識別碼]],Store_History[類型],$D$79)</f>
        <v>0</v>
      </c>
      <c r="M17" s="84">
        <f>SUMIFS(Store_History[数量],Store_History[唯一識別碼],Store_Setting[[#This Row],[唯一識別碼]],Store_History[類型],$E$79)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IF(Store_Setting[[#This Row],[商品名稱]]="","", _xlfn.CONCAT(" | ",Store_Setting[商品名稱])))</f>
        <v>8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Row],[唯一識別碼]],Store_History[類型],$D$79)</f>
        <v>0</v>
      </c>
      <c r="M18" s="84">
        <f>SUMIFS(Store_History[数量],Store_History[唯一識別碼],Store_Setting[[#This Row],[唯一識別碼]],Store_History[類型],$E$79)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IF(Store_Setting[[#This Row],[商品名稱]]="","", _xlfn.CONCAT(" | ",Store_Setting[商品名稱])))</f>
        <v>9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Row],[唯一識別碼]],Store_History[類型],$D$79)</f>
        <v>0</v>
      </c>
      <c r="M19" s="84">
        <f>SUMIFS(Store_History[数量],Store_History[唯一識別碼],Store_Setting[[#This Row],[唯一識別碼]],Store_History[類型],$E$79)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IF(Store_Setting[[#This Row],[商品名稱]]="","", _xlfn.CONCAT(" | ",Store_Setting[商品名稱])))</f>
        <v>10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Row],[唯一識別碼]],Store_History[類型],$D$79)</f>
        <v>0</v>
      </c>
      <c r="M20" s="84">
        <f>SUMIFS(Store_History[数量],Store_History[唯一識別碼],Store_Setting[[#This Row],[唯一識別碼]],Store_History[類型],$E$79)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IF(Store_Setting[[#This Row],[商品名稱]]="","", _xlfn.CONCAT(" | ",Store_Setting[商品名稱])))</f>
        <v>11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Row],[唯一識別碼]],Store_History[類型],$D$79)</f>
        <v>0</v>
      </c>
      <c r="M21" s="84">
        <f>SUMIFS(Store_History[数量],Store_History[唯一識別碼],Store_Setting[[#This Row],[唯一識別碼]],Store_History[類型],$E$79)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IF(Store_Setting[[#This Row],[商品名稱]]="","", _xlfn.CONCAT(" | ",Store_Setting[商品名稱])))</f>
        <v>12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Row],[唯一識別碼]],Store_History[類型],$D$79)</f>
        <v>0</v>
      </c>
      <c r="M22" s="84">
        <f>SUMIFS(Store_History[数量],Store_History[唯一識別碼],Store_Setting[[#This Row],[唯一識別碼]],Store_History[類型],$E$79)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IF(Store_Setting[[#This Row],[商品名稱]]="","", _xlfn.CONCAT(" | ",Store_Setting[商品名稱])))</f>
        <v>13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Row],[唯一識別碼]],Store_History[類型],$D$79)</f>
        <v>0</v>
      </c>
      <c r="M23" s="84">
        <f>SUMIFS(Store_History[数量],Store_History[唯一識別碼],Store_Setting[[#This Row],[唯一識別碼]],Store_History[類型],$E$79)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IF(Store_Setting[[#This Row],[商品名稱]]="","", _xlfn.CONCAT(" | ",Store_Setting[商品名稱])))</f>
        <v>14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Row],[唯一識別碼]],Store_History[類型],$D$79)</f>
        <v>0</v>
      </c>
      <c r="M24" s="84">
        <f>SUMIFS(Store_History[数量],Store_History[唯一識別碼],Store_Setting[[#This Row],[唯一識別碼]],Store_History[類型],$E$79)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IF(Store_Setting[[#This Row],[商品名稱]]="","", _xlfn.CONCAT(" | ",Store_Setting[商品名稱])))</f>
        <v>15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Row],[唯一識別碼]],Store_History[類型],$D$79)</f>
        <v>0</v>
      </c>
      <c r="M25" s="84">
        <f>SUMIFS(Store_History[数量],Store_History[唯一識別碼],Store_Setting[[#This Row],[唯一識別碼]],Store_History[類型],$E$79)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IF(Store_Setting[[#This Row],[商品名稱]]="","", _xlfn.CONCAT(" | ",Store_Setting[商品名稱])))</f>
        <v>16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Row],[唯一識別碼]],Store_History[類型],$D$79)</f>
        <v>0</v>
      </c>
      <c r="M26" s="84">
        <f>SUMIFS(Store_History[数量],Store_History[唯一識別碼],Store_Setting[[#This Row],[唯一識別碼]],Store_History[類型],$E$79)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IF(Store_Setting[[#This Row],[商品名稱]]="","", _xlfn.CONCAT(" | ",Store_Setting[商品名稱])))</f>
        <v>17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Row],[唯一識別碼]],Store_History[類型],$D$79)</f>
        <v>0</v>
      </c>
      <c r="M27" s="84">
        <f>SUMIFS(Store_History[数量],Store_History[唯一識別碼],Store_Setting[[#This Row],[唯一識別碼]],Store_History[類型],$E$79)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IF(Store_Setting[[#This Row],[商品名稱]]="","", _xlfn.CONCAT(" | ",Store_Setting[商品名稱])))</f>
        <v>18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Row],[唯一識別碼]],Store_History[類型],$D$79)</f>
        <v>0</v>
      </c>
      <c r="M28" s="84">
        <f>SUMIFS(Store_History[数量],Store_History[唯一識別碼],Store_Setting[[#This Row],[唯一識別碼]],Store_History[類型],$E$79)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IF(Store_Setting[[#This Row],[商品名稱]]="","", _xlfn.CONCAT(" | ",Store_Setting[商品名稱])))</f>
        <v>19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Row],[唯一識別碼]],Store_History[類型],$D$79)</f>
        <v>0</v>
      </c>
      <c r="M29" s="84">
        <f>SUMIFS(Store_History[数量],Store_History[唯一識別碼],Store_Setting[[#This Row],[唯一識別碼]],Store_History[類型],$E$79)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IF(Store_Setting[[#This Row],[商品名稱]]="","", _xlfn.CONCAT(" | ",Store_Setting[商品名稱])))</f>
        <v>20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Row],[唯一識別碼]],Store_History[類型],$D$79)</f>
        <v>0</v>
      </c>
      <c r="M30" s="84">
        <f>SUMIFS(Store_History[数量],Store_History[唯一識別碼],Store_Setting[[#This Row],[唯一識別碼]],Store_History[類型],$E$79)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IF(Store_Setting[[#This Row],[商品名稱]]="","", _xlfn.CONCAT(" | ",Store_Setting[商品名稱])))</f>
        <v>21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Row],[唯一識別碼]],Store_History[類型],$D$79)</f>
        <v>0</v>
      </c>
      <c r="M31" s="84">
        <f>SUMIFS(Store_History[数量],Store_History[唯一識別碼],Store_Setting[[#This Row],[唯一識別碼]],Store_History[類型],$E$79)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IF(Store_Setting[[#This Row],[商品名稱]]="","", _xlfn.CONCAT(" | ",Store_Setting[商品名稱])))</f>
        <v>22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Row],[唯一識別碼]],Store_History[類型],$D$79)</f>
        <v>0</v>
      </c>
      <c r="M32" s="84">
        <f>SUMIFS(Store_History[数量],Store_History[唯一識別碼],Store_Setting[[#This Row],[唯一識別碼]],Store_History[類型],$E$79)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IF(Store_Setting[[#This Row],[商品名稱]]="","", _xlfn.CONCAT(" | ",Store_Setting[商品名稱])))</f>
        <v>23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Row],[唯一識別碼]],Store_History[類型],$D$79)</f>
        <v>0</v>
      </c>
      <c r="M33" s="84">
        <f>SUMIFS(Store_History[数量],Store_History[唯一識別碼],Store_Setting[[#This Row],[唯一識別碼]],Store_History[類型],$E$79)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IF(Store_Setting[[#This Row],[商品名稱]]="","", _xlfn.CONCAT(" | ",Store_Setting[商品名稱])))</f>
        <v>24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Row],[唯一識別碼]],Store_History[類型],$D$79)</f>
        <v>0</v>
      </c>
      <c r="M34" s="84">
        <f>SUMIFS(Store_History[数量],Store_History[唯一識別碼],Store_Setting[[#This Row],[唯一識別碼]],Store_History[類型],$E$79)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IF(Store_Setting[[#This Row],[商品名稱]]="","", _xlfn.CONCAT(" | ",Store_Setting[商品名稱])))</f>
        <v>25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Row],[唯一識別碼]],Store_History[類型],$D$79)</f>
        <v>0</v>
      </c>
      <c r="M35" s="84">
        <f>SUMIFS(Store_History[数量],Store_History[唯一識別碼],Store_Setting[[#This Row],[唯一識別碼]],Store_History[類型],$E$79)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IF(Store_Setting[[#This Row],[商品名稱]]="","", _xlfn.CONCAT(" | ",Store_Setting[商品名稱])))</f>
        <v>26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Row],[唯一識別碼]],Store_History[類型],$D$79)</f>
        <v>0</v>
      </c>
      <c r="M36" s="84">
        <f>SUMIFS(Store_History[数量],Store_History[唯一識別碼],Store_Setting[[#This Row],[唯一識別碼]],Store_History[類型],$E$79)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IF(Store_Setting[[#This Row],[商品名稱]]="","", _xlfn.CONCAT(" | ",Store_Setting[商品名稱])))</f>
        <v>27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Row],[唯一識別碼]],Store_History[類型],$D$79)</f>
        <v>0</v>
      </c>
      <c r="M37" s="84">
        <f>SUMIFS(Store_History[数量],Store_History[唯一識別碼],Store_Setting[[#This Row],[唯一識別碼]],Store_History[類型],$E$79)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IF(Store_Setting[[#This Row],[商品名稱]]="","", _xlfn.CONCAT(" | ",Store_Setting[商品名稱])))</f>
        <v>28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Row],[唯一識別碼]],Store_History[類型],$D$79)</f>
        <v>0</v>
      </c>
      <c r="M38" s="84">
        <f>SUMIFS(Store_History[数量],Store_History[唯一識別碼],Store_Setting[[#This Row],[唯一識別碼]],Store_History[類型],$E$79)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IF(Store_Setting[[#This Row],[商品名稱]]="","", _xlfn.CONCAT(" | ",Store_Setting[商品名稱])))</f>
        <v>29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Row],[唯一識別碼]],Store_History[類型],$D$79)</f>
        <v>0</v>
      </c>
      <c r="M39" s="84">
        <f>SUMIFS(Store_History[数量],Store_History[唯一識別碼],Store_Setting[[#This Row],[唯一識別碼]],Store_History[類型],$E$79)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IF(Store_Setting[[#This Row],[商品名稱]]="","", _xlfn.CONCAT(" | ",Store_Setting[商品名稱])))</f>
        <v>30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Row],[唯一識別碼]],Store_History[類型],$D$79)</f>
        <v>0</v>
      </c>
      <c r="M40" s="84">
        <f>SUMIFS(Store_History[数量],Store_History[唯一識別碼],Store_Setting[[#This Row],[唯一識別碼]],Store_History[類型],$E$79)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IF(Store_Setting[[#This Row],[商品名稱]]="","", _xlfn.CONCAT(" | ",Store_Setting[商品名稱])))</f>
        <v>31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Row],[唯一識別碼]],Store_History[類型],$D$79)</f>
        <v>0</v>
      </c>
      <c r="M41" s="84">
        <f>SUMIFS(Store_History[数量],Store_History[唯一識別碼],Store_Setting[[#This Row],[唯一識別碼]],Store_History[類型],$E$79)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IF(Store_Setting[[#This Row],[商品名稱]]="","", _xlfn.CONCAT(" | ",Store_Setting[商品名稱])))</f>
        <v>32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Row],[唯一識別碼]],Store_History[類型],$D$79)</f>
        <v>0</v>
      </c>
      <c r="M42" s="84">
        <f>SUMIFS(Store_History[数量],Store_History[唯一識別碼],Store_Setting[[#This Row],[唯一識別碼]],Store_History[類型],$E$79)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IF(Store_Setting[[#This Row],[商品名稱]]="","", _xlfn.CONCAT(" | ",Store_Setting[商品名稱])))</f>
        <v>33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Row],[唯一識別碼]],Store_History[類型],$D$79)</f>
        <v>0</v>
      </c>
      <c r="M43" s="84">
        <f>SUMIFS(Store_History[数量],Store_History[唯一識別碼],Store_Setting[[#This Row],[唯一識別碼]],Store_History[類型],$E$79)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IF(Store_Setting[[#This Row],[商品名稱]]="","", _xlfn.CONCAT(" | ",Store_Setting[商品名稱])))</f>
        <v>34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Row],[唯一識別碼]],Store_History[類型],$D$79)</f>
        <v>0</v>
      </c>
      <c r="M44" s="84">
        <f>SUMIFS(Store_History[数量],Store_History[唯一識別碼],Store_Setting[[#This Row],[唯一識別碼]],Store_History[類型],$E$79)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IF(Store_Setting[[#This Row],[商品名稱]]="","", _xlfn.CONCAT(" | ",Store_Setting[商品名稱])))</f>
        <v>35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Row],[唯一識別碼]],Store_History[類型],$D$79)</f>
        <v>0</v>
      </c>
      <c r="M45" s="84">
        <f>SUMIFS(Store_History[数量],Store_History[唯一識別碼],Store_Setting[[#This Row],[唯一識別碼]],Store_History[類型],$E$79)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IF(Store_Setting[[#This Row],[商品名稱]]="","", _xlfn.CONCAT(" | ",Store_Setting[商品名稱])))</f>
        <v>36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Row],[唯一識別碼]],Store_History[類型],$D$79)</f>
        <v>0</v>
      </c>
      <c r="M46" s="84">
        <f>SUMIFS(Store_History[数量],Store_History[唯一識別碼],Store_Setting[[#This Row],[唯一識別碼]],Store_History[類型],$E$79)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IF(Store_Setting[[#This Row],[商品名稱]]="","", _xlfn.CONCAT(" | ",Store_Setting[商品名稱])))</f>
        <v>37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Row],[唯一識別碼]],Store_History[類型],$D$79)</f>
        <v>0</v>
      </c>
      <c r="M47" s="84">
        <f>SUMIFS(Store_History[数量],Store_History[唯一識別碼],Store_Setting[[#This Row],[唯一識別碼]],Store_History[類型],$E$79)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IF(Store_Setting[[#This Row],[商品名稱]]="","", _xlfn.CONCAT(" | ",Store_Setting[商品名稱])))</f>
        <v>38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Row],[唯一識別碼]],Store_History[類型],$D$79)</f>
        <v>0</v>
      </c>
      <c r="M48" s="84">
        <f>SUMIFS(Store_History[数量],Store_History[唯一識別碼],Store_Setting[[#This Row],[唯一識別碼]],Store_History[類型],$E$79)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IF(Store_Setting[[#This Row],[商品名稱]]="","", _xlfn.CONCAT(" | ",Store_Setting[商品名稱])))</f>
        <v>39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Row],[唯一識別碼]],Store_History[類型],$D$79)</f>
        <v>0</v>
      </c>
      <c r="M49" s="84">
        <f>SUMIFS(Store_History[数量],Store_History[唯一識別碼],Store_Setting[[#This Row],[唯一識別碼]],Store_History[類型],$E$79)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IF(Store_Setting[[#This Row],[商品名稱]]="","", _xlfn.CONCAT(" | ",Store_Setting[商品名稱])))</f>
        <v>40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Row],[唯一識別碼]],Store_History[類型],$D$79)</f>
        <v>0</v>
      </c>
      <c r="M50" s="84">
        <f>SUMIFS(Store_History[数量],Store_History[唯一識別碼],Store_Setting[[#This Row],[唯一識別碼]],Store_History[類型],$E$79)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88" t="s">
        <v>187</v>
      </c>
      <c r="E70" s="21" t="s">
        <v>80</v>
      </c>
      <c r="F70" s="92" t="s">
        <v>462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/>
      <c r="D71" s="88" t="s">
        <v>463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169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s="115" customFormat="1" ht="8.25" customHeight="1">
      <c r="B73" s="116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s="115" customFormat="1" ht="40" customHeight="1">
      <c r="B74" s="118" t="s">
        <v>153</v>
      </c>
      <c r="C74" s="119" t="s">
        <v>465</v>
      </c>
      <c r="D74" s="120" t="s">
        <v>466</v>
      </c>
      <c r="E74" s="21" t="s">
        <v>81</v>
      </c>
      <c r="F74" s="121" t="s">
        <v>468</v>
      </c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15" customFormat="1" ht="40" customHeight="1">
      <c r="B75" s="118"/>
      <c r="C75" s="119"/>
      <c r="D75" s="120" t="s">
        <v>467</v>
      </c>
      <c r="E75" s="125"/>
      <c r="F75" s="123"/>
      <c r="G75" s="123"/>
      <c r="H75" s="123"/>
      <c r="I75" s="123"/>
      <c r="J75" s="123"/>
      <c r="K75" s="123"/>
      <c r="L75" s="123"/>
      <c r="M75" s="123"/>
      <c r="N75" s="123"/>
      <c r="O75" s="124"/>
    </row>
    <row r="76" spans="2:15" ht="8.15" hidden="1" customHeight="1"/>
    <row r="77" spans="2:15" ht="40" hidden="1" customHeight="1">
      <c r="B77" s="94" t="s">
        <v>159</v>
      </c>
      <c r="C77" s="42" t="s">
        <v>211</v>
      </c>
      <c r="D77" s="95" t="s">
        <v>3</v>
      </c>
      <c r="E77" s="95" t="s">
        <v>4</v>
      </c>
      <c r="F77" s="96"/>
      <c r="G77" s="96"/>
      <c r="H77" s="96"/>
      <c r="I77" s="96"/>
      <c r="J77" s="96"/>
      <c r="K77" s="96"/>
      <c r="L77" s="96"/>
      <c r="M77" s="96"/>
      <c r="N77" s="96"/>
      <c r="O77" s="96"/>
    </row>
    <row r="78" spans="2:15" ht="8.15" hidden="1" customHeight="1">
      <c r="B78" s="86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</row>
    <row r="79" spans="2:15" ht="40" hidden="1" customHeight="1">
      <c r="B79" s="94" t="s">
        <v>426</v>
      </c>
      <c r="C79" s="42" t="s">
        <v>469</v>
      </c>
      <c r="D79" s="95" t="s">
        <v>189</v>
      </c>
      <c r="E79" s="95" t="s">
        <v>190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15" hidden="1" customHeight="1">
      <c r="B80" s="86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</row>
    <row r="81" spans="2:15" ht="40" hidden="1" customHeight="1">
      <c r="B81" s="94" t="s">
        <v>464</v>
      </c>
      <c r="C81" s="42" t="s">
        <v>199</v>
      </c>
      <c r="D81" s="95" t="s">
        <v>5</v>
      </c>
      <c r="E81" s="95" t="s">
        <v>6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15" customHeight="1">
      <c r="B82" s="86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customHeight="1">
      <c r="B83" s="94" t="s">
        <v>181</v>
      </c>
      <c r="C83" s="97" t="s">
        <v>166</v>
      </c>
      <c r="D83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3" s="91"/>
      <c r="F83" s="42"/>
      <c r="G83" s="42"/>
      <c r="H83" s="42"/>
      <c r="I83" s="42"/>
      <c r="J83" s="42"/>
      <c r="K83" s="42"/>
      <c r="L83" s="42"/>
      <c r="M83" s="42"/>
      <c r="N83" s="42"/>
      <c r="O83" s="42"/>
    </row>
    <row r="84" spans="2:15" ht="40" customHeight="1">
      <c r="B84" s="94"/>
      <c r="C84" s="97" t="s">
        <v>187</v>
      </c>
      <c r="D84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169</v>
      </c>
      <c r="D85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5" s="91"/>
      <c r="F85" s="42"/>
      <c r="G85" s="98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167</v>
      </c>
      <c r="D86" s="92" t="str">
        <f>_xlfn.CONCAT("共有 ", COUNTA(Get_Staff_Member)," 位元員工")</f>
        <v>共有 2 位元員工</v>
      </c>
      <c r="E86" s="91"/>
      <c r="F86" s="42"/>
      <c r="G86" s="42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188</v>
      </c>
      <c r="D87" s="92" t="str">
        <f>_xlfn.CONCAT("已設定 ", COUNTA(Get_Work_Unit)," 個單位")</f>
        <v>已設定 7 個單位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16" customHeight="1"/>
    <row r="89" spans="2:15" ht="40" customHeight="1">
      <c r="B89" s="99" t="s">
        <v>193</v>
      </c>
      <c r="C89" s="99"/>
      <c r="D89" s="99"/>
      <c r="E89" s="99"/>
    </row>
    <row r="90" spans="2:15" ht="40" customHeight="1">
      <c r="B90" s="100" t="s">
        <v>191</v>
      </c>
      <c r="C90" s="8" t="s">
        <v>83</v>
      </c>
      <c r="D90" s="9"/>
      <c r="E90" s="9"/>
    </row>
    <row r="91" spans="2:15" ht="40" customHeight="1">
      <c r="B91" s="100" t="s">
        <v>12</v>
      </c>
      <c r="C91" s="101" t="s">
        <v>11</v>
      </c>
      <c r="D91" s="102"/>
      <c r="E91" s="102"/>
    </row>
    <row r="92" spans="2:15" ht="40" customHeight="1">
      <c r="B92" s="100" t="s">
        <v>192</v>
      </c>
      <c r="C92" s="8" t="s">
        <v>82</v>
      </c>
      <c r="D92" s="9"/>
      <c r="E92" s="9"/>
    </row>
    <row r="93" spans="2:15" ht="40" customHeight="1">
      <c r="B93" s="100" t="s">
        <v>79</v>
      </c>
      <c r="C93" s="8" t="s">
        <v>416</v>
      </c>
      <c r="D93" s="8"/>
      <c r="E93" s="8"/>
    </row>
    <row r="94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4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8" t="s">
        <v>215</v>
      </c>
      <c r="DU4" s="128"/>
      <c r="DV4" s="128"/>
      <c r="DW4" s="128"/>
      <c r="DX4" s="128"/>
      <c r="DY4" s="128" t="s">
        <v>214</v>
      </c>
      <c r="DZ4" s="128"/>
      <c r="EA4" s="128"/>
      <c r="EB4" s="128" t="s">
        <v>213</v>
      </c>
      <c r="EC4" s="128"/>
      <c r="ED4" s="41" t="s">
        <v>423</v>
      </c>
      <c r="EE4" s="129" t="s">
        <v>268</v>
      </c>
      <c r="EF4" s="129"/>
      <c r="EG4" s="129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8" t="s">
        <v>54</v>
      </c>
      <c r="AS4" s="128"/>
      <c r="AT4" s="128"/>
      <c r="AU4" s="128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40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2024-03-01T05:37:37Z</dcterms:modified>
</cp:coreProperties>
</file>