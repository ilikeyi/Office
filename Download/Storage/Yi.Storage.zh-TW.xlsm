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723CF93-DF25-4639-98CB-3BD04EBEA68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設定!$D$74:$E$74</definedName>
    <definedName name="Get_GUID">UserInfo[唯一識別碼]</definedName>
    <definedName name="Get_Keep_inventory">設定!$D$72:$E$72</definedName>
    <definedName name="Get_Staff_Member">設定!$D$53:$O$53</definedName>
    <definedName name="Get_Store_Uid">Store_Setting[唯一識別碼]</definedName>
    <definedName name="Get_Type_of_Access">設定!$D$70:$E$70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0" i="1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L31" i="1"/>
  <c r="M31" i="1"/>
  <c r="L23" i="1"/>
  <c r="M23" i="1"/>
  <c r="M15" i="1"/>
  <c r="L15" i="1"/>
  <c r="M46" i="1"/>
  <c r="L46" i="1"/>
  <c r="M38" i="1"/>
  <c r="L38" i="1"/>
  <c r="K38" i="1" s="1"/>
  <c r="M30" i="1"/>
  <c r="L30" i="1"/>
  <c r="M22" i="1"/>
  <c r="L22" i="1"/>
  <c r="M14" i="1"/>
  <c r="L14" i="1"/>
  <c r="M45" i="1"/>
  <c r="L45" i="1"/>
  <c r="K45" i="1" s="1"/>
  <c r="M37" i="1"/>
  <c r="L37" i="1"/>
  <c r="M29" i="1"/>
  <c r="L29" i="1"/>
  <c r="M21" i="1"/>
  <c r="L21" i="1"/>
  <c r="M13" i="1"/>
  <c r="L13" i="1"/>
  <c r="M44" i="1"/>
  <c r="L44" i="1"/>
  <c r="M36" i="1"/>
  <c r="L36" i="1"/>
  <c r="M28" i="1"/>
  <c r="L28" i="1"/>
  <c r="M20" i="1"/>
  <c r="L20" i="1"/>
  <c r="K20" i="1" s="1"/>
  <c r="M12" i="1"/>
  <c r="L12" i="1"/>
  <c r="M43" i="1"/>
  <c r="L43" i="1"/>
  <c r="M35" i="1"/>
  <c r="L35" i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K21" i="1"/>
  <c r="K14" i="1"/>
  <c r="G14" i="1" s="1"/>
  <c r="K46" i="1"/>
  <c r="G46" i="1" s="1"/>
  <c r="K39" i="1"/>
  <c r="K22" i="1"/>
  <c r="G22" i="1" s="1"/>
  <c r="K32" i="1"/>
  <c r="G32" i="1" s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36" i="1"/>
  <c r="G38" i="1"/>
  <c r="G23" i="1"/>
  <c r="G21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<sst xmlns="http://schemas.openxmlformats.org/spreadsheetml/2006/main" count="629" uniqueCount="441">
  <si>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</si>
  <si>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</si>
  <si>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</si>
  <si>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</si>
  <si>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</si>
  <si>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</si>
  <si>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</si>
  <si>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</si>
  <si>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</si>
  <si>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</si>
  <si>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</si>
  <si>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</si>
  <si>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</si>
  <si>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</si>
  <si>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</si>
  <si>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</si>
  <si>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</si>
  <si>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</si>
  <si>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</si>
  <si>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</si>
  <si>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</si>
  <si>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</si>
  <si>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</si>
  <si>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</si>
  <si>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</si>
  <si>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</si>
  <si>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</si>
  <si>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</si>
  <si>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</si>
  <si>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</si>
  <si>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</si>
  <si>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</si>
  <si>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</si>
  <si>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</si>
  <si>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</si>
  <si>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</si>
  <si>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</si>
  <si>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</si>
  <si>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</si>
  <si>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</si>
  <si>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</si>
  <si>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</si>
  <si>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</si>
  <si>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</si>
  <si>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</si>
  <si>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</si>
  <si>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</si>
  <si>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</si>
  <si>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</si>
  <si>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</si>
  <si>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</si>
  <si>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</si>
  <si>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</si>
  <si>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</si>
  <si>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</si>
  <si>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</si>
  <si>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</si>
  <si>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</si>
  <si>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</si>
  <si>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</si>
  <si>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</si>
  <si>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</si>
  <si>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</si>
  <si>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</si>
  <si>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</si>
  <si>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</si>
  <si>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</si>
  <si>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</si>
  <si>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</si>
  <si>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</si>
  <si>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</si>
  <si>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</si>
  <si>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</si>
  <si>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</si>
  <si>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</si>
  <si>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</si>
  <si>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</si>
  <si>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</si>
  <si>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</si>
  <si>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</si>
  <si>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</si>
  <si>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</si>
  <si>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</si>
  <si>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</si>
  <si>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</si>
  <si>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</si>
  <si>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</si>
  <si>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</si>
  <si>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</si>
  <si>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</si>
  <si>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</si>
  <si>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</si>
  <si>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</si>
  <si>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</si>
  <si>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</si>
  <si>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</si>
  <si>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</si>
  <si>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</si>
  <si>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</si>
  <si>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</si>
  <si>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</si>
  <si>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</si>
  <si>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</si>
  <si>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</si>
  <si>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</si>
  <si>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</si>
  <si>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</si>
  <si>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</si>
  <si>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</si>
  <si>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</si>
  <si>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</si>
  <si>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</si>
  <si>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</si>
  <si>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</si>
  <si>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</si>
  <si>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</si>
  <si>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</si>
  <si>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</si>
  <si>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</si>
  <si>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</si>
  <si>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</si>
  <si>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</si>
  <si>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</si>
  <si>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</si>
  <si>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</si>
  <si>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</si>
  <si>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</si>
  <si>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</si>
  <si>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</si>
  <si>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</si>
  <si>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</si>
  <si>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</si>
  <si>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</si>
  <si>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</si>
  <si>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</si>
  <si>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</si>
  <si>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</si>
  <si>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</si>
  <si>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</si>
  <si>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</si>
  <si>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</si>
  <si>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</si>
  <si>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</si>
  <si>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</si>
  <si>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</si>
  <si>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</si>
  <si>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</si>
  <si>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</si>
  <si>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</si>
  <si>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</si>
  <si>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</si>
  <si>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</si>
  <si>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</si>
  <si>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</si>
  <si>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</si>
  <si>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</si>
  <si>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</si>
  <si>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</si>
  <si>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</si>
  <si>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</si>
  <si>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</si>
  <si>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</si>
  <si>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</si>
  <si>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</si>
  <si>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</si>
  <si>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</si>
  <si>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</si>
  <si>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</si>
  <si>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</si>
  <si>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</si>
  <si>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</si>
  <si>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</si>
  <si>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</si>
  <si>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</si>
  <si>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</si>
  <si>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</si>
  <si>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</si>
  <si>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</si>
  <si>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</si>
  <si>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</si>
  <si>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</si>
  <si>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</si>
  <si>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</si>
  <si>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</si>
  <si>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</si>
  <si>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</si>
  <si>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</si>
  <si>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</si>
  <si>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</si>
  <si>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</si>
  <si>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</si>
  <si>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</si>
  <si>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</si>
  <si>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</si>
  <si>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</si>
  <si>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</si>
  <si>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</si>
  <si>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</si>
  <si>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</si>
  <si>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</si>
  <si>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</si>
  <si>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</si>
  <si>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</si>
  <si>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</si>
  <si>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</si>
  <si>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</si>
  <si>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</si>
  <si>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</si>
  <si>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</si>
  <si>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</si>
  <si>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</si>
  <si>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</si>
  <si>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</si>
  <si>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</si>
  <si>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</si>
  <si>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</si>
  <si>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</si>
  <si>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</si>
  <si>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</si>
  <si>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</si>
  <si>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</si>
  <si>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</si>
  <si>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</si>
  <si>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</si>
  <si>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</si>
  <si>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</si>
  <si>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</si>
  <si>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</si>
  <si>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</si>
  <si>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</si>
  <si>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</si>
  <si>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</si>
  <si>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</si>
  <si>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</si>
  <si>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</si>
  <si>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</si>
  <si>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</si>
  <si>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</si>
  <si>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</si>
  <si>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</si>
  <si>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</si>
  <si>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</si>
  <si>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</si>
  <si>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</si>
  <si>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</si>
  <si>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</si>
  <si>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</si>
  <si>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</si>
  <si>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</si>
  <si>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</si>
  <si>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</si>
  <si>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</si>
  <si>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</si>
  <si>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</si>
  <si>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</si>
  <si>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</si>
  <si>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</si>
  <si>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</si>
  <si>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</si>
  <si>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</si>
  <si>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</si>
  <si>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</si>
  <si>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</si>
  <si>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</si>
  <si>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</si>
  <si>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</si>
  <si>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</si>
  <si>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</si>
  <si>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</si>
  <si>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</si>
  <si>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</si>
  <si>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</si>
  <si>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</si>
  <si>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</si>
  <si>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</si>
  <si>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</si>
  <si>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</si>
  <si>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</si>
  <si>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</si>
  <si>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</si>
  <si>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</si>
  <si>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</si>
  <si>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</si>
  <si>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</si>
  <si>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</si>
  <si>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</si>
  <si>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</si>
  <si>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</si>
  <si>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</si>
  <si>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</si>
  <si>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</si>
  <si>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</si>
  <si>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</si>
  <si>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</si>
  <si>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</si>
  <si>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</si>
  <si>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</si>
  <si>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</si>
  <si>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</si>
  <si>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</si>
  <si>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</si>
  <si>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</si>
  <si>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</si>
  <si>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</si>
  <si>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</si>
  <si>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</si>
  <si>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</si>
  <si>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</si>
  <si>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</si>
  <si>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</si>
  <si>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</si>
  <si>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</si>
  <si>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</si>
  <si>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</si>
  <si>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</si>
  <si>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</si>
  <si>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</si>
  <si>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</si>
  <si>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</si>
  <si>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</si>
  <si>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</si>
  <si>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</si>
  <si>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</si>
  <si>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</si>
  <si>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</si>
  <si>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</si>
  <si>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</si>
  <si>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</si>
  <si>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</si>
  <si>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</si>
  <si>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</si>
  <si>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</si>
  <si>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</si>
  <si>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</si>
  <si>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</si>
  <si>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</si>
  <si>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</si>
  <si>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</si>
  <si>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</si>
  <si>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</si>
  <si>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</si>
  <si>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</si>
  <si>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</si>
  <si>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</si>
  <si>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</si>
  <si>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</si>
  <si>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</si>
  <si>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</si>
  <si>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</si>
  <si>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</si>
  <si>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</si>
  <si>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</si>
  <si>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</si>
  <si>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</si>
  <si>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</si>
  <si>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</si>
  <si>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</si>
  <si>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</si>
  <si>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</si>
  <si>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</si>
  <si>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</si>
  <si>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</si>
  <si>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</si>
  <si>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</si>
  <si>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</si>
  <si>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</si>
  <si>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</si>
  <si>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</si>
  <si>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</si>
  <si>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</si>
  <si>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</si>
  <si>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</si>
  <si>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</si>
  <si>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</si>
  <si>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</si>
  <si>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</si>
  <si>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</si>
  <si>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</si>
  <si>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</si>
  <si>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</si>
  <si>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</si>
  <si>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</si>
  <si>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</si>
  <si>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</si>
  <si>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</si>
  <si>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</si>
  <si>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</si>
  <si>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</si>
  <si>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</si>
  <si>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</si>
  <si>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</si>
  <si>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</si>
  <si>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</si>
  <si>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</si>
  <si>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</si>
  <si>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</si>
  <si>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</si>
  <si>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</si>
  <si>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</si>
  <si>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</si>
  <si>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</si>
  <si>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</si>
  <si>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</si>
  <si>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</si>
  <si>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</si>
  <si>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</si>
  <si>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</si>
  <si>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</si>
  <si>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</si>
  <si>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</si>
  <si>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</si>
  <si>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</si>
  <si>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</si>
  <si>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</si>
  <si>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</si>
  <si>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</si>
  <si>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</si>
  <si>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</si>
  <si>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</si>
  <si>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</si>
  <si>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</si>
  <si>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</si>
  <si>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</si>
  <si>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</si>
  <si>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</si>
  <si>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</si>
  <si>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</si>
  <si>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</si>
  <si>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</si>
  <si>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</si>
  <si>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</si>
  <si>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</si>
  <si>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</si>
  <si>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</si>
  <si>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</si>
  <si>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</si>
  <si>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</si>
  <si>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* 自動鎖定超過 24 小時的歷史記錄</t>
  </si>
  <si>
    <t>可編輯</t>
  </si>
  <si>
    <t>狀態</t>
  </si>
  <si>
    <t>不可編輯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</si>
</sst>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可編輯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1" t="s">
        <v>185</v>
      </c>
      <c r="H9" s="141" t="s">
        <v>186</v>
      </c>
      <c r="I9" s="141"/>
      <c r="J9" s="141"/>
      <c r="K9" s="142" t="s">
        <v>187</v>
      </c>
      <c r="L9" s="142"/>
      <c r="M9" s="142"/>
      <c r="N9" s="142" t="s">
        <v>420</v>
      </c>
      <c r="O9" s="142"/>
      <c r="P9" s="142" t="s">
        <v>419</v>
      </c>
      <c r="Q9" s="142"/>
      <c r="R9" s="142"/>
      <c r="S9" s="142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2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39" t="s">
        <v>281</v>
      </c>
      <c r="Q10" s="139" t="s">
        <v>282</v>
      </c>
      <c r="R10" s="139" t="s">
        <v>283</v>
      </c>
      <c r="S10" s="139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189</v>
      </c>
      <c r="D53" s="104" t="s">
        <v>206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190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429</v>
      </c>
      <c r="D58" s="54" t="s">
        <v>428</v>
      </c>
      <c r="E58" s="54" t="s">
        <v>428</v>
      </c>
      <c r="F58" s="54" t="s">
        <v>427</v>
      </c>
      <c r="G58" s="54" t="s">
        <v>427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1" t="s">
        <v>426</v>
      </c>
      <c r="N58" s="126"/>
      <c r="O58" s="126"/>
    </row>
    <row r="59" spans="2:19" ht="40" customHeight="1" x14ac:dyDescent="0.4">
      <c r="B59" s="24"/>
      <c r="C59" s="58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1"/>
      <c r="K59" s="54" t="s">
        <v>428</v>
      </c>
      <c r="L59" s="54" t="s">
        <v>428</v>
      </c>
      <c r="M59" s="131"/>
      <c r="N59" s="126"/>
      <c r="O59" s="126"/>
    </row>
    <row r="60" spans="2:19" ht="40" customHeight="1" x14ac:dyDescent="0.4">
      <c r="B60" s="24"/>
      <c r="C60" s="58" t="s">
        <v>202</v>
      </c>
      <c r="D60" s="54" t="s">
        <v>83</v>
      </c>
      <c r="E60" s="127" t="s">
        <v>200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269</v>
      </c>
      <c r="D61" s="54" t="s">
        <v>82</v>
      </c>
      <c r="E61" s="127" t="s">
        <v>268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432</v>
      </c>
      <c r="D62" s="54" t="s">
        <v>82</v>
      </c>
      <c r="E62" s="127" t="s">
        <v>433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270</v>
      </c>
      <c r="D63" s="54" t="s">
        <v>82</v>
      </c>
      <c r="E63" s="127" t="s">
        <v>267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192</v>
      </c>
      <c r="D65" s="103" t="s">
        <v>149</v>
      </c>
      <c r="E65" s="103" t="s">
        <v>198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271</v>
      </c>
      <c r="D66" s="54" t="s">
        <v>82</v>
      </c>
      <c r="E66" s="127" t="s">
        <v>199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272</v>
      </c>
      <c r="D67" s="54" t="s">
        <v>82</v>
      </c>
      <c r="E67" s="127" t="s">
        <v>266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273</v>
      </c>
      <c r="D68" s="54" t="s">
        <v>82</v>
      </c>
      <c r="E68" s="127" t="s">
        <v>265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/>
    <row r="70" spans="2:15" ht="40" customHeight="1" x14ac:dyDescent="0.4">
      <c r="B70" s="116" t="s">
        <v>146</v>
      </c>
      <c r="C70" s="25" t="s">
        <v>2</v>
      </c>
      <c r="D70" s="124" t="s">
        <v>5</v>
      </c>
      <c r="E70" s="124" t="s">
        <v>6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1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" customHeight="1" x14ac:dyDescent="0.4">
      <c r="B72" s="116" t="s">
        <v>155</v>
      </c>
      <c r="C72" s="25" t="s">
        <v>169</v>
      </c>
      <c r="D72" s="124" t="s">
        <v>193</v>
      </c>
      <c r="E72" s="124" t="s">
        <v>194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customHeight="1" x14ac:dyDescent="0.4">
      <c r="B74" s="116" t="s">
        <v>161</v>
      </c>
      <c r="C74" s="25" t="s">
        <v>0</v>
      </c>
      <c r="D74" s="124" t="s">
        <v>7</v>
      </c>
      <c r="E74" s="124" t="s">
        <v>8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customHeight="1" x14ac:dyDescent="0.4">
      <c r="B76" s="24" t="s">
        <v>434</v>
      </c>
      <c r="C76" s="25" t="s">
        <v>435</v>
      </c>
      <c r="D76" s="27" t="s">
        <v>436</v>
      </c>
      <c r="E76" s="131" t="s">
        <v>437</v>
      </c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7" spans="2:15" ht="40" customHeight="1" x14ac:dyDescent="0.4">
      <c r="B77" s="24"/>
      <c r="C77" s="25"/>
      <c r="D77" s="54" t="s">
        <v>82</v>
      </c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</row>
    <row r="78" spans="2:15" ht="8.1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customHeight="1" x14ac:dyDescent="0.4">
      <c r="B79" s="116" t="s">
        <v>185</v>
      </c>
      <c r="C79" s="130" t="s">
        <v>170</v>
      </c>
      <c r="D79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191</v>
      </c>
      <c r="D80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0" s="126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173</v>
      </c>
      <c r="D81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1" s="126"/>
      <c r="F81" s="25"/>
      <c r="G81" s="132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171</v>
      </c>
      <c r="D82" s="131" t="str">
        <f>_xlfn.CONCAT("共有 ", COUNTA(Get_Staff_Member)," 位元員工")</f>
        <v>共有 2 位元員工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customHeight="1" x14ac:dyDescent="0.4">
      <c r="B83" s="116"/>
      <c r="C83" s="130" t="s">
        <v>192</v>
      </c>
      <c r="D83" s="131" t="str">
        <f>_xlfn.CONCAT("已設定 ", COUNTA(Get_Work_Unit)," 個單位")</f>
        <v>已設定 7 個單位</v>
      </c>
      <c r="E83" s="126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" customHeight="1" x14ac:dyDescent="0.4"/>
    <row r="85" spans="2:15" ht="40" customHeight="1" x14ac:dyDescent="0.4">
      <c r="B85" s="41" t="s">
        <v>197</v>
      </c>
      <c r="C85" s="41"/>
      <c r="D85" s="41"/>
      <c r="E85" s="41"/>
    </row>
    <row r="86" spans="2:15" ht="40" customHeight="1" x14ac:dyDescent="0.4">
      <c r="B86" s="29" t="s">
        <v>195</v>
      </c>
      <c r="C86" s="34" t="s">
        <v>85</v>
      </c>
      <c r="D86" s="42"/>
      <c r="E86" s="42"/>
    </row>
    <row r="87" spans="2:15" ht="40" customHeight="1" x14ac:dyDescent="0.4">
      <c r="B87" s="29" t="s">
        <v>14</v>
      </c>
      <c r="C87" s="37" t="s">
        <v>13</v>
      </c>
      <c r="D87" s="40"/>
      <c r="E87" s="40"/>
    </row>
    <row r="88" spans="2:15" ht="40" customHeight="1" x14ac:dyDescent="0.4">
      <c r="B88" s="29" t="s">
        <v>196</v>
      </c>
      <c r="C88" s="34" t="s">
        <v>84</v>
      </c>
      <c r="D88" s="42"/>
      <c r="E88" s="42"/>
    </row>
    <row r="89" spans="2:15" ht="40" customHeight="1" x14ac:dyDescent="0.4">
      <c r="B89" s="29" t="s">
        <v>81</v>
      </c>
      <c r="C89" s="34" t="s">
        <v>423</v>
      </c>
      <c r="D89" s="34"/>
      <c r="E89" s="34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207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4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212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193</v>
      </c>
      <c r="E7" s="16"/>
      <c r="F7" s="19"/>
      <c r="G7" s="68">
        <v>45268.505555555559</v>
      </c>
      <c r="H7" s="44" t="s">
        <v>164</v>
      </c>
      <c r="I7" s="109" t="s">
        <v>168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208</v>
      </c>
      <c r="D7" s="118" t="s">
        <v>177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203</v>
      </c>
      <c r="E10" s="7"/>
      <c r="F10" s="95"/>
      <c r="G10" s="61"/>
    </row>
    <row r="11" spans="1:8" ht="35.15" customHeight="1" x14ac:dyDescent="0.4">
      <c r="B11" s="49"/>
      <c r="C11" s="49"/>
      <c r="D11" s="52" t="s">
        <v>204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205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212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2" customWidth="1"/>
    <col min="135" max="135" width="14.69140625" style="96" customWidth="1"/>
    <col min="136" max="137" width="14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280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219</v>
      </c>
      <c r="DU6" s="143"/>
      <c r="DV6" s="143"/>
      <c r="DW6" s="143"/>
      <c r="DX6" s="143"/>
      <c r="DY6" s="143" t="s">
        <v>218</v>
      </c>
      <c r="DZ6" s="143"/>
      <c r="EA6" s="143"/>
      <c r="EB6" s="143" t="s">
        <v>217</v>
      </c>
      <c r="EC6" s="143"/>
      <c r="ED6" s="88" t="s">
        <v>431</v>
      </c>
      <c r="EE6" s="144" t="s">
        <v>274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214</v>
      </c>
      <c r="C8" s="77" t="s">
        <v>177</v>
      </c>
      <c r="D8" s="77" t="s">
        <v>221</v>
      </c>
      <c r="E8" s="77" t="s">
        <v>55</v>
      </c>
      <c r="F8" s="77" t="s">
        <v>54</v>
      </c>
      <c r="G8" s="77" t="s">
        <v>222</v>
      </c>
      <c r="H8" s="77" t="s">
        <v>53</v>
      </c>
      <c r="I8" s="77" t="s">
        <v>52</v>
      </c>
      <c r="J8" s="77" t="s">
        <v>223</v>
      </c>
      <c r="K8" s="77" t="s">
        <v>30</v>
      </c>
      <c r="L8" s="77" t="s">
        <v>51</v>
      </c>
      <c r="M8" s="77" t="s">
        <v>224</v>
      </c>
      <c r="N8" s="77" t="s">
        <v>31</v>
      </c>
      <c r="O8" s="77" t="s">
        <v>50</v>
      </c>
      <c r="P8" s="77" t="s">
        <v>225</v>
      </c>
      <c r="Q8" s="77" t="s">
        <v>32</v>
      </c>
      <c r="R8" s="77" t="s">
        <v>49</v>
      </c>
      <c r="S8" s="77" t="s">
        <v>226</v>
      </c>
      <c r="T8" s="77" t="s">
        <v>33</v>
      </c>
      <c r="U8" s="77" t="s">
        <v>46</v>
      </c>
      <c r="V8" s="77" t="s">
        <v>227</v>
      </c>
      <c r="W8" s="77" t="s">
        <v>34</v>
      </c>
      <c r="X8" s="77" t="s">
        <v>39</v>
      </c>
      <c r="Y8" s="77" t="s">
        <v>228</v>
      </c>
      <c r="Z8" s="77" t="s">
        <v>35</v>
      </c>
      <c r="AA8" s="77" t="s">
        <v>40</v>
      </c>
      <c r="AB8" s="77" t="s">
        <v>229</v>
      </c>
      <c r="AC8" s="77" t="s">
        <v>36</v>
      </c>
      <c r="AD8" s="77" t="s">
        <v>41</v>
      </c>
      <c r="AE8" s="77" t="s">
        <v>230</v>
      </c>
      <c r="AF8" s="77" t="s">
        <v>37</v>
      </c>
      <c r="AG8" s="77" t="s">
        <v>42</v>
      </c>
      <c r="AH8" s="77" t="s">
        <v>231</v>
      </c>
      <c r="AI8" s="77" t="s">
        <v>38</v>
      </c>
      <c r="AJ8" s="77" t="s">
        <v>43</v>
      </c>
      <c r="AK8" s="77" t="s">
        <v>232</v>
      </c>
      <c r="AL8" s="77" t="s">
        <v>44</v>
      </c>
      <c r="AM8" s="77" t="s">
        <v>45</v>
      </c>
      <c r="AN8" s="77" t="s">
        <v>233</v>
      </c>
      <c r="AO8" s="77" t="s">
        <v>66</v>
      </c>
      <c r="AP8" s="77" t="s">
        <v>65</v>
      </c>
      <c r="AQ8" s="77" t="s">
        <v>234</v>
      </c>
      <c r="AR8" s="77" t="s">
        <v>68</v>
      </c>
      <c r="AS8" s="77" t="s">
        <v>67</v>
      </c>
      <c r="AT8" s="77" t="s">
        <v>235</v>
      </c>
      <c r="AU8" s="77" t="s">
        <v>72</v>
      </c>
      <c r="AV8" s="77" t="s">
        <v>70</v>
      </c>
      <c r="AW8" s="77" t="s">
        <v>236</v>
      </c>
      <c r="AX8" s="77" t="s">
        <v>69</v>
      </c>
      <c r="AY8" s="77" t="s">
        <v>71</v>
      </c>
      <c r="AZ8" s="77" t="s">
        <v>237</v>
      </c>
      <c r="BA8" s="77" t="s">
        <v>74</v>
      </c>
      <c r="BB8" s="77" t="s">
        <v>73</v>
      </c>
      <c r="BC8" s="77" t="s">
        <v>238</v>
      </c>
      <c r="BD8" s="77" t="s">
        <v>75</v>
      </c>
      <c r="BE8" s="77" t="s">
        <v>76</v>
      </c>
      <c r="BF8" s="77" t="s">
        <v>239</v>
      </c>
      <c r="BG8" s="77" t="s">
        <v>77</v>
      </c>
      <c r="BH8" s="77" t="s">
        <v>78</v>
      </c>
      <c r="BI8" s="77" t="s">
        <v>240</v>
      </c>
      <c r="BJ8" s="77" t="s">
        <v>79</v>
      </c>
      <c r="BK8" s="77" t="s">
        <v>80</v>
      </c>
      <c r="BL8" s="77" t="s">
        <v>241</v>
      </c>
      <c r="BM8" s="77" t="s">
        <v>107</v>
      </c>
      <c r="BN8" s="77" t="s">
        <v>106</v>
      </c>
      <c r="BO8" s="77" t="s">
        <v>242</v>
      </c>
      <c r="BP8" s="77" t="s">
        <v>108</v>
      </c>
      <c r="BQ8" s="77" t="s">
        <v>109</v>
      </c>
      <c r="BR8" s="77" t="s">
        <v>243</v>
      </c>
      <c r="BS8" s="77" t="s">
        <v>110</v>
      </c>
      <c r="BT8" s="77" t="s">
        <v>111</v>
      </c>
      <c r="BU8" s="77" t="s">
        <v>244</v>
      </c>
      <c r="BV8" s="77" t="s">
        <v>112</v>
      </c>
      <c r="BW8" s="77" t="s">
        <v>113</v>
      </c>
      <c r="BX8" s="77" t="s">
        <v>245</v>
      </c>
      <c r="BY8" s="77" t="s">
        <v>114</v>
      </c>
      <c r="BZ8" s="77" t="s">
        <v>115</v>
      </c>
      <c r="CA8" s="77" t="s">
        <v>246</v>
      </c>
      <c r="CB8" s="77" t="s">
        <v>116</v>
      </c>
      <c r="CC8" s="77" t="s">
        <v>117</v>
      </c>
      <c r="CD8" s="77" t="s">
        <v>247</v>
      </c>
      <c r="CE8" s="77" t="s">
        <v>118</v>
      </c>
      <c r="CF8" s="77" t="s">
        <v>119</v>
      </c>
      <c r="CG8" s="77" t="s">
        <v>248</v>
      </c>
      <c r="CH8" s="77" t="s">
        <v>120</v>
      </c>
      <c r="CI8" s="77" t="s">
        <v>121</v>
      </c>
      <c r="CJ8" s="77" t="s">
        <v>249</v>
      </c>
      <c r="CK8" s="77" t="s">
        <v>122</v>
      </c>
      <c r="CL8" s="77" t="s">
        <v>123</v>
      </c>
      <c r="CM8" s="77" t="s">
        <v>250</v>
      </c>
      <c r="CN8" s="77" t="s">
        <v>124</v>
      </c>
      <c r="CO8" s="77" t="s">
        <v>125</v>
      </c>
      <c r="CP8" s="77" t="s">
        <v>251</v>
      </c>
      <c r="CQ8" s="77" t="s">
        <v>126</v>
      </c>
      <c r="CR8" s="77" t="s">
        <v>127</v>
      </c>
      <c r="CS8" s="77" t="s">
        <v>252</v>
      </c>
      <c r="CT8" s="77" t="s">
        <v>128</v>
      </c>
      <c r="CU8" s="77" t="s">
        <v>129</v>
      </c>
      <c r="CV8" s="77" t="s">
        <v>253</v>
      </c>
      <c r="CW8" s="77" t="s">
        <v>130</v>
      </c>
      <c r="CX8" s="77" t="s">
        <v>131</v>
      </c>
      <c r="CY8" s="77" t="s">
        <v>254</v>
      </c>
      <c r="CZ8" s="77" t="s">
        <v>132</v>
      </c>
      <c r="DA8" s="77" t="s">
        <v>133</v>
      </c>
      <c r="DB8" s="77" t="s">
        <v>255</v>
      </c>
      <c r="DC8" s="77" t="s">
        <v>134</v>
      </c>
      <c r="DD8" s="77" t="s">
        <v>135</v>
      </c>
      <c r="DE8" s="77" t="s">
        <v>256</v>
      </c>
      <c r="DF8" s="77" t="s">
        <v>136</v>
      </c>
      <c r="DG8" s="77" t="s">
        <v>137</v>
      </c>
      <c r="DH8" s="77" t="s">
        <v>257</v>
      </c>
      <c r="DI8" s="77" t="s">
        <v>139</v>
      </c>
      <c r="DJ8" s="77" t="s">
        <v>138</v>
      </c>
      <c r="DK8" s="77" t="s">
        <v>258</v>
      </c>
      <c r="DL8" s="77" t="s">
        <v>140</v>
      </c>
      <c r="DM8" s="77" t="s">
        <v>141</v>
      </c>
      <c r="DN8" s="77" t="s">
        <v>259</v>
      </c>
      <c r="DO8" s="77" t="s">
        <v>142</v>
      </c>
      <c r="DP8" s="77" t="s">
        <v>143</v>
      </c>
      <c r="DQ8" s="77" t="s">
        <v>260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203</v>
      </c>
      <c r="DW8" s="77" t="s">
        <v>204</v>
      </c>
      <c r="DX8" s="77" t="s">
        <v>205</v>
      </c>
      <c r="DY8" s="77" t="s">
        <v>211</v>
      </c>
      <c r="DZ8" s="86" t="s">
        <v>15</v>
      </c>
      <c r="EA8" s="86" t="s">
        <v>16</v>
      </c>
      <c r="EB8" s="82" t="s">
        <v>220</v>
      </c>
      <c r="EC8" s="86" t="s">
        <v>213</v>
      </c>
      <c r="ED8" s="86" t="s">
        <v>212</v>
      </c>
      <c r="EE8" s="77" t="s">
        <v>277</v>
      </c>
      <c r="EF8" s="77" t="s">
        <v>278</v>
      </c>
      <c r="EG8" s="77" t="s">
        <v>279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262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262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439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214</v>
      </c>
      <c r="C8" s="77" t="s">
        <v>177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215</v>
      </c>
      <c r="AS8" s="77" t="s">
        <v>264</v>
      </c>
      <c r="AT8" s="77" t="s">
        <v>213</v>
      </c>
      <c r="AU8" s="77" t="s">
        <v>212</v>
      </c>
      <c r="AV8" s="86" t="s">
        <v>438</v>
      </c>
    </row>
    <row r="9" spans="2:48" ht="39.75" customHeight="1" x14ac:dyDescent="0.4">
      <c r="B9" s="45" cm="1">
        <f t="array" ref="B9">SN</f>
        <v>1</v>
      </c>
      <c r="C9" s="78" t="s">
        <v>275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263</v>
      </c>
      <c r="AV9" s="43" t="s">
        <v>440</v>
      </c>
    </row>
    <row r="10" spans="2:48" ht="40" customHeight="1" x14ac:dyDescent="0.4">
      <c r="B10" s="43" cm="1">
        <f t="array" ref="B10">SN</f>
        <v>2</v>
      </c>
      <c r="C10" s="97" t="s">
        <v>276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263</v>
      </c>
      <c r="AV10" s="43" t="s">
        <v>440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2024-02-27T08:30:54Z</dcterms:modified>
</cp:coreProperties>
</file>