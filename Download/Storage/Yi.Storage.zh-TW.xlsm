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D78A660-2F55-4E9D-B6E6-AA7DCC9B7C2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設定!$D$81:$E$81</definedName>
    <definedName name="Get_GUID">UserInfo[唯一識別碼]</definedName>
    <definedName name="Get_Keep_inventory">設定!$D$79:$E$79</definedName>
    <definedName name="Get_Staff_Member">設定!$D$53:$O$53</definedName>
    <definedName name="Get_Store_Uid">Store_Setting[唯一識別碼]</definedName>
    <definedName name="Get_Type_of_Access">設定!$D$77:$E$77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6" i="1"/>
  <c r="D87" i="1"/>
  <c r="B5" i="8" l="1" a="1"/>
  <c r="B5" i="8" s="1"/>
  <c r="D84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<sst xmlns="http://schemas.openxmlformats.org/spreadsheetml/2006/main" count="681" uniqueCount="470">
  <si>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</si>
  <si>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</si>
  <si>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</si>
  <si>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</si>
  <si>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</si>
  <si>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</si>
  <si>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</si>
  <si>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</si>
  <si>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</si>
  <si>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</si>
  <si>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</si>
  <si>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</si>
  <si>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</si>
  <si>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</si>
  <si>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</si>
  <si>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</si>
  <si>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</si>
  <si>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</si>
  <si>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</si>
  <si>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</si>
  <si>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</si>
  <si>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</si>
  <si>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</si>
  <si>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</si>
  <si>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</si>
  <si>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</si>
  <si>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</si>
  <si>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</si>
  <si>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</si>
  <si>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</si>
  <si>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</si>
  <si>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</si>
  <si>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</si>
  <si>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</si>
  <si>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</si>
  <si>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</si>
  <si>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</si>
  <si>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</si>
  <si>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</si>
  <si>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</si>
  <si>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</si>
  <si>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</si>
  <si>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</si>
  <si>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</si>
  <si>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</si>
  <si>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</si>
  <si>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</si>
  <si>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</si>
  <si>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</si>
  <si>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</si>
  <si>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</si>
  <si>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</si>
  <si>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</si>
  <si>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</si>
  <si>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</si>
  <si>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</si>
  <si>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</si>
  <si>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</si>
  <si>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</si>
  <si>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</si>
  <si>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</si>
  <si>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</si>
  <si>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</si>
  <si>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</si>
  <si>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</si>
  <si>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</si>
  <si>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</si>
  <si>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</si>
  <si>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</si>
  <si>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</si>
  <si>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</si>
  <si>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</si>
  <si>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</si>
  <si>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</si>
  <si>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</si>
  <si>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</si>
  <si>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</si>
  <si>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</si>
  <si>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</si>
  <si>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</si>
  <si>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</si>
  <si>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</si>
  <si>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</si>
  <si>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</si>
  <si>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</si>
  <si>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</si>
  <si>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</si>
  <si>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</si>
  <si>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</si>
  <si>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</si>
  <si>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</si>
  <si>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</si>
  <si>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</si>
  <si>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</si>
  <si>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</si>
  <si>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</si>
  <si>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</si>
  <si>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</si>
  <si>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</si>
  <si>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</si>
  <si>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</si>
  <si>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</si>
  <si>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</si>
  <si>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</si>
  <si>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</si>
  <si>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</si>
  <si>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</si>
  <si>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</si>
  <si>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</si>
  <si>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</si>
  <si>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</si>
  <si>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</si>
  <si>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</si>
  <si>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</si>
  <si>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</si>
  <si>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</si>
  <si>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</si>
  <si>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</si>
  <si>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</si>
  <si>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</si>
  <si>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</si>
  <si>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</si>
  <si>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</si>
  <si>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</si>
  <si>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</si>
  <si>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</si>
  <si>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</si>
  <si>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</si>
  <si>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</si>
  <si>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</si>
  <si>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</si>
  <si>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</si>
  <si>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</si>
  <si>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</si>
  <si>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</si>
  <si>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</si>
  <si>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</si>
  <si>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</si>
  <si>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</si>
  <si>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</si>
  <si>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</si>
  <si>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</si>
  <si>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</si>
  <si>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</si>
  <si>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</si>
  <si>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</si>
  <si>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</si>
  <si>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</si>
  <si>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</si>
  <si>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</si>
  <si>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</si>
  <si>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</si>
  <si>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</si>
  <si>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</si>
  <si>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</si>
  <si>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</si>
  <si>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</si>
  <si>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</si>
  <si>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</si>
  <si>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</si>
  <si>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</si>
  <si>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</si>
  <si>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</si>
  <si>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</si>
  <si>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</si>
  <si>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</si>
  <si>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</si>
  <si>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</si>
  <si>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</si>
  <si>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</si>
  <si>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</si>
  <si>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</si>
  <si>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</si>
  <si>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</si>
  <si>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</si>
  <si>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</si>
  <si>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</si>
  <si>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</si>
  <si>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</si>
  <si>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</si>
  <si>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</si>
  <si>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</si>
  <si>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</si>
  <si>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</si>
  <si>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</si>
  <si>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</si>
  <si>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</si>
  <si>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</si>
  <si>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</si>
  <si>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</si>
  <si>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</si>
  <si>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</si>
  <si>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</si>
  <si>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</si>
  <si>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</si>
  <si>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</si>
  <si>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</si>
  <si>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</si>
  <si>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</si>
  <si>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</si>
  <si>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</si>
  <si>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</si>
  <si>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</si>
  <si>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</si>
  <si>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</si>
  <si>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</si>
  <si>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</si>
  <si>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</si>
  <si>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</si>
  <si>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</si>
  <si>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</si>
  <si>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</si>
  <si>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</si>
  <si>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</si>
  <si>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</si>
  <si>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</si>
  <si>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</si>
  <si>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</si>
  <si>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</si>
  <si>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</si>
  <si>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</si>
  <si>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</si>
  <si>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</si>
  <si>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</si>
  <si>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</si>
  <si>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</si>
  <si>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</si>
  <si>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</si>
  <si>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</si>
  <si>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</si>
  <si>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</si>
  <si>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</si>
  <si>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</si>
  <si>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</si>
  <si>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</si>
  <si>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</si>
  <si>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</si>
  <si>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</si>
  <si>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</si>
  <si>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</si>
  <si>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</si>
  <si>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</si>
  <si>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</si>
  <si>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</si>
  <si>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</si>
  <si>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</si>
  <si>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</si>
  <si>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</si>
  <si>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</si>
  <si>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</si>
  <si>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</si>
  <si>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</si>
  <si>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</si>
  <si>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</si>
  <si>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</si>
  <si>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</si>
  <si>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</si>
  <si>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</si>
  <si>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</si>
  <si>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</si>
  <si>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</si>
  <si>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</si>
  <si>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</si>
  <si>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</si>
  <si>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</si>
  <si>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</si>
  <si>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</si>
  <si>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</si>
  <si>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</si>
  <si>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</si>
  <si>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</si>
  <si>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</si>
  <si>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</si>
  <si>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</si>
  <si>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</si>
  <si>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</si>
  <si>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</si>
  <si>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</si>
  <si>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</si>
  <si>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</si>
  <si>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</si>
  <si>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</si>
  <si>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</si>
  <si>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</si>
  <si>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</si>
  <si>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</si>
  <si>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</si>
  <si>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</si>
  <si>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</si>
  <si>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</si>
  <si>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</si>
  <si>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</si>
  <si>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</si>
  <si>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</si>
  <si>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</si>
  <si>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</si>
  <si>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</si>
  <si>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</si>
  <si>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</si>
  <si>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</si>
  <si>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</si>
  <si>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</si>
  <si>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</si>
  <si>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</si>
  <si>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</si>
  <si>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</si>
  <si>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</si>
  <si>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</si>
  <si>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</si>
  <si>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</si>
  <si>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</si>
  <si>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</si>
  <si>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</si>
  <si>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</si>
  <si>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</si>
  <si>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</si>
  <si>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</si>
  <si>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</si>
  <si>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</si>
  <si>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</si>
  <si>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</si>
  <si>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</si>
  <si>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</si>
  <si>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</si>
  <si>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</si>
  <si>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</si>
  <si>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</si>
  <si>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</si>
  <si>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</si>
  <si>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</si>
  <si>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</si>
  <si>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</si>
  <si>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</si>
  <si>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</si>
  <si>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</si>
  <si>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</si>
  <si>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</si>
  <si>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</si>
  <si>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</si>
  <si>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</si>
  <si>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</si>
  <si>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</si>
  <si>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</si>
  <si>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</si>
  <si>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</si>
  <si>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</si>
  <si>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</si>
  <si>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</si>
  <si>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</si>
  <si>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</si>
  <si>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</si>
  <si>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</si>
  <si>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</si>
  <si>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</si>
  <si>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</si>
  <si>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</si>
  <si>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</si>
  <si>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</si>
  <si>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</si>
  <si>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</si>
  <si>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</si>
  <si>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</si>
  <si>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</si>
  <si>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</si>
  <si>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</si>
  <si>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</si>
  <si>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</si>
  <si>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</si>
  <si>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</si>
  <si>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</si>
  <si>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</si>
  <si>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</si>
  <si>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</si>
  <si>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</si>
  <si>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</si>
  <si>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</si>
  <si>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</si>
  <si>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</si>
  <si>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</si>
  <si>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</si>
  <si>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</si>
  <si>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</si>
  <si>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</si>
  <si>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</si>
  <si>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</si>
  <si>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</si>
  <si>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</si>
  <si>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</si>
  <si>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</si>
  <si>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</si>
  <si>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</si>
  <si>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</si>
  <si>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</si>
  <si>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</si>
  <si>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</si>
  <si>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</si>
  <si>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</si>
  <si>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</si>
  <si>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</si>
  <si>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</si>
  <si>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</si>
  <si>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</si>
  <si>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</si>
  <si>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</si>
  <si>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</si>
  <si>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</si>
  <si>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</si>
  <si>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</si>
  <si>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</si>
  <si>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</si>
  <si>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</si>
  <si>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</si>
  <si>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</si>
  <si>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</si>
  <si>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</si>
  <si>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</si>
  <si>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</si>
  <si>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</si>
  <si>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</si>
  <si>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</si>
  <si>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</si>
  <si>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</si>
  <si>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</si>
  <si>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</si>
  <si>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</si>
  <si>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</si>
  <si>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</si>
  <si>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</si>
  <si>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</si>
  <si>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</si>
  <si>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</si>
  <si>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</si>
  <si>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</si>
  <si>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</si>
  <si>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</si>
  <si>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</si>
  <si>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</si>
  <si>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</si>
  <si>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</si>
  <si>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</si>
  <si>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</si>
  <si>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</si>
  <si>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</si>
  <si>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</si>
  <si>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</si>
  <si>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</si>
  <si>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</si>
  <si>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</si>
  <si>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</si>
  <si>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</si>
  <si>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</si>
  <si>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</si>
  <si>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</si>
  <si>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</si>
  <si>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</si>
  <si>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</si>
  <si>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</si>
  <si>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</si>
  <si>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</si>
  <si>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</si>
  <si>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</si>
  <si>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</si>
  <si>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* 自動鎖定超過 24 小時的數據，標記狀態為：可編輯、無法編輯、部分受限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</si>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</sst>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0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0">
      <calculatedColumnFormula>CONCATENATE(Store_Setting[[#This Row],[商品序號]], IF(Store_Setting[[#This Row],[商品名稱]]="","", _xlfn.CONCAT(" | ",Store_Setting[商品名稱])))</calculatedColumnFormula>
    </tableColumn>
    <tableColumn id="1" xr3:uid="{76D80D8E-17D9-4452-B1EE-33BFE80A31E7}" name="商品序號" dataDxfId="401"/>
    <tableColumn id="2" xr3:uid="{C28244F3-482D-4CFC-B629-A29496B98C0B}" name="商品名稱" dataDxfId="400"/>
    <tableColumn id="11" xr3:uid="{71958388-9C14-426E-8457-DCEA92BC0E87}" name="負差" dataDxfId="399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8">
      <calculatedColumnFormula>SUM(UserInfo[1 - 剩餘])</calculatedColumnFormula>
    </tableColumn>
    <tableColumn id="7" xr3:uid="{75829BDD-5513-4744-8184-35AE3788771C}" name="已存入" dataDxfId="397">
      <calculatedColumnFormula>SUM(UserInfo[1 - 存入])</calculatedColumnFormula>
    </tableColumn>
    <tableColumn id="6" xr3:uid="{B71F91EB-0024-4EC1-8035-3636C31B3740}" name="已支取" dataDxfId="396">
      <calculatedColumnFormula>SUM(UserInfo[1 - 支取])</calculatedColumnFormula>
    </tableColumn>
    <tableColumn id="5" xr3:uid="{6E4E3255-2204-43C6-A50C-EEAF08580A14}" name="庫存負差" dataDxfId="395">
      <calculatedColumnFormula>Store_Setting[[#This Row],[入庫小計]]-Store_Setting[[#This Row],[取貨小計]]</calculatedColumnFormula>
    </tableColumn>
    <tableColumn id="9" xr3:uid="{7DA9A308-8441-49E3-B1B4-6AF7A14784F7}" name="入庫小計" dataDxfId="394">
      <calculatedColumnFormula>SUMIFS(Store_History[数量],Store_History[唯一識別碼],Store_Setting[[#This Row],[唯一識別碼]],Store_History[類型],$D$79)</calculatedColumnFormula>
    </tableColumn>
    <tableColumn id="8" xr3:uid="{43D402E1-A683-4B65-923F-EB29ABFA8F93}" name="取貨小計" dataDxfId="393">
      <calculatedColumnFormula>SUMIFS(Store_History[数量],Store_History[唯一識別碼],Store_Setting[[#This Row],[唯一識別碼]],Store_History[類型],$E$79)</calculatedColumnFormula>
    </tableColumn>
    <tableColumn id="16" xr3:uid="{3F02DEB9-F16B-43FA-BF96-315BB2CEB754}" name="隱藏存入" dataDxfId="392"/>
    <tableColumn id="15" xr3:uid="{9D463448-8A1D-4F16-A2B7-AAFCFEF16131}" name="隱藏支取" dataDxfId="391"/>
    <tableColumn id="3" xr3:uid="{D2316CE5-B5AA-4CBA-B2DB-E8C11FDC3253}" name="MemberScope" dataDxfId="390"/>
    <tableColumn id="12" xr3:uid="{A09A1B9C-ACDA-4E8A-9D56-7B63444FD80E}" name="MemberSave" dataDxfId="389"/>
    <tableColumn id="13" xr3:uid="{2BA8B401-7B17-4E22-A566-E8F1CE9A9BC1}" name="MemberEject" dataDxfId="388"/>
    <tableColumn id="14" xr3:uid="{B1E2D5D4-08AA-4729-98AB-9996869986DC}" name="HostoryScope" dataDxfId="387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4" dataDxfId="383">
  <autoFilter ref="B4:J5" xr:uid="{B82E5E9F-8725-4EAF-B9F2-1889C4CE31C6}"/>
  <tableColumns count="9">
    <tableColumn id="1" xr3:uid="{CCD5A4A0-03A2-44F4-8FB0-E2743E043E7C}" name="序號" dataDxfId="9">
      <calculatedColumnFormula array="1">SNGKI</calculatedColumnFormula>
    </tableColumn>
    <tableColumn id="2" xr3:uid="{BE286F67-B0FA-40D9-BDA1-B2CFCEBCEB36}" name="唯一識別碼" dataDxfId="8"/>
    <tableColumn id="4" xr3:uid="{9CF218BF-31BE-437E-9285-7CE338B0180C}" name="類型" dataDxfId="7"/>
    <tableColumn id="38" xr3:uid="{BE6B60B8-5A23-4085-9CC5-0D91831F16B6}" name="数量" dataDxfId="6"/>
    <tableColumn id="9" xr3:uid="{BCC80DB2-EF55-4BCC-9A8B-636F5A0886E8}" name="单位" dataDxfId="5"/>
    <tableColumn id="3" xr3:uid="{CCD860BE-34B0-4F57-8823-4D2C9F7985B4}" name="时间" dataDxfId="4"/>
    <tableColumn id="7" xr3:uid="{38DADDD1-29F3-4A23-B844-9D021C0D5F68}" name="工号" dataDxfId="3"/>
    <tableColumn id="8" xr3:uid="{945E147D-AEC8-4CD6-9889-CC8A2ADA4657}" name="备注" dataDxfId="1"/>
    <tableColumn id="5" xr3:uid="{4D334FB0-D450-475F-B9FA-D6712F594FAC}" name="狀態" dataDxfId="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80" dataDxfId="379" totalsRowDxfId="378">
  <autoFilter ref="B6:EH8" xr:uid="{ADAB6017-62AE-4ECA-A153-D815FED82043}"/>
  <tableColumns count="137">
    <tableColumn id="1" xr3:uid="{69B39378-5DEE-4683-8063-2D1E5E369E67}" name="序號" totalsRowLabel="Total" dataDxfId="377" totalsRowDxfId="376">
      <calculatedColumnFormula array="1">SN</calculatedColumnFormula>
    </tableColumn>
    <tableColumn id="5" xr3:uid="{35BA10B8-A444-4F80-8F55-6146540C5A57}" name="唯一識別碼" dataDxfId="375" totalsRowDxfId="374">
      <calculatedColumnFormula array="1">GUID</calculatedColumnFormula>
    </tableColumn>
    <tableColumn id="6" xr3:uid="{8A3791BE-D142-4B77-980F-0E769FF1CE0E}" name="1 - 剩餘" dataDxfId="373">
      <calculatedColumnFormula array="1">Get_1_Calc</calculatedColumnFormula>
    </tableColumn>
    <tableColumn id="8" xr3:uid="{E45E7682-0361-46D3-BF20-AF1E07C3D65B}" name="1 - 存入" dataDxfId="372" totalsRowDxfId="371">
      <calculatedColumnFormula array="1">Get_1_Add</calculatedColumnFormula>
    </tableColumn>
    <tableColumn id="9" xr3:uid="{FE45F0F1-8F7A-4A14-B0E4-3EC60A580E37}" name="1 - 支取" dataDxfId="370" totalsRowDxfId="369">
      <calculatedColumnFormula array="1">Get_1_Del</calculatedColumnFormula>
    </tableColumn>
    <tableColumn id="7" xr3:uid="{B53043EA-8EAF-48CD-A1C4-F1751A029F72}" name="2 - 剩餘" dataDxfId="368" totalsRowDxfId="367">
      <calculatedColumnFormula array="1">Get_2_Calc</calculatedColumnFormula>
    </tableColumn>
    <tableColumn id="10" xr3:uid="{95260041-5347-400B-AAEF-EE609D2539A1}" name="2 - 存入" dataDxfId="366" totalsRowDxfId="365">
      <calculatedColumnFormula array="1">Get_2_Add</calculatedColumnFormula>
    </tableColumn>
    <tableColumn id="11" xr3:uid="{33755691-0EB3-40CE-9B73-E91F8C102760}" name="2 - 支取" dataDxfId="364" totalsRowDxfId="363">
      <calculatedColumnFormula array="1">Get_2_Del</calculatedColumnFormula>
    </tableColumn>
    <tableColumn id="32" xr3:uid="{EC5EB628-FB36-43AE-A347-41E9ACE5D72E}" name="3 - 剩餘" dataDxfId="362" totalsRowDxfId="361">
      <calculatedColumnFormula array="1">Get_3_Calc</calculatedColumnFormula>
    </tableColumn>
    <tableColumn id="33" xr3:uid="{43A56C01-D775-4C69-87D1-225F1941DB58}" name="3 - 存入" dataDxfId="360" totalsRowDxfId="359">
      <calculatedColumnFormula array="1">Get_3_Add</calculatedColumnFormula>
    </tableColumn>
    <tableColumn id="30" xr3:uid="{E3875226-6AB9-4F4B-91BF-CC71FCEAF551}" name="3 - 支取" dataDxfId="358" totalsRowDxfId="357">
      <calculatedColumnFormula array="1">Get_3_Del</calculatedColumnFormula>
    </tableColumn>
    <tableColumn id="31" xr3:uid="{B62D1E0D-5AB3-4BE3-8BC6-8442FF019A25}" name="4 - 剩餘" dataDxfId="356" totalsRowDxfId="355">
      <calculatedColumnFormula array="1">Get_4_Calc</calculatedColumnFormula>
    </tableColumn>
    <tableColumn id="28" xr3:uid="{7B09D42A-E4B3-42DA-A7BC-1855D7B3276B}" name="4 - 存入" dataDxfId="354" totalsRowDxfId="353">
      <calculatedColumnFormula array="1">Get_4_Add</calculatedColumnFormula>
    </tableColumn>
    <tableColumn id="29" xr3:uid="{B7BDACF3-46DD-4203-BF1C-D95921A9EAB9}" name="4 - 支取" dataDxfId="352" totalsRowDxfId="351">
      <calculatedColumnFormula array="1">Get_4_Del</calculatedColumnFormula>
    </tableColumn>
    <tableColumn id="26" xr3:uid="{2B28D0BE-0636-4250-93AD-A6F7361B235B}" name="5 - 剩餘" dataDxfId="350" totalsRowDxfId="349">
      <calculatedColumnFormula array="1">Get_5_Calc</calculatedColumnFormula>
    </tableColumn>
    <tableColumn id="27" xr3:uid="{E0E33EBF-F853-45D7-8D8D-4968D0DF550A}" name="5 - 存入" dataDxfId="348" totalsRowDxfId="347">
      <calculatedColumnFormula array="1">Get_5_Add</calculatedColumnFormula>
    </tableColumn>
    <tableColumn id="34" xr3:uid="{8BF8358E-3A1F-4FD6-A3D2-5C9ED03B66D2}" name="5 - 支取" dataDxfId="346" totalsRowDxfId="345">
      <calculatedColumnFormula array="1">Get_5_Del</calculatedColumnFormula>
    </tableColumn>
    <tableColumn id="35" xr3:uid="{BB2E7E56-CFEB-45E5-A53A-8F8601B9A6BC}" name="6 - 剩餘" dataDxfId="344">
      <calculatedColumnFormula array="1">Get_6_Calc</calculatedColumnFormula>
    </tableColumn>
    <tableColumn id="36" xr3:uid="{B1C76173-BBE5-4463-A5A2-D59DF06DFEA3}" name="6 - 存入" dataDxfId="343" totalsRowDxfId="342">
      <calculatedColumnFormula array="1">Get_6_Add</calculatedColumnFormula>
    </tableColumn>
    <tableColumn id="37" xr3:uid="{252F1115-6468-4A69-A315-CC054804CD2D}" name="6 - 支取" dataDxfId="341" totalsRowDxfId="340">
      <calculatedColumnFormula array="1">Get_6_Del</calculatedColumnFormula>
    </tableColumn>
    <tableColumn id="20" xr3:uid="{A588D5D5-7793-43CD-9189-E1B0E04C4525}" name="7 - 剩餘" dataDxfId="339" totalsRowDxfId="338">
      <calculatedColumnFormula array="1">Get_7_Calc</calculatedColumnFormula>
    </tableColumn>
    <tableColumn id="21" xr3:uid="{173A2F2F-7CDB-4106-BA59-7971244FD630}" name="7 - 存入" dataDxfId="337" totalsRowDxfId="336">
      <calculatedColumnFormula array="1">Get_7_Add</calculatedColumnFormula>
    </tableColumn>
    <tableColumn id="46" xr3:uid="{5DD0D315-AA29-4E95-AB07-E17D16311131}" name="7 - 支取" dataDxfId="335" totalsRowDxfId="334">
      <calculatedColumnFormula array="1">Get_7_Del</calculatedColumnFormula>
    </tableColumn>
    <tableColumn id="47" xr3:uid="{887630E9-FAB3-4BC4-AE9D-DA08EE18BEE8}" name="8 - 剩餘" dataDxfId="333" totalsRowDxfId="332">
      <calculatedColumnFormula array="1">Get_8_Calc</calculatedColumnFormula>
    </tableColumn>
    <tableColumn id="44" xr3:uid="{74DD3BDF-B83E-43E2-A24B-4F5846C78DBC}" name="8 - 存入" dataDxfId="331" totalsRowDxfId="330">
      <calculatedColumnFormula array="1">Get_8_Add</calculatedColumnFormula>
    </tableColumn>
    <tableColumn id="45" xr3:uid="{F7703264-4D50-4502-8F6F-FB36B91EB021}" name="8 - 支取" dataDxfId="329" totalsRowDxfId="328">
      <calculatedColumnFormula array="1">Get_8_Del</calculatedColumnFormula>
    </tableColumn>
    <tableColumn id="42" xr3:uid="{4E67C08C-7260-499F-B198-7B6E4192E472}" name="9 - 剩餘" dataDxfId="327" totalsRowDxfId="326">
      <calculatedColumnFormula array="1">Get_9_Calc</calculatedColumnFormula>
    </tableColumn>
    <tableColumn id="43" xr3:uid="{7F9B0DDB-B0CF-4F25-BEAA-5F937B25BDE0}" name="9 - 存入" dataDxfId="325" totalsRowDxfId="324">
      <calculatedColumnFormula array="1">Get_9_Add</calculatedColumnFormula>
    </tableColumn>
    <tableColumn id="40" xr3:uid="{3AA5B498-FA98-483A-A388-6B6F74476BFD}" name="9 - 支取" dataDxfId="323" totalsRowDxfId="322">
      <calculatedColumnFormula array="1">Get_9_Del</calculatedColumnFormula>
    </tableColumn>
    <tableColumn id="41" xr3:uid="{82D58ED2-A190-4823-8868-5A26D45CD476}" name="10 - 剩餘" dataDxfId="321" totalsRowDxfId="320">
      <calculatedColumnFormula array="1">Get_10_Calc</calculatedColumnFormula>
    </tableColumn>
    <tableColumn id="38" xr3:uid="{800CF74D-0283-4B1A-9909-EF49C70CBE94}" name="10 - 存入" dataDxfId="319" totalsRowDxfId="318">
      <calculatedColumnFormula array="1">Get_10_Add</calculatedColumnFormula>
    </tableColumn>
    <tableColumn id="39" xr3:uid="{276FBA7A-AC3A-4E59-B8B1-B09B169E6837}" name="10 - 支取" dataDxfId="317" totalsRowDxfId="316">
      <calculatedColumnFormula array="1">Get_10_Del</calculatedColumnFormula>
    </tableColumn>
    <tableColumn id="48" xr3:uid="{A7B9D79E-F38B-48CB-AEE5-E7B7F6EF5C2C}" name="11 - 剩餘" dataDxfId="315" totalsRowDxfId="314">
      <calculatedColumnFormula array="1">Get_11_Calc</calculatedColumnFormula>
    </tableColumn>
    <tableColumn id="49" xr3:uid="{01CFCCAE-6F8F-4C1E-8FF6-6275897A542E}" name="11 - 存入" dataDxfId="313" totalsRowDxfId="312">
      <calculatedColumnFormula array="1">Get_11_Add</calculatedColumnFormula>
    </tableColumn>
    <tableColumn id="14" xr3:uid="{27E31913-0377-43BF-8773-DF68330317BA}" name="11 - 支取" dataDxfId="311" totalsRowDxfId="310">
      <calculatedColumnFormula array="1">Get_11_Del</calculatedColumnFormula>
    </tableColumn>
    <tableColumn id="51" xr3:uid="{5B85F460-5E62-4025-895D-56CA23340014}" name="12 - 剩餘" dataDxfId="309" totalsRowDxfId="308">
      <calculatedColumnFormula array="1">Get_12_Calc</calculatedColumnFormula>
    </tableColumn>
    <tableColumn id="52" xr3:uid="{0EC70A7E-2DCB-4261-AA03-9B9BE1BAEC8F}" name="12 - 存入" dataDxfId="307" totalsRowDxfId="306">
      <calculatedColumnFormula array="1">Get_12_Add</calculatedColumnFormula>
    </tableColumn>
    <tableColumn id="50" xr3:uid="{3EB42EAC-DC06-4CC0-A5A9-B7FE23DC5389}" name="12 - 支取" dataDxfId="305" totalsRowDxfId="304">
      <calculatedColumnFormula array="1">Get_12_Del</calculatedColumnFormula>
    </tableColumn>
    <tableColumn id="65" xr3:uid="{EDF8FCAF-50EB-44D5-B6A9-3CD2A6E9AE1E}" name="13 - 剩餘" dataDxfId="303" totalsRowDxfId="302">
      <calculatedColumnFormula array="1">Get_13_Calc</calculatedColumnFormula>
    </tableColumn>
    <tableColumn id="66" xr3:uid="{F5CC81DC-58D2-4192-A82D-389419FBEF0D}" name="13 - 存入" dataDxfId="301" totalsRowDxfId="300">
      <calculatedColumnFormula array="1">Get_13_Add</calculatedColumnFormula>
    </tableColumn>
    <tableColumn id="67" xr3:uid="{CDD18276-7453-4E17-BA82-D9E26BD8811B}" name="13 - 支取" dataDxfId="299" totalsRowDxfId="298">
      <calculatedColumnFormula array="1">Get_13_Del</calculatedColumnFormula>
    </tableColumn>
    <tableColumn id="62" xr3:uid="{68ACC17D-E3C3-4466-88A6-F2F14F757F76}" name="14 - 剩餘" dataDxfId="297" totalsRowDxfId="296">
      <calculatedColumnFormula array="1">Get_14_Calc</calculatedColumnFormula>
    </tableColumn>
    <tableColumn id="63" xr3:uid="{0E0EE3C5-8F3C-4968-B0E6-50B1C2B616A8}" name="14 - 存入" dataDxfId="295" totalsRowDxfId="294">
      <calculatedColumnFormula array="1">Get_14_Add</calculatedColumnFormula>
    </tableColumn>
    <tableColumn id="64" xr3:uid="{AD67C543-6A27-4C51-906F-D522151C0D92}" name="14 - 支取" dataDxfId="293" totalsRowDxfId="292">
      <calculatedColumnFormula array="1">Get_14_Del</calculatedColumnFormula>
    </tableColumn>
    <tableColumn id="59" xr3:uid="{7CAE30DB-B183-4017-8A77-F435FA507A01}" name="15 - 剩餘" dataDxfId="291" totalsRowDxfId="290">
      <calculatedColumnFormula array="1">Get_15_Calc</calculatedColumnFormula>
    </tableColumn>
    <tableColumn id="60" xr3:uid="{10EF06B0-FD95-42A9-BFCC-64BBC565CA14}" name="15 - 存入" dataDxfId="289" totalsRowDxfId="288">
      <calculatedColumnFormula array="1">Get_15_Add</calculatedColumnFormula>
    </tableColumn>
    <tableColumn id="61" xr3:uid="{6301F8B4-4D01-4FDA-8D32-75921B15A2D9}" name="15 - 支取" dataDxfId="287" totalsRowDxfId="286">
      <calculatedColumnFormula array="1">Get_15_Del</calculatedColumnFormula>
    </tableColumn>
    <tableColumn id="56" xr3:uid="{05F125DE-5AE7-4786-ACBC-DAF9D7222A62}" name="16 - 剩餘" dataDxfId="285" totalsRowDxfId="284">
      <calculatedColumnFormula array="1">Get_16_Calc</calculatedColumnFormula>
    </tableColumn>
    <tableColumn id="57" xr3:uid="{7E6969DC-E3FC-4DA8-BB9D-6B36E075458F}" name="16 - 存入" dataDxfId="283" totalsRowDxfId="282">
      <calculatedColumnFormula array="1">Get_16_Add</calculatedColumnFormula>
    </tableColumn>
    <tableColumn id="58" xr3:uid="{84C80CB2-57F5-4B66-8756-5573CD699D16}" name="16 - 支取" dataDxfId="281" totalsRowDxfId="280">
      <calculatedColumnFormula array="1">Get_16_Del</calculatedColumnFormula>
    </tableColumn>
    <tableColumn id="53" xr3:uid="{65516705-AD27-4ECA-AF09-D132C51E08CE}" name="17 - 剩餘" dataDxfId="279" totalsRowDxfId="278">
      <calculatedColumnFormula array="1">Get_17_Calc</calculatedColumnFormula>
    </tableColumn>
    <tableColumn id="54" xr3:uid="{0756DBD3-FDA1-4E71-849C-F20BBD0A5182}" name="17 - 存入" dataDxfId="277" totalsRowDxfId="276">
      <calculatedColumnFormula array="1">Get_17_Add</calculatedColumnFormula>
    </tableColumn>
    <tableColumn id="55" xr3:uid="{51CB254C-5F29-4215-8FE0-F8B8B7B32759}" name="17 - 支取" dataDxfId="275" totalsRowDxfId="274">
      <calculatedColumnFormula array="1">Get_17_Del</calculatedColumnFormula>
    </tableColumn>
    <tableColumn id="68" xr3:uid="{9C2EC294-A2C3-40B0-9E15-FFA1DA6DE0E7}" name="18 - 剩餘" dataDxfId="273" totalsRowDxfId="272">
      <calculatedColumnFormula array="1">Get_18_Calc</calculatedColumnFormula>
    </tableColumn>
    <tableColumn id="69" xr3:uid="{A371F69D-1236-4AAC-B5F1-72D518D6FC69}" name="18 - 存入" dataDxfId="271" totalsRowDxfId="270">
      <calculatedColumnFormula array="1">Get_18_Add</calculatedColumnFormula>
    </tableColumn>
    <tableColumn id="70" xr3:uid="{7B3C5D9B-BC0C-404F-9490-CDADC350F1D7}" name="18 - 支取" dataDxfId="269" totalsRowDxfId="268">
      <calculatedColumnFormula array="1">Get_18_Del</calculatedColumnFormula>
    </tableColumn>
    <tableColumn id="19" xr3:uid="{91B42855-55D1-4A6A-B9A8-5EE011ADEB10}" name="19 - 剩餘" dataDxfId="267" totalsRowDxfId="266">
      <calculatedColumnFormula array="1">Get_19_Calc</calculatedColumnFormula>
    </tableColumn>
    <tableColumn id="18" xr3:uid="{98EE3A39-A8AB-42CF-AEB5-291E8B95D8CA}" name="19 - 存入" dataDxfId="265" totalsRowDxfId="264">
      <calculatedColumnFormula array="1">Get_19_Add</calculatedColumnFormula>
    </tableColumn>
    <tableColumn id="73" xr3:uid="{DB40D44F-8801-4D50-BA48-8323E05D2E13}" name="19 - 支取" dataDxfId="263" totalsRowDxfId="262">
      <calculatedColumnFormula array="1">Get_19_Del</calculatedColumnFormula>
    </tableColumn>
    <tableColumn id="72" xr3:uid="{470D5EC3-31A6-4851-B48C-D6DDADACC807}" name="20 - 剩餘" dataDxfId="261" totalsRowDxfId="260">
      <calculatedColumnFormula array="1">Get_20_Calc</calculatedColumnFormula>
    </tableColumn>
    <tableColumn id="71" xr3:uid="{39143051-B360-4CEF-883D-35BFEEAE3BA0}" name="20 - 存入" dataDxfId="259" totalsRowDxfId="258">
      <calculatedColumnFormula array="1">Get_20_Add</calculatedColumnFormula>
    </tableColumn>
    <tableColumn id="15" xr3:uid="{8C1BB1E7-B23F-46EC-AE4E-28A3C394FD55}" name="20 - 支取" dataDxfId="257" totalsRowDxfId="256">
      <calculatedColumnFormula array="1">Get_20_Del</calculatedColumnFormula>
    </tableColumn>
    <tableColumn id="102" xr3:uid="{F21D4D43-73EE-4C8A-8AEF-E424CE485010}" name="21 - 剩餘" dataDxfId="255" totalsRowDxfId="254">
      <calculatedColumnFormula array="1">Get_21_Calc</calculatedColumnFormula>
    </tableColumn>
    <tableColumn id="103" xr3:uid="{4486E59C-66B0-413C-AFFC-A8A336BC25D8}" name="21 - 存入" dataDxfId="253" totalsRowDxfId="252">
      <calculatedColumnFormula array="1">Get_21_Add</calculatedColumnFormula>
    </tableColumn>
    <tableColumn id="104" xr3:uid="{564EC857-6030-490D-A2E5-16F4F8221C23}" name="21 - 支取" dataDxfId="251" totalsRowDxfId="250">
      <calculatedColumnFormula array="1">Get_21_Del</calculatedColumnFormula>
    </tableColumn>
    <tableColumn id="105" xr3:uid="{31132AB1-247A-4EB9-8A8A-871FED0D5AA1}" name="22 - 剩餘" dataDxfId="249" totalsRowDxfId="248">
      <calculatedColumnFormula array="1">Get_22_Calc</calculatedColumnFormula>
    </tableColumn>
    <tableColumn id="98" xr3:uid="{CF6220B5-7B80-445C-A013-845D35543916}" name="22 - 存入" dataDxfId="247" totalsRowDxfId="246">
      <calculatedColumnFormula array="1">Get_22_Add</calculatedColumnFormula>
    </tableColumn>
    <tableColumn id="99" xr3:uid="{98BD4691-C847-4F41-8E6C-BEC01B8FAEB3}" name="22 - 支取" dataDxfId="245" totalsRowDxfId="244">
      <calculatedColumnFormula array="1">Get_22_Del</calculatedColumnFormula>
    </tableColumn>
    <tableColumn id="100" xr3:uid="{66330D4E-ED0D-41A7-921D-E622CA8068A4}" name="23 - 剩餘" dataDxfId="243" totalsRowDxfId="242">
      <calculatedColumnFormula array="1">Get_23_Calc</calculatedColumnFormula>
    </tableColumn>
    <tableColumn id="101" xr3:uid="{3345E086-C2E9-453D-A0EB-A7471CF2ACB2}" name="23 - 存入" dataDxfId="241" totalsRowDxfId="240">
      <calculatedColumnFormula array="1">Get_23_Add</calculatedColumnFormula>
    </tableColumn>
    <tableColumn id="94" xr3:uid="{8EF3E108-22A5-4CBC-9928-BC115EFE882A}" name="23 - 支取" dataDxfId="239" totalsRowDxfId="238">
      <calculatedColumnFormula array="1">Get_23_Del</calculatedColumnFormula>
    </tableColumn>
    <tableColumn id="95" xr3:uid="{C6AA287C-2EA3-4286-A71D-29E22D519C41}" name="24 - 剩餘" dataDxfId="237" totalsRowDxfId="236">
      <calculatedColumnFormula array="1">Get_24_Calc</calculatedColumnFormula>
    </tableColumn>
    <tableColumn id="96" xr3:uid="{1FDAF720-4143-496A-91C3-D65BD5CBA18F}" name="24 - 存入" dataDxfId="235" totalsRowDxfId="234">
      <calculatedColumnFormula array="1">Get_24_Add</calculatedColumnFormula>
    </tableColumn>
    <tableColumn id="97" xr3:uid="{0CACBF11-449C-4C06-A249-904EB5517854}" name="24 - 支取" dataDxfId="233" totalsRowDxfId="232">
      <calculatedColumnFormula array="1">Get_24_Del</calculatedColumnFormula>
    </tableColumn>
    <tableColumn id="90" xr3:uid="{11D36A45-02CB-476F-A2D2-734F76A2D1A6}" name="25 - 剩餘" dataDxfId="231" totalsRowDxfId="230">
      <calculatedColumnFormula array="1">Get_25_Calc</calculatedColumnFormula>
    </tableColumn>
    <tableColumn id="91" xr3:uid="{8B60EC99-F04A-45EF-8F17-680319744A85}" name="25 - 存入" dataDxfId="229" totalsRowDxfId="228">
      <calculatedColumnFormula array="1">Get_25_Add</calculatedColumnFormula>
    </tableColumn>
    <tableColumn id="92" xr3:uid="{AD05D88D-F2C1-4505-9BBD-FDC0B2D388F3}" name="25 - 支取" dataDxfId="227" totalsRowDxfId="226">
      <calculatedColumnFormula array="1">Get_25_Del</calculatedColumnFormula>
    </tableColumn>
    <tableColumn id="93" xr3:uid="{F7CB76E9-97CE-4CC8-AEDA-CB574593A924}" name="26 - 剩餘" dataDxfId="225" totalsRowDxfId="224">
      <calculatedColumnFormula array="1">Get_26_Calc</calculatedColumnFormula>
    </tableColumn>
    <tableColumn id="86" xr3:uid="{6D74E673-FBC5-435E-9229-8C187E67EA3F}" name="26 - 存入" dataDxfId="223" totalsRowDxfId="222">
      <calculatedColumnFormula array="1">Get_26_Add</calculatedColumnFormula>
    </tableColumn>
    <tableColumn id="87" xr3:uid="{C2C28027-A1CD-440D-BB33-3A80FCC5A8C1}" name="26 - 支取" dataDxfId="221" totalsRowDxfId="220">
      <calculatedColumnFormula array="1">Get_26_Del</calculatedColumnFormula>
    </tableColumn>
    <tableColumn id="88" xr3:uid="{070B4F15-D610-4FCF-B681-42E984B3F85F}" name="27 - 剩餘" dataDxfId="219" totalsRowDxfId="218">
      <calculatedColumnFormula array="1">Get_27_Calc</calculatedColumnFormula>
    </tableColumn>
    <tableColumn id="89" xr3:uid="{04BA09B0-47DA-4E80-BEEC-AB8498C074D5}" name="27 - 存入" dataDxfId="217" totalsRowDxfId="216">
      <calculatedColumnFormula array="1">Get_27_Add</calculatedColumnFormula>
    </tableColumn>
    <tableColumn id="82" xr3:uid="{17B1B927-AD09-4E4A-B7FC-33ED76279CBC}" name="27 - 支取" dataDxfId="215" totalsRowDxfId="214">
      <calculatedColumnFormula array="1">Get_27_Del</calculatedColumnFormula>
    </tableColumn>
    <tableColumn id="83" xr3:uid="{2F4ED0A5-EE6B-4248-832C-F478A57FA0D5}" name="28 - 剩餘" dataDxfId="213" totalsRowDxfId="212">
      <calculatedColumnFormula array="1">Get_28_Calc</calculatedColumnFormula>
    </tableColumn>
    <tableColumn id="84" xr3:uid="{D1140375-114D-49D9-A424-519A4250A622}" name="28 - 存入" dataDxfId="211" totalsRowDxfId="210">
      <calculatedColumnFormula array="1">Get_28_Add</calculatedColumnFormula>
    </tableColumn>
    <tableColumn id="85" xr3:uid="{53209986-74FA-491C-8499-CAD58386B246}" name="28 - 支取" dataDxfId="209" totalsRowDxfId="208">
      <calculatedColumnFormula array="1">Get_28_Del</calculatedColumnFormula>
    </tableColumn>
    <tableColumn id="78" xr3:uid="{9B1695E1-88D0-4B66-86DA-6328CEFA236B}" name="29 - 剩餘" dataDxfId="207" totalsRowDxfId="206">
      <calculatedColumnFormula array="1">Get_29_Calc</calculatedColumnFormula>
    </tableColumn>
    <tableColumn id="79" xr3:uid="{AD5F07E7-774D-47C8-B9B7-0278E35D62E4}" name="29 - 存入" dataDxfId="205" totalsRowDxfId="204">
      <calculatedColumnFormula array="1">Get_29_Add</calculatedColumnFormula>
    </tableColumn>
    <tableColumn id="80" xr3:uid="{60613223-E2AD-4FE8-AB22-74D7D70E9EC2}" name="29 - 支取" dataDxfId="203" totalsRowDxfId="202">
      <calculatedColumnFormula array="1">Get_29_Del</calculatedColumnFormula>
    </tableColumn>
    <tableColumn id="81" xr3:uid="{598D87C2-40FF-4EB0-A568-2DE01DFD9C9A}" name="30 - 剩餘" dataDxfId="201" totalsRowDxfId="200">
      <calculatedColumnFormula array="1">Get_30_Calc</calculatedColumnFormula>
    </tableColumn>
    <tableColumn id="112" xr3:uid="{A33BC1F0-D006-4639-92C6-0E411B6CA96D}" name="30 - 存入" dataDxfId="199" totalsRowDxfId="198">
      <calculatedColumnFormula array="1">Get_30_Add</calculatedColumnFormula>
    </tableColumn>
    <tableColumn id="113" xr3:uid="{AF7F8313-8446-4886-AE41-FE26C24E6965}" name="30 - 支取" dataDxfId="197" totalsRowDxfId="196">
      <calculatedColumnFormula array="1">Get_30_Del</calculatedColumnFormula>
    </tableColumn>
    <tableColumn id="114" xr3:uid="{32AC448A-1D9F-45C6-ADF0-484483D61305}" name="31 - 剩餘" dataDxfId="195" totalsRowDxfId="194">
      <calculatedColumnFormula array="1">Get_31_Calc</calculatedColumnFormula>
    </tableColumn>
    <tableColumn id="109" xr3:uid="{6656E887-BCA1-45C6-9018-4F892EDCD6BD}" name="31 - 存入" dataDxfId="193" totalsRowDxfId="192">
      <calculatedColumnFormula array="1">Get_31_Add</calculatedColumnFormula>
    </tableColumn>
    <tableColumn id="110" xr3:uid="{19143AD3-AFEC-4767-B097-6EFED19C1D5F}" name="31 - 支取" dataDxfId="191" totalsRowDxfId="190">
      <calculatedColumnFormula array="1">Get_31_Del</calculatedColumnFormula>
    </tableColumn>
    <tableColumn id="111" xr3:uid="{A73390AD-84AD-4B11-962F-A0DD77AF79DB}" name="32 - 剩餘" dataDxfId="189" totalsRowDxfId="188">
      <calculatedColumnFormula array="1">Get_32_Calc</calculatedColumnFormula>
    </tableColumn>
    <tableColumn id="106" xr3:uid="{CD563433-AB70-48C2-B28C-D63B8FE4231B}" name="32 - 存入" dataDxfId="187" totalsRowDxfId="186">
      <calculatedColumnFormula array="1">Get_32_Add</calculatedColumnFormula>
    </tableColumn>
    <tableColumn id="107" xr3:uid="{8C2B9726-7B44-4012-849B-90C10E42CC75}" name="32 - 支取" dataDxfId="185" totalsRowDxfId="184">
      <calculatedColumnFormula array="1">Get_32_Del</calculatedColumnFormula>
    </tableColumn>
    <tableColumn id="108" xr3:uid="{E5AF4544-102C-474F-A246-CC7171B33738}" name="33 - 剩餘" dataDxfId="183" totalsRowDxfId="182">
      <calculatedColumnFormula array="1">Get_33_Calc</calculatedColumnFormula>
    </tableColumn>
    <tableColumn id="121" xr3:uid="{C1F5D498-1262-44DF-B066-1A676148E301}" name="33 - 存入" dataDxfId="181" totalsRowDxfId="180">
      <calculatedColumnFormula array="1">Get_33_Add</calculatedColumnFormula>
    </tableColumn>
    <tableColumn id="122" xr3:uid="{2F6821D0-F42C-4DED-A045-B1C398C90F61}" name="33 - 支取" dataDxfId="179" totalsRowDxfId="178">
      <calculatedColumnFormula array="1">Get_33_Del</calculatedColumnFormula>
    </tableColumn>
    <tableColumn id="123" xr3:uid="{DDEBD9FE-7A2F-41FF-9BD6-93F0E3570136}" name="34 - 剩餘" dataDxfId="177" totalsRowDxfId="176">
      <calculatedColumnFormula array="1">Get_34_Calc</calculatedColumnFormula>
    </tableColumn>
    <tableColumn id="118" xr3:uid="{DEAF0FA5-8ADE-45D7-B112-EA03FAA0D896}" name="34 - 存入" dataDxfId="175" totalsRowDxfId="174">
      <calculatedColumnFormula array="1">Get_34_Add</calculatedColumnFormula>
    </tableColumn>
    <tableColumn id="119" xr3:uid="{C95831F4-24FC-40B7-A0D8-FEBAAA6EAD80}" name="34 - 支取" dataDxfId="173" totalsRowDxfId="172">
      <calculatedColumnFormula array="1">Get_34_Del</calculatedColumnFormula>
    </tableColumn>
    <tableColumn id="120" xr3:uid="{8C22D30B-320F-49E4-B37A-57A3D5DEE429}" name="35 - 剩餘" dataDxfId="171" totalsRowDxfId="170">
      <calculatedColumnFormula array="1">Get_35_Calc</calculatedColumnFormula>
    </tableColumn>
    <tableColumn id="115" xr3:uid="{DC9FF648-80A3-480C-8295-816AE96549F0}" name="35 - 存入" dataDxfId="169" totalsRowDxfId="168">
      <calculatedColumnFormula array="1">Get_35_Add</calculatedColumnFormula>
    </tableColumn>
    <tableColumn id="116" xr3:uid="{19FD796A-C39B-4913-B2F4-CF8C8A6E2355}" name="35 - 支取" dataDxfId="167" totalsRowDxfId="166">
      <calculatedColumnFormula array="1">Get_35_Del</calculatedColumnFormula>
    </tableColumn>
    <tableColumn id="117" xr3:uid="{329AC6EB-CF46-4F1E-A1D1-49A8B17CACCD}" name="36 - 剩餘" dataDxfId="165" totalsRowDxfId="164">
      <calculatedColumnFormula array="1">Get_36_Calc</calculatedColumnFormula>
    </tableColumn>
    <tableColumn id="77" xr3:uid="{D18373BA-DB75-470C-9939-60206C36267B}" name="36 - 存入" dataDxfId="163" totalsRowDxfId="162">
      <calculatedColumnFormula array="1">Get_36_Add</calculatedColumnFormula>
    </tableColumn>
    <tableColumn id="76" xr3:uid="{8C923C1F-8AAD-4F00-B3ED-8C81417C548A}" name="36 - 支取" dataDxfId="161" totalsRowDxfId="160">
      <calculatedColumnFormula array="1">Get_36_Del</calculatedColumnFormula>
    </tableColumn>
    <tableColumn id="132" xr3:uid="{F6203D74-C033-4FEA-B4CE-F892F2B07270}" name="37 - 剩餘" dataDxfId="159" totalsRowDxfId="158">
      <calculatedColumnFormula array="1">Get_37_Calc</calculatedColumnFormula>
    </tableColumn>
    <tableColumn id="133" xr3:uid="{BA7DE93C-8EE4-4DDC-BC04-EC21986490A7}" name="37 - 存入" dataDxfId="157" totalsRowDxfId="156">
      <calculatedColumnFormula array="1">Get_37_Add</calculatedColumnFormula>
    </tableColumn>
    <tableColumn id="128" xr3:uid="{A2AB67E7-67E5-4957-9EB1-A4A37B61C71A}" name="37 - 支取" dataDxfId="155" totalsRowDxfId="154">
      <calculatedColumnFormula array="1">Get_37_Del</calculatedColumnFormula>
    </tableColumn>
    <tableColumn id="129" xr3:uid="{15573BDA-20F9-4C2F-9D6F-18F743FC6E25}" name="38 - 剩餘" dataDxfId="153" totalsRowDxfId="152">
      <calculatedColumnFormula array="1">Get_38_Calc</calculatedColumnFormula>
    </tableColumn>
    <tableColumn id="130" xr3:uid="{C0F229CF-C5D6-4F11-8F55-7692B00DC0E3}" name="38 - 存入" dataDxfId="151" totalsRowDxfId="150">
      <calculatedColumnFormula array="1">Get_38_Add</calculatedColumnFormula>
    </tableColumn>
    <tableColumn id="125" xr3:uid="{24A0AFA6-873B-40D0-95AA-269E0E8A05E1}" name="38 - 支取" dataDxfId="149" totalsRowDxfId="148">
      <calculatedColumnFormula array="1">Get_38_Del</calculatedColumnFormula>
    </tableColumn>
    <tableColumn id="126" xr3:uid="{20897FAE-D3FE-48DD-961E-6A6443173FA9}" name="39 - 剩餘" dataDxfId="147" totalsRowDxfId="146">
      <calculatedColumnFormula array="1">Get_39_Calc</calculatedColumnFormula>
    </tableColumn>
    <tableColumn id="127" xr3:uid="{35F30295-EDB2-4D7F-939D-DFAC52BB2A9F}" name="39 - 存入" dataDxfId="145" totalsRowDxfId="144">
      <calculatedColumnFormula array="1">Get_39_Add</calculatedColumnFormula>
    </tableColumn>
    <tableColumn id="124" xr3:uid="{AF953A41-E1B0-4337-8A8E-F951C493EDE8}" name="39 - 支取" dataDxfId="143" totalsRowDxfId="142">
      <calculatedColumnFormula array="1">Get_39_Del</calculatedColumnFormula>
    </tableColumn>
    <tableColumn id="75" xr3:uid="{07F02D24-5D96-40AE-BCE0-590F79C6D5DF}" name="40 - 剩餘" dataDxfId="141" totalsRowDxfId="140">
      <calculatedColumnFormula array="1">Get_40_Calc</calculatedColumnFormula>
    </tableColumn>
    <tableColumn id="134" xr3:uid="{1075256E-BEBC-4E72-B0F5-766EF175AB4B}" name="40 - 存入" dataDxfId="139" totalsRowDxfId="138">
      <calculatedColumnFormula array="1">Get_40_Add</calculatedColumnFormula>
    </tableColumn>
    <tableColumn id="74" xr3:uid="{DAFDE2C6-F321-4651-AA25-F4B29B9F690B}" name="40 - 支取" dataDxfId="137" totalsRowDxfId="136">
      <calculatedColumnFormula array="1">Get_40_Del</calculatedColumnFormula>
    </tableColumn>
    <tableColumn id="2" xr3:uid="{6838A7E0-670C-4A2D-AF67-326212D8D278}" name="姓氏" dataDxfId="135" totalsRowDxfId="134"/>
    <tableColumn id="25" xr3:uid="{0E0946FC-F3D2-412C-BDE7-636B8FDBFE7C}" name="名字" dataDxfId="133" totalsRowDxfId="132"/>
    <tableColumn id="3" xr3:uid="{E7DD7F6C-DAA7-4B96-9638-5C8F7FEFCC2E}" name="性別" dataDxfId="131" totalsRowDxfId="130"/>
    <tableColumn id="23" xr3:uid="{AABD28F8-91AC-4EA0-915D-2F3C990C193D}" name="身分證號碼" dataDxfId="129" totalsRowDxfId="128"/>
    <tableColumn id="24" xr3:uid="{14505223-157D-4FB0-A334-A4E4687523F8}" name="年齡" dataDxfId="127" totalsRowDxfId="126"/>
    <tableColumn id="4" xr3:uid="{B39F2860-CADF-40CB-832A-CCDE8501D7E3}" name="電話" dataDxfId="125" totalsRowDxfId="124"/>
    <tableColumn id="16" xr3:uid="{6E8928D1-6540-4241-9B8F-BFBC65F8DA26}" name="Email" dataDxfId="123"/>
    <tableColumn id="17" xr3:uid="{5422D38F-7826-4B14-9992-0434FAF52537}" name="家庭住址" dataDxfId="122" totalsRowDxfId="121"/>
    <tableColumn id="13" xr3:uid="{1096126D-9431-4280-89CE-FD45CA05D86A}" name="新增會員時間" dataDxfId="120" totalsRowDxfId="119"/>
    <tableColumn id="22" xr3:uid="{8DAD451D-44A8-40A3-A244-DDF540273F95}" name="工號" dataDxfId="118" totalsRowDxfId="117"/>
    <tableColumn id="12" xr3:uid="{A8D286B9-575E-4C05-8F77-63C322A43E3C}" name="備註" totalsRowFunction="count" dataDxfId="116" totalsRowDxfId="115"/>
    <tableColumn id="137" xr3:uid="{A28FE4E6-E4F7-4285-960E-52FA91B37CDC}" name="总共已关联" dataDxfId="114" totalsRowDxfId="113">
      <calculatedColumnFormula array="1">History_Total</calculatedColumnFormula>
    </tableColumn>
    <tableColumn id="138" xr3:uid="{721FCAE3-06FB-4515-8BF9-94511832EAAF}" name="已关联存入" dataDxfId="112" totalsRowDxfId="111">
      <calculatedColumnFormula array="1">History_Saved</calculatedColumnFormula>
    </tableColumn>
    <tableColumn id="139" xr3:uid="{48CC7068-15C2-493C-AA4D-C49F4D0BB3AA}" name="已关联支取" dataDxfId="110" totalsRowDxfId="109">
      <calculatedColumnFormula array="1">History_Withdraw</calculatedColumnFormula>
    </tableColumn>
    <tableColumn id="131" xr3:uid="{B4C815C6-B401-45F9-B9B2-1476058C1A52}" name="狀態" dataDxfId="108" totalsRowDxfId="10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4" dataDxfId="103">
  <autoFilter ref="B6:AV8" xr:uid="{B82E5E9F-8725-4EAF-B9F2-1889C4CE31C6}"/>
  <tableColumns count="47">
    <tableColumn id="1" xr3:uid="{B2E2102C-8F4D-4C47-9CD3-463EA2BB39CA}" name="序號" dataDxfId="102" totalsRowDxfId="101">
      <calculatedColumnFormula array="1">SN</calculatedColumnFormula>
    </tableColumn>
    <tableColumn id="2" xr3:uid="{B2493920-5E1A-4FDC-9855-B9542A099E48}" name="唯一識別碼" dataDxfId="100" totalsRowDxfId="99"/>
    <tableColumn id="5" xr3:uid="{5B86D5AB-C839-4645-A1C3-6DB8BE627282}" name="1" dataDxfId="98" totalsRowDxfId="97"/>
    <tableColumn id="6" xr3:uid="{D0DA84C9-F1D2-46E3-B7CE-A8366D8983EB}" name="2" dataDxfId="96" totalsRowDxfId="95"/>
    <tableColumn id="18" xr3:uid="{9E40E7FF-8010-4EF5-8D65-05F090D03F3E}" name="3" dataDxfId="94" totalsRowDxfId="93"/>
    <tableColumn id="21" xr3:uid="{5F083938-0DC4-423F-A299-44247D468027}" name="4" dataDxfId="92" totalsRowDxfId="91"/>
    <tableColumn id="22" xr3:uid="{24908B7A-CF9B-4D63-9022-D399C13A94C1}" name="5" dataDxfId="90" totalsRowDxfId="89"/>
    <tableColumn id="19" xr3:uid="{BEB80215-8B61-4914-86E2-724F4F55059E}" name="6" dataDxfId="88" totalsRowDxfId="87"/>
    <tableColumn id="20" xr3:uid="{E54DF6BD-FDB6-4958-9792-37D84186C5F8}" name="7" dataDxfId="86" totalsRowDxfId="85"/>
    <tableColumn id="17" xr3:uid="{3C5E9469-24AB-4CCF-9097-5413D53FE08B}" name="8" dataDxfId="84" totalsRowDxfId="83"/>
    <tableColumn id="25" xr3:uid="{DF31ADD6-D425-448A-84D6-24EA4C755749}" name="9" dataDxfId="82" totalsRowDxfId="81"/>
    <tableColumn id="24" xr3:uid="{C42F8972-B742-4D35-A952-3D872596299B}" name="10" dataDxfId="80" totalsRowDxfId="79"/>
    <tableColumn id="23" xr3:uid="{B41C44E2-038E-439D-88E8-97ACB7CC434D}" name="11" dataDxfId="78" totalsRowDxfId="77"/>
    <tableColumn id="16" xr3:uid="{6BD74C15-D3CF-47C3-AFCC-D562BF1584D8}" name="12" dataDxfId="76" totalsRowDxfId="75"/>
    <tableColumn id="26" xr3:uid="{3AA81C31-DC87-4EC0-8317-62466BCA688D}" name="13" dataDxfId="74" totalsRowDxfId="73"/>
    <tableColumn id="29" xr3:uid="{C0462957-AD6C-4B5C-8DE8-98D81D3496D1}" name="14" dataDxfId="72" totalsRowDxfId="71"/>
    <tableColumn id="30" xr3:uid="{91E73BB4-A5D3-4098-ADFA-7676E1DD74AC}" name="15" dataDxfId="70" totalsRowDxfId="69"/>
    <tableColumn id="27" xr3:uid="{7188DC63-0EDC-479C-8DF8-171846E035A9}" name="16" dataDxfId="68" totalsRowDxfId="67"/>
    <tableColumn id="28" xr3:uid="{902017B5-4692-492C-9165-FFBAA7A9EFA2}" name="17" dataDxfId="66" totalsRowDxfId="65"/>
    <tableColumn id="15" xr3:uid="{3A772841-0990-4D32-BD79-3A55F182D58A}" name="18" dataDxfId="64" totalsRowDxfId="63"/>
    <tableColumn id="13" xr3:uid="{5994AF1F-2C09-49F7-BEAE-5244545BE579}" name="19" dataDxfId="62" totalsRowDxfId="61"/>
    <tableColumn id="12" xr3:uid="{52D6369B-5841-4774-8BDE-05C74F09EAC1}" name="20" dataDxfId="60" totalsRowDxfId="59"/>
    <tableColumn id="31" xr3:uid="{C83E34E8-13E7-40AC-9737-31D4F44EA5C0}" name="21" dataDxfId="58" totalsRowDxfId="57"/>
    <tableColumn id="33" xr3:uid="{20040D15-F787-4792-8F8C-D184E466DD4A}" name="22" dataDxfId="56" totalsRowDxfId="55"/>
    <tableColumn id="39" xr3:uid="{874A0112-6044-4784-9336-AC836F681062}" name="23" dataDxfId="54" totalsRowDxfId="53"/>
    <tableColumn id="40" xr3:uid="{A335E465-437A-4DCA-AE73-6DBF20019402}" name="24" dataDxfId="52" totalsRowDxfId="51"/>
    <tableColumn id="41" xr3:uid="{723CE42E-61DF-4AF1-B805-025AD3796144}" name="25" dataDxfId="50" totalsRowDxfId="49"/>
    <tableColumn id="47" xr3:uid="{AC0C5112-91DB-476F-9326-03A00C1CC4D7}" name="26" dataDxfId="48" totalsRowDxfId="47"/>
    <tableColumn id="48" xr3:uid="{0CCD12DC-90CB-4A7B-B37F-0CDFD12C9E26}" name="27" dataDxfId="46" totalsRowDxfId="45"/>
    <tableColumn id="49" xr3:uid="{32093088-A6B1-4E81-8060-8081572AEB3C}" name="28" dataDxfId="44" totalsRowDxfId="43"/>
    <tableColumn id="50" xr3:uid="{E73E4046-D91C-4103-8FF5-CE3DABE5943E}" name="29" dataDxfId="42" totalsRowDxfId="41"/>
    <tableColumn id="42" xr3:uid="{7535B89E-1BDE-4FCD-8270-64B6BD553E66}" name="30" dataDxfId="40" totalsRowDxfId="39"/>
    <tableColumn id="43" xr3:uid="{0EF5131B-2964-41D8-8B4F-5CE8425A8E17}" name="31" dataDxfId="38" totalsRowDxfId="37"/>
    <tableColumn id="44" xr3:uid="{07794504-345E-44DA-BFFD-0FC011CA8C0C}" name="32" dataDxfId="36" totalsRowDxfId="35"/>
    <tableColumn id="45" xr3:uid="{742F74DB-184C-47F9-BC8D-88717E4EAAE9}" name="33" dataDxfId="34" totalsRowDxfId="33"/>
    <tableColumn id="46" xr3:uid="{6C4ACE81-DC94-4085-8445-2A590B8AC004}" name="34" dataDxfId="32" totalsRowDxfId="31"/>
    <tableColumn id="36" xr3:uid="{B8E7051A-604E-4DED-90C9-55AFE95C1751}" name="35" dataDxfId="30" totalsRowDxfId="29"/>
    <tableColumn id="37" xr3:uid="{D0A1BB8D-7A59-4F4C-9F61-A39E97785CEF}" name="36" dataDxfId="28" totalsRowDxfId="27"/>
    <tableColumn id="38" xr3:uid="{16A3E285-8C93-4999-A0E2-03857615F7A9}" name="37" dataDxfId="26" totalsRowDxfId="25"/>
    <tableColumn id="34" xr3:uid="{8FFD9156-81BC-4797-9171-05EBE094577A}" name="38" dataDxfId="24" totalsRowDxfId="23"/>
    <tableColumn id="35" xr3:uid="{399AED98-1FD4-4BCA-BA5E-1AF3891EC865}" name="39" dataDxfId="22" totalsRowDxfId="21"/>
    <tableColumn id="32" xr3:uid="{A8DF16A5-4D2C-4246-8D26-BA66F2E409B7}" name="40" dataDxfId="20" totalsRowDxfId="19"/>
    <tableColumn id="4" xr3:uid="{702BF576-18B9-4757-B976-A4C2C46CD578}" name="類型" dataDxfId="18" totalsRowDxfId="17"/>
    <tableColumn id="3" xr3:uid="{2DB9E3FB-FAB2-4AAE-92D3-3923415905C1}" name="時間" dataDxfId="16" totalsRowDxfId="15"/>
    <tableColumn id="7" xr3:uid="{09F84C56-CC9A-4AF7-B58F-B7114DD50367}" name="工號" dataDxfId="14" totalsRowDxfId="13"/>
    <tableColumn id="8" xr3:uid="{56756BBB-4B3E-40A7-A199-808B905113E1}" name="備註" dataDxfId="12" totalsRowDxfId="11"/>
    <tableColumn id="9" xr3:uid="{E526E3D9-B04D-4664-B23B-554B24C36ABA}" name="狀態" dataDxfId="1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168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170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7</v>
      </c>
      <c r="C7" s="42" t="s">
        <v>171</v>
      </c>
      <c r="D7" s="49" t="s">
        <v>11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460</v>
      </c>
    </row>
    <row r="8" spans="2:56" ht="8.15" customHeight="1"/>
    <row r="9" spans="2:56" ht="40" customHeight="1">
      <c r="B9" s="81" t="s">
        <v>8</v>
      </c>
      <c r="C9" s="42" t="s">
        <v>172</v>
      </c>
      <c r="D9" s="42"/>
      <c r="E9" s="42"/>
      <c r="F9" s="42"/>
      <c r="G9" s="42" t="s">
        <v>181</v>
      </c>
      <c r="H9" s="126" t="s">
        <v>182</v>
      </c>
      <c r="I9" s="126"/>
      <c r="J9" s="126"/>
      <c r="K9" s="127" t="s">
        <v>183</v>
      </c>
      <c r="L9" s="127"/>
      <c r="M9" s="127"/>
      <c r="N9" s="127" t="s">
        <v>413</v>
      </c>
      <c r="O9" s="127"/>
      <c r="P9" s="127" t="s">
        <v>412</v>
      </c>
      <c r="Q9" s="127"/>
      <c r="R9" s="127"/>
      <c r="S9" s="127"/>
      <c r="BB9" s="16" t="s">
        <v>459</v>
      </c>
      <c r="BC9" s="16" t="s">
        <v>210</v>
      </c>
      <c r="BD9" s="16" t="s">
        <v>435</v>
      </c>
    </row>
    <row r="10" spans="2:56" ht="40" customHeight="1">
      <c r="B10" s="81"/>
      <c r="C10" s="42"/>
      <c r="D10" s="43" t="s">
        <v>173</v>
      </c>
      <c r="E10" s="43" t="s">
        <v>174</v>
      </c>
      <c r="F10" s="43" t="s">
        <v>175</v>
      </c>
      <c r="G10" s="43" t="s">
        <v>176</v>
      </c>
      <c r="H10" s="43" t="s">
        <v>177</v>
      </c>
      <c r="I10" s="43" t="s">
        <v>151</v>
      </c>
      <c r="J10" s="43" t="s">
        <v>152</v>
      </c>
      <c r="K10" s="43" t="s">
        <v>178</v>
      </c>
      <c r="L10" s="43" t="s">
        <v>179</v>
      </c>
      <c r="M10" s="43" t="s">
        <v>180</v>
      </c>
      <c r="N10" s="43" t="s">
        <v>415</v>
      </c>
      <c r="O10" s="43" t="s">
        <v>414</v>
      </c>
      <c r="P10" s="70" t="s">
        <v>274</v>
      </c>
      <c r="Q10" s="70" t="s">
        <v>275</v>
      </c>
      <c r="R10" s="70" t="s">
        <v>276</v>
      </c>
      <c r="S10" s="70" t="s">
        <v>277</v>
      </c>
      <c r="BC10" s="16" t="s">
        <v>433</v>
      </c>
      <c r="BD10" s="16" t="s">
        <v>80</v>
      </c>
    </row>
    <row r="11" spans="2:56" ht="40" customHeight="1">
      <c r="B11" s="81"/>
      <c r="C11" s="42"/>
      <c r="D11" s="83" t="str">
        <f>CONCATENATE(Store_Setting[[#This Row],[商品序號]], IF(Store_Setting[[#This Row],[商品名稱]]="","", _xlfn.CONCAT(" | ",Store_Setting[商品名稱])))</f>
        <v>1 | 12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Row],[唯一識別碼]],Store_History[類型],$D$79)</f>
        <v>0</v>
      </c>
      <c r="M11" s="84">
        <f>SUMIFS(Store_History[数量],Store_History[唯一識別碼],Store_Setting[[#This Row],[唯一識別碼]],Store_History[類型],$E$79)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6" t="s">
        <v>434</v>
      </c>
      <c r="BD11" s="16" t="s">
        <v>81</v>
      </c>
    </row>
    <row r="12" spans="2:56" ht="40" customHeight="1">
      <c r="B12" s="81"/>
      <c r="C12" s="42"/>
      <c r="D12" s="83" t="str">
        <f>CONCATENATE(Store_Setting[[#This Row],[商品序號]], IF(Store_Setting[[#This Row],[商品名稱]]="","", _xlfn.CONCAT(" | ",Store_Setting[商品名稱])))</f>
        <v>2 | 12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Row],[唯一識別碼]],Store_History[類型],$D$79)</f>
        <v>0</v>
      </c>
      <c r="M12" s="84">
        <f>SUMIFS(Store_History[数量],Store_History[唯一識別碼],Store_Setting[[#This Row],[唯一識別碼]],Store_History[類型],$E$79)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6" t="s">
        <v>173</v>
      </c>
    </row>
    <row r="13" spans="2:56" ht="40" customHeight="1">
      <c r="B13" s="81"/>
      <c r="C13" s="42"/>
      <c r="D13" s="83" t="str">
        <f>CONCATENATE(Store_Setting[[#This Row],[商品序號]], IF(Store_Setting[[#This Row],[商品名稱]]="","", _xlfn.CONCAT(" | ",Store_Setting[商品名稱])))</f>
        <v>3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Row],[唯一識別碼]],Store_History[類型],$D$79)</f>
        <v>0</v>
      </c>
      <c r="M13" s="84">
        <f>SUMIFS(Store_History[数量],Store_History[唯一識別碼],Store_Setting[[#This Row],[唯一識別碼]],Store_History[類型],$E$79)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6" t="s">
        <v>436</v>
      </c>
    </row>
    <row r="14" spans="2:56" ht="40" customHeight="1">
      <c r="B14" s="81"/>
      <c r="C14" s="42"/>
      <c r="D14" s="83" t="str">
        <f>CONCATENATE(Store_Setting[[#This Row],[商品序號]], IF(Store_Setting[[#This Row],[商品名稱]]="","", _xlfn.CONCAT(" | ",Store_Setting[商品名稱])))</f>
        <v>4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Row],[唯一識別碼]],Store_History[類型],$D$79)</f>
        <v>0</v>
      </c>
      <c r="M14" s="84">
        <f>SUMIFS(Store_History[数量],Store_History[唯一識別碼],Store_Setting[[#This Row],[唯一識別碼]],Store_History[類型],$E$79)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6" t="s">
        <v>437</v>
      </c>
    </row>
    <row r="15" spans="2:56" ht="40" customHeight="1">
      <c r="B15" s="81"/>
      <c r="C15" s="42"/>
      <c r="D15" s="83" t="str">
        <f>CONCATENATE(Store_Setting[[#This Row],[商品序號]], IF(Store_Setting[[#This Row],[商品名稱]]="","", _xlfn.CONCAT(" | ",Store_Setting[商品名稱])))</f>
        <v>5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Row],[唯一識別碼]],Store_History[類型],$D$79)</f>
        <v>0</v>
      </c>
      <c r="M15" s="84">
        <f>SUMIFS(Store_History[数量],Store_History[唯一識別碼],Store_Setting[[#This Row],[唯一識別碼]],Store_History[類型],$E$79)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6" t="s">
        <v>438</v>
      </c>
    </row>
    <row r="16" spans="2:56" ht="40" customHeight="1">
      <c r="B16" s="81"/>
      <c r="C16" s="42"/>
      <c r="D16" s="83" t="str">
        <f>CONCATENATE(Store_Setting[[#This Row],[商品序號]], IF(Store_Setting[[#This Row],[商品名稱]]="","", _xlfn.CONCAT(" | ",Store_Setting[商品名稱])))</f>
        <v>6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Row],[唯一識別碼]],Store_History[類型],$D$79)</f>
        <v>0</v>
      </c>
      <c r="M16" s="84">
        <f>SUMIFS(Store_History[数量],Store_History[唯一識別碼],Store_Setting[[#This Row],[唯一識別碼]],Store_History[類型],$E$79)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6" t="s">
        <v>439</v>
      </c>
    </row>
    <row r="17" spans="2:56" ht="40" customHeight="1">
      <c r="B17" s="81"/>
      <c r="C17" s="42"/>
      <c r="D17" s="83" t="str">
        <f>CONCATENATE(Store_Setting[[#This Row],[商品序號]], IF(Store_Setting[[#This Row],[商品名稱]]="","", _xlfn.CONCAT(" | ",Store_Setting[商品名稱])))</f>
        <v>7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Row],[唯一識別碼]],Store_History[類型],$D$79)</f>
        <v>0</v>
      </c>
      <c r="M17" s="84">
        <f>SUMIFS(Store_History[数量],Store_History[唯一識別碼],Store_Setting[[#This Row],[唯一識別碼]],Store_History[類型],$E$79)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6" t="s">
        <v>420</v>
      </c>
    </row>
    <row r="18" spans="2:56" ht="40" customHeight="1">
      <c r="B18" s="81"/>
      <c r="C18" s="42"/>
      <c r="D18" s="83" t="str">
        <f>CONCATENATE(Store_Setting[[#This Row],[商品序號]], IF(Store_Setting[[#This Row],[商品名稱]]="","", _xlfn.CONCAT(" | ",Store_Setting[商品名稱])))</f>
        <v>8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Row],[唯一識別碼]],Store_History[類型],$D$79)</f>
        <v>0</v>
      </c>
      <c r="M18" s="84">
        <f>SUMIFS(Store_History[数量],Store_History[唯一識別碼],Store_Setting[[#This Row],[唯一識別碼]],Store_History[類型],$E$79)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6" t="s">
        <v>440</v>
      </c>
    </row>
    <row r="19" spans="2:56" ht="40" customHeight="1">
      <c r="B19" s="81"/>
      <c r="C19" s="42"/>
      <c r="D19" s="83" t="str">
        <f>CONCATENATE(Store_Setting[[#This Row],[商品序號]], IF(Store_Setting[[#This Row],[商品名稱]]="","", _xlfn.CONCAT(" | ",Store_Setting[商品名稱])))</f>
        <v>9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Row],[唯一識別碼]],Store_History[類型],$D$79)</f>
        <v>0</v>
      </c>
      <c r="M19" s="84">
        <f>SUMIFS(Store_History[数量],Store_History[唯一識別碼],Store_Setting[[#This Row],[唯一識別碼]],Store_History[類型],$E$79)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6" t="s">
        <v>441</v>
      </c>
    </row>
    <row r="20" spans="2:56" ht="40" customHeight="1">
      <c r="B20" s="81"/>
      <c r="C20" s="42"/>
      <c r="D20" s="83" t="str">
        <f>CONCATENATE(Store_Setting[[#This Row],[商品序號]], IF(Store_Setting[[#This Row],[商品名稱]]="","", _xlfn.CONCAT(" | ",Store_Setting[商品名稱])))</f>
        <v>10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Row],[唯一識別碼]],Store_History[類型],$D$79)</f>
        <v>0</v>
      </c>
      <c r="M20" s="84">
        <f>SUMIFS(Store_History[数量],Store_History[唯一識別碼],Store_Setting[[#This Row],[唯一識別碼]],Store_History[類型],$E$79)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6" t="s">
        <v>429</v>
      </c>
    </row>
    <row r="21" spans="2:56" ht="40" customHeight="1">
      <c r="B21" s="81"/>
      <c r="C21" s="42"/>
      <c r="D21" s="83" t="str">
        <f>CONCATENATE(Store_Setting[[#This Row],[商品序號]], IF(Store_Setting[[#This Row],[商品名稱]]="","", _xlfn.CONCAT(" | ",Store_Setting[商品名稱])))</f>
        <v>11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Row],[唯一識別碼]],Store_History[類型],$D$79)</f>
        <v>0</v>
      </c>
      <c r="M21" s="84">
        <f>SUMIFS(Store_History[数量],Store_History[唯一識別碼],Store_Setting[[#This Row],[唯一識別碼]],Store_History[類型],$E$79)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6" t="s">
        <v>461</v>
      </c>
    </row>
    <row r="22" spans="2:56" ht="40" customHeight="1">
      <c r="B22" s="81"/>
      <c r="C22" s="42"/>
      <c r="D22" s="83" t="str">
        <f>CONCATENATE(Store_Setting[[#This Row],[商品序號]], IF(Store_Setting[[#This Row],[商品名稱]]="","", _xlfn.CONCAT(" | ",Store_Setting[商品名稱])))</f>
        <v>12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Row],[唯一識別碼]],Store_History[類型],$D$79)</f>
        <v>0</v>
      </c>
      <c r="M22" s="84">
        <f>SUMIFS(Store_History[数量],Store_History[唯一識別碼],Store_Setting[[#This Row],[唯一識別碼]],Store_History[類型],$E$79)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6" t="s">
        <v>458</v>
      </c>
      <c r="BD22" s="16" t="s">
        <v>442</v>
      </c>
    </row>
    <row r="23" spans="2:56" ht="40" customHeight="1">
      <c r="B23" s="81"/>
      <c r="C23" s="42"/>
      <c r="D23" s="83" t="str">
        <f>CONCATENATE(Store_Setting[[#This Row],[商品序號]], IF(Store_Setting[[#This Row],[商品名稱]]="","", _xlfn.CONCAT(" | ",Store_Setting[商品名稱])))</f>
        <v>13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Row],[唯一識別碼]],Store_History[類型],$D$79)</f>
        <v>0</v>
      </c>
      <c r="M23" s="84">
        <f>SUMIFS(Store_History[数量],Store_History[唯一識別碼],Store_Setting[[#This Row],[唯一識別碼]],Store_History[類型],$E$79)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6" t="s">
        <v>443</v>
      </c>
    </row>
    <row r="24" spans="2:56" ht="40" customHeight="1">
      <c r="B24" s="81"/>
      <c r="C24" s="42"/>
      <c r="D24" s="83" t="str">
        <f>CONCATENATE(Store_Setting[[#This Row],[商品序號]], IF(Store_Setting[[#This Row],[商品名稱]]="","", _xlfn.CONCAT(" | ",Store_Setting[商品名稱])))</f>
        <v>14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Row],[唯一識別碼]],Store_History[類型],$D$79)</f>
        <v>0</v>
      </c>
      <c r="M24" s="84">
        <f>SUMIFS(Store_History[数量],Store_History[唯一識別碼],Store_Setting[[#This Row],[唯一識別碼]],Store_History[類型],$E$79)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6" t="s">
        <v>444</v>
      </c>
    </row>
    <row r="25" spans="2:56" ht="40" customHeight="1">
      <c r="B25" s="81"/>
      <c r="C25" s="42"/>
      <c r="D25" s="83" t="str">
        <f>CONCATENATE(Store_Setting[[#This Row],[商品序號]], IF(Store_Setting[[#This Row],[商品名稱]]="","", _xlfn.CONCAT(" | ",Store_Setting[商品名稱])))</f>
        <v>15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Row],[唯一識別碼]],Store_History[類型],$D$79)</f>
        <v>0</v>
      </c>
      <c r="M25" s="84">
        <f>SUMIFS(Store_History[数量],Store_History[唯一識別碼],Store_Setting[[#This Row],[唯一識別碼]],Store_History[類型],$E$79)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6" t="s">
        <v>457</v>
      </c>
      <c r="BD25" s="16" t="s">
        <v>445</v>
      </c>
    </row>
    <row r="26" spans="2:56" ht="40" customHeight="1">
      <c r="B26" s="81"/>
      <c r="C26" s="42"/>
      <c r="D26" s="83" t="str">
        <f>CONCATENATE(Store_Setting[[#This Row],[商品序號]], IF(Store_Setting[[#This Row],[商品名稱]]="","", _xlfn.CONCAT(" | ",Store_Setting[商品名稱])))</f>
        <v>16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Row],[唯一識別碼]],Store_History[類型],$D$79)</f>
        <v>0</v>
      </c>
      <c r="M26" s="84">
        <f>SUMIFS(Store_History[数量],Store_History[唯一識別碼],Store_Setting[[#This Row],[唯一識別碼]],Store_History[類型],$E$79)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6" t="s">
        <v>446</v>
      </c>
    </row>
    <row r="27" spans="2:56" ht="40" customHeight="1">
      <c r="B27" s="81"/>
      <c r="C27" s="42"/>
      <c r="D27" s="83" t="str">
        <f>CONCATENATE(Store_Setting[[#This Row],[商品序號]], IF(Store_Setting[[#This Row],[商品名稱]]="","", _xlfn.CONCAT(" | ",Store_Setting[商品名稱])))</f>
        <v>17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Row],[唯一識別碼]],Store_History[類型],$D$79)</f>
        <v>0</v>
      </c>
      <c r="M27" s="84">
        <f>SUMIFS(Store_History[数量],Store_History[唯一識別碼],Store_Setting[[#This Row],[唯一識別碼]],Store_History[類型],$E$79)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6" t="s">
        <v>447</v>
      </c>
    </row>
    <row r="28" spans="2:56" ht="40" customHeight="1">
      <c r="B28" s="81"/>
      <c r="C28" s="42"/>
      <c r="D28" s="83" t="str">
        <f>CONCATENATE(Store_Setting[[#This Row],[商品序號]], IF(Store_Setting[[#This Row],[商品名稱]]="","", _xlfn.CONCAT(" | ",Store_Setting[商品名稱])))</f>
        <v>18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Row],[唯一識別碼]],Store_History[類型],$D$79)</f>
        <v>0</v>
      </c>
      <c r="M28" s="84">
        <f>SUMIFS(Store_History[数量],Store_History[唯一識別碼],Store_Setting[[#This Row],[唯一識別碼]],Store_History[類型],$E$79)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6" t="s">
        <v>448</v>
      </c>
    </row>
    <row r="29" spans="2:56" ht="40" customHeight="1">
      <c r="B29" s="81"/>
      <c r="C29" s="42"/>
      <c r="D29" s="83" t="str">
        <f>CONCATENATE(Store_Setting[[#This Row],[商品序號]], IF(Store_Setting[[#This Row],[商品名稱]]="","", _xlfn.CONCAT(" | ",Store_Setting[商品名稱])))</f>
        <v>19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Row],[唯一識別碼]],Store_History[類型],$D$79)</f>
        <v>0</v>
      </c>
      <c r="M29" s="84">
        <f>SUMIFS(Store_History[数量],Store_History[唯一識別碼],Store_Setting[[#This Row],[唯一識別碼]],Store_History[類型],$E$79)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6" t="s">
        <v>449</v>
      </c>
    </row>
    <row r="30" spans="2:56" ht="40" customHeight="1">
      <c r="B30" s="81"/>
      <c r="C30" s="42"/>
      <c r="D30" s="83" t="str">
        <f>CONCATENATE(Store_Setting[[#This Row],[商品序號]], IF(Store_Setting[[#This Row],[商品名稱]]="","", _xlfn.CONCAT(" | ",Store_Setting[商品名稱])))</f>
        <v>20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Row],[唯一識別碼]],Store_History[類型],$D$79)</f>
        <v>0</v>
      </c>
      <c r="M30" s="84">
        <f>SUMIFS(Store_History[数量],Store_History[唯一識別碼],Store_Setting[[#This Row],[唯一識別碼]],Store_History[類型],$E$79)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6" t="s">
        <v>450</v>
      </c>
    </row>
    <row r="31" spans="2:56" ht="40" customHeight="1">
      <c r="B31" s="81"/>
      <c r="C31" s="42"/>
      <c r="D31" s="83" t="str">
        <f>CONCATENATE(Store_Setting[[#This Row],[商品序號]], IF(Store_Setting[[#This Row],[商品名稱]]="","", _xlfn.CONCAT(" | ",Store_Setting[商品名稱])))</f>
        <v>21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Row],[唯一識別碼]],Store_History[類型],$D$79)</f>
        <v>0</v>
      </c>
      <c r="M31" s="84">
        <f>SUMIFS(Store_History[数量],Store_History[唯一識別碼],Store_Setting[[#This Row],[唯一識別碼]],Store_History[類型],$E$79)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6" t="s">
        <v>451</v>
      </c>
    </row>
    <row r="32" spans="2:56" ht="40" customHeight="1">
      <c r="B32" s="81"/>
      <c r="C32" s="42"/>
      <c r="D32" s="83" t="str">
        <f>CONCATENATE(Store_Setting[[#This Row],[商品序號]], IF(Store_Setting[[#This Row],[商品名稱]]="","", _xlfn.CONCAT(" | ",Store_Setting[商品名稱])))</f>
        <v>22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Row],[唯一識別碼]],Store_History[類型],$D$79)</f>
        <v>0</v>
      </c>
      <c r="M32" s="84">
        <f>SUMIFS(Store_History[数量],Store_History[唯一識別碼],Store_Setting[[#This Row],[唯一識別碼]],Store_History[類型],$E$79)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6" t="s">
        <v>452</v>
      </c>
    </row>
    <row r="33" spans="2:56" ht="40" customHeight="1">
      <c r="B33" s="81"/>
      <c r="C33" s="42"/>
      <c r="D33" s="83" t="str">
        <f>CONCATENATE(Store_Setting[[#This Row],[商品序號]], IF(Store_Setting[[#This Row],[商品名稱]]="","", _xlfn.CONCAT(" | ",Store_Setting[商品名稱])))</f>
        <v>23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Row],[唯一識別碼]],Store_History[類型],$D$79)</f>
        <v>0</v>
      </c>
      <c r="M33" s="84">
        <f>SUMIFS(Store_History[数量],Store_History[唯一識別碼],Store_Setting[[#This Row],[唯一識別碼]],Store_History[類型],$E$79)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6" t="s">
        <v>453</v>
      </c>
    </row>
    <row r="34" spans="2:56" ht="40" customHeight="1">
      <c r="B34" s="81"/>
      <c r="C34" s="42"/>
      <c r="D34" s="83" t="str">
        <f>CONCATENATE(Store_Setting[[#This Row],[商品序號]], IF(Store_Setting[[#This Row],[商品名稱]]="","", _xlfn.CONCAT(" | ",Store_Setting[商品名稱])))</f>
        <v>24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Row],[唯一識別碼]],Store_History[類型],$D$79)</f>
        <v>0</v>
      </c>
      <c r="M34" s="84">
        <f>SUMIFS(Store_History[数量],Store_History[唯一識別碼],Store_Setting[[#This Row],[唯一識別碼]],Store_History[類型],$E$79)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6" t="s">
        <v>454</v>
      </c>
    </row>
    <row r="35" spans="2:56" ht="40" customHeight="1">
      <c r="B35" s="81"/>
      <c r="C35" s="42"/>
      <c r="D35" s="83" t="str">
        <f>CONCATENATE(Store_Setting[[#This Row],[商品序號]], IF(Store_Setting[[#This Row],[商品名稱]]="","", _xlfn.CONCAT(" | ",Store_Setting[商品名稱])))</f>
        <v>25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Row],[唯一識別碼]],Store_History[類型],$D$79)</f>
        <v>0</v>
      </c>
      <c r="M35" s="84">
        <f>SUMIFS(Store_History[数量],Store_History[唯一識別碼],Store_Setting[[#This Row],[唯一識別碼]],Store_History[類型],$E$79)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6" t="s">
        <v>169</v>
      </c>
      <c r="BD35" s="16" t="s">
        <v>455</v>
      </c>
    </row>
    <row r="36" spans="2:56" ht="40" customHeight="1">
      <c r="B36" s="81"/>
      <c r="C36" s="42"/>
      <c r="D36" s="83" t="str">
        <f>CONCATENATE(Store_Setting[[#This Row],[商品序號]], IF(Store_Setting[[#This Row],[商品名稱]]="","", _xlfn.CONCAT(" | ",Store_Setting[商品名稱])))</f>
        <v>26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Row],[唯一識別碼]],Store_History[類型],$D$79)</f>
        <v>0</v>
      </c>
      <c r="M36" s="84">
        <f>SUMIFS(Store_History[数量],Store_History[唯一識別碼],Store_Setting[[#This Row],[唯一識別碼]],Store_History[類型],$E$79)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6" t="s">
        <v>456</v>
      </c>
    </row>
    <row r="37" spans="2:56" ht="40" customHeight="1">
      <c r="B37" s="81"/>
      <c r="C37" s="42"/>
      <c r="D37" s="83" t="str">
        <f>CONCATENATE(Store_Setting[[#This Row],[商品序號]], IF(Store_Setting[[#This Row],[商品名稱]]="","", _xlfn.CONCAT(" | ",Store_Setting[商品名稱])))</f>
        <v>27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Row],[唯一識別碼]],Store_History[類型],$D$79)</f>
        <v>0</v>
      </c>
      <c r="M37" s="84">
        <f>SUMIFS(Store_History[数量],Store_History[唯一識別碼],Store_Setting[[#This Row],[唯一識別碼]],Store_History[類型],$E$79)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81"/>
      <c r="C38" s="42"/>
      <c r="D38" s="83" t="str">
        <f>CONCATENATE(Store_Setting[[#This Row],[商品序號]], IF(Store_Setting[[#This Row],[商品名稱]]="","", _xlfn.CONCAT(" | ",Store_Setting[商品名稱])))</f>
        <v>28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Row],[唯一識別碼]],Store_History[類型],$D$79)</f>
        <v>0</v>
      </c>
      <c r="M38" s="84">
        <f>SUMIFS(Store_History[数量],Store_History[唯一識別碼],Store_Setting[[#This Row],[唯一識別碼]],Store_History[類型],$E$79)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81"/>
      <c r="C39" s="42"/>
      <c r="D39" s="83" t="str">
        <f>CONCATENATE(Store_Setting[[#This Row],[商品序號]], IF(Store_Setting[[#This Row],[商品名稱]]="","", _xlfn.CONCAT(" | ",Store_Setting[商品名稱])))</f>
        <v>29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Row],[唯一識別碼]],Store_History[類型],$D$79)</f>
        <v>0</v>
      </c>
      <c r="M39" s="84">
        <f>SUMIFS(Store_History[数量],Store_History[唯一識別碼],Store_Setting[[#This Row],[唯一識別碼]],Store_History[類型],$E$79)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81"/>
      <c r="C40" s="42"/>
      <c r="D40" s="83" t="str">
        <f>CONCATENATE(Store_Setting[[#This Row],[商品序號]], IF(Store_Setting[[#This Row],[商品名稱]]="","", _xlfn.CONCAT(" | ",Store_Setting[商品名稱])))</f>
        <v>30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Row],[唯一識別碼]],Store_History[類型],$D$79)</f>
        <v>0</v>
      </c>
      <c r="M40" s="84">
        <f>SUMIFS(Store_History[数量],Store_History[唯一識別碼],Store_Setting[[#This Row],[唯一識別碼]],Store_History[類型],$E$79)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81"/>
      <c r="C41" s="42"/>
      <c r="D41" s="83" t="str">
        <f>CONCATENATE(Store_Setting[[#This Row],[商品序號]], IF(Store_Setting[[#This Row],[商品名稱]]="","", _xlfn.CONCAT(" | ",Store_Setting[商品名稱])))</f>
        <v>31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Row],[唯一識別碼]],Store_History[類型],$D$79)</f>
        <v>0</v>
      </c>
      <c r="M41" s="84">
        <f>SUMIFS(Store_History[数量],Store_History[唯一識別碼],Store_Setting[[#This Row],[唯一識別碼]],Store_History[類型],$E$79)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81"/>
      <c r="C42" s="42"/>
      <c r="D42" s="83" t="str">
        <f>CONCATENATE(Store_Setting[[#This Row],[商品序號]], IF(Store_Setting[[#This Row],[商品名稱]]="","", _xlfn.CONCAT(" | ",Store_Setting[商品名稱])))</f>
        <v>32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Row],[唯一識別碼]],Store_History[類型],$D$79)</f>
        <v>0</v>
      </c>
      <c r="M42" s="84">
        <f>SUMIFS(Store_History[数量],Store_History[唯一識別碼],Store_Setting[[#This Row],[唯一識別碼]],Store_History[類型],$E$79)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81"/>
      <c r="C43" s="42"/>
      <c r="D43" s="83" t="str">
        <f>CONCATENATE(Store_Setting[[#This Row],[商品序號]], IF(Store_Setting[[#This Row],[商品名稱]]="","", _xlfn.CONCAT(" | ",Store_Setting[商品名稱])))</f>
        <v>33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Row],[唯一識別碼]],Store_History[類型],$D$79)</f>
        <v>0</v>
      </c>
      <c r="M43" s="84">
        <f>SUMIFS(Store_History[数量],Store_History[唯一識別碼],Store_Setting[[#This Row],[唯一識別碼]],Store_History[類型],$E$79)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81"/>
      <c r="C44" s="42"/>
      <c r="D44" s="83" t="str">
        <f>CONCATENATE(Store_Setting[[#This Row],[商品序號]], IF(Store_Setting[[#This Row],[商品名稱]]="","", _xlfn.CONCAT(" | ",Store_Setting[商品名稱])))</f>
        <v>34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Row],[唯一識別碼]],Store_History[類型],$D$79)</f>
        <v>0</v>
      </c>
      <c r="M44" s="84">
        <f>SUMIFS(Store_History[数量],Store_History[唯一識別碼],Store_Setting[[#This Row],[唯一識別碼]],Store_History[類型],$E$79)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81"/>
      <c r="C45" s="42"/>
      <c r="D45" s="83" t="str">
        <f>CONCATENATE(Store_Setting[[#This Row],[商品序號]], IF(Store_Setting[[#This Row],[商品名稱]]="","", _xlfn.CONCAT(" | ",Store_Setting[商品名稱])))</f>
        <v>35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Row],[唯一識別碼]],Store_History[類型],$D$79)</f>
        <v>0</v>
      </c>
      <c r="M45" s="84">
        <f>SUMIFS(Store_History[数量],Store_History[唯一識別碼],Store_Setting[[#This Row],[唯一識別碼]],Store_History[類型],$E$79)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81"/>
      <c r="C46" s="42"/>
      <c r="D46" s="83" t="str">
        <f>CONCATENATE(Store_Setting[[#This Row],[商品序號]], IF(Store_Setting[[#This Row],[商品名稱]]="","", _xlfn.CONCAT(" | ",Store_Setting[商品名稱])))</f>
        <v>36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Row],[唯一識別碼]],Store_History[類型],$D$79)</f>
        <v>0</v>
      </c>
      <c r="M46" s="84">
        <f>SUMIFS(Store_History[数量],Store_History[唯一識別碼],Store_Setting[[#This Row],[唯一識別碼]],Store_History[類型],$E$79)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81"/>
      <c r="C47" s="42"/>
      <c r="D47" s="83" t="str">
        <f>CONCATENATE(Store_Setting[[#This Row],[商品序號]], IF(Store_Setting[[#This Row],[商品名稱]]="","", _xlfn.CONCAT(" | ",Store_Setting[商品名稱])))</f>
        <v>37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Row],[唯一識別碼]],Store_History[類型],$D$79)</f>
        <v>0</v>
      </c>
      <c r="M47" s="84">
        <f>SUMIFS(Store_History[数量],Store_History[唯一識別碼],Store_Setting[[#This Row],[唯一識別碼]],Store_History[類型],$E$79)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81"/>
      <c r="C48" s="42"/>
      <c r="D48" s="83" t="str">
        <f>CONCATENATE(Store_Setting[[#This Row],[商品序號]], IF(Store_Setting[[#This Row],[商品名稱]]="","", _xlfn.CONCAT(" | ",Store_Setting[商品名稱])))</f>
        <v>38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Row],[唯一識別碼]],Store_History[類型],$D$79)</f>
        <v>0</v>
      </c>
      <c r="M48" s="84">
        <f>SUMIFS(Store_History[数量],Store_History[唯一識別碼],Store_Setting[[#This Row],[唯一識別碼]],Store_History[類型],$E$79)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81"/>
      <c r="C49" s="42"/>
      <c r="D49" s="83" t="str">
        <f>CONCATENATE(Store_Setting[[#This Row],[商品序號]], IF(Store_Setting[[#This Row],[商品名稱]]="","", _xlfn.CONCAT(" | ",Store_Setting[商品名稱])))</f>
        <v>39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Row],[唯一識別碼]],Store_History[類型],$D$79)</f>
        <v>0</v>
      </c>
      <c r="M49" s="84">
        <f>SUMIFS(Store_History[数量],Store_History[唯一識別碼],Store_Setting[[#This Row],[唯一識別碼]],Store_History[類型],$E$79)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81"/>
      <c r="C50" s="42"/>
      <c r="D50" s="83" t="str">
        <f>CONCATENATE(Store_Setting[[#This Row],[商品序號]], IF(Store_Setting[[#This Row],[商品名稱]]="","", _xlfn.CONCAT(" | ",Store_Setting[商品名稱])))</f>
        <v>40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Row],[唯一識別碼]],Store_History[類型],$D$79)</f>
        <v>0</v>
      </c>
      <c r="M50" s="84">
        <f>SUMIFS(Store_History[数量],Store_History[唯一識別碼],Store_Setting[[#This Row],[唯一識別碼]],Store_History[類型],$E$79)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81" t="s">
        <v>9</v>
      </c>
      <c r="C52" s="42" t="s">
        <v>184</v>
      </c>
      <c r="D52" s="50" t="s">
        <v>162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185</v>
      </c>
      <c r="D53" s="51" t="s">
        <v>202</v>
      </c>
      <c r="E53" s="51" t="s">
        <v>162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186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10</v>
      </c>
      <c r="C56" s="42" t="s">
        <v>197</v>
      </c>
      <c r="D56" s="88" t="s">
        <v>17</v>
      </c>
      <c r="E56" s="89" t="s">
        <v>199</v>
      </c>
      <c r="F56" s="89" t="s">
        <v>200</v>
      </c>
      <c r="G56" s="90" t="s">
        <v>201</v>
      </c>
      <c r="H56" s="90" t="s">
        <v>13</v>
      </c>
      <c r="I56" s="90" t="s">
        <v>14</v>
      </c>
      <c r="J56" s="90" t="s">
        <v>417</v>
      </c>
      <c r="K56" s="90" t="s">
        <v>418</v>
      </c>
      <c r="L56" s="90" t="s">
        <v>208</v>
      </c>
      <c r="M56" s="91"/>
      <c r="N56" s="91"/>
      <c r="O56" s="91"/>
    </row>
    <row r="57" spans="2:19" ht="40" customHeight="1">
      <c r="B57" s="81"/>
      <c r="C57" s="42"/>
      <c r="D57" s="21" t="s">
        <v>80</v>
      </c>
      <c r="E57" s="21" t="s">
        <v>81</v>
      </c>
      <c r="F57" s="21" t="s">
        <v>81</v>
      </c>
      <c r="G57" s="21" t="s">
        <v>81</v>
      </c>
      <c r="H57" s="21" t="s">
        <v>81</v>
      </c>
      <c r="I57" s="21" t="s">
        <v>81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421</v>
      </c>
      <c r="D58" s="21" t="s">
        <v>420</v>
      </c>
      <c r="E58" s="21" t="s">
        <v>420</v>
      </c>
      <c r="F58" s="21" t="s">
        <v>440</v>
      </c>
      <c r="G58" s="21" t="s">
        <v>420</v>
      </c>
      <c r="H58" s="21" t="s">
        <v>440</v>
      </c>
      <c r="I58" s="21" t="s">
        <v>440</v>
      </c>
      <c r="J58" s="21" t="s">
        <v>420</v>
      </c>
      <c r="K58" s="21" t="s">
        <v>420</v>
      </c>
      <c r="L58" s="21" t="s">
        <v>420</v>
      </c>
      <c r="M58" s="92" t="s">
        <v>419</v>
      </c>
      <c r="N58" s="91"/>
      <c r="O58" s="91"/>
    </row>
    <row r="59" spans="2:19" ht="40" customHeight="1">
      <c r="B59" s="81"/>
      <c r="C59" s="85" t="s">
        <v>422</v>
      </c>
      <c r="D59" s="21" t="s">
        <v>420</v>
      </c>
      <c r="E59" s="21" t="s">
        <v>420</v>
      </c>
      <c r="F59" s="21" t="s">
        <v>420</v>
      </c>
      <c r="G59" s="21" t="s">
        <v>420</v>
      </c>
      <c r="H59" s="21" t="s">
        <v>420</v>
      </c>
      <c r="I59" s="21" t="s">
        <v>420</v>
      </c>
      <c r="J59" s="92"/>
      <c r="K59" s="21" t="s">
        <v>420</v>
      </c>
      <c r="L59" s="21" t="s">
        <v>420</v>
      </c>
      <c r="M59" s="92"/>
      <c r="N59" s="91"/>
      <c r="O59" s="91"/>
    </row>
    <row r="60" spans="2:19" ht="40" customHeight="1">
      <c r="B60" s="81"/>
      <c r="C60" s="85" t="s">
        <v>198</v>
      </c>
      <c r="D60" s="21" t="s">
        <v>80</v>
      </c>
      <c r="E60" s="93" t="s">
        <v>196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263</v>
      </c>
      <c r="D61" s="21" t="s">
        <v>80</v>
      </c>
      <c r="E61" s="93" t="s">
        <v>262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424</v>
      </c>
      <c r="D62" s="21" t="s">
        <v>80</v>
      </c>
      <c r="E62" s="93" t="s">
        <v>425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264</v>
      </c>
      <c r="D63" s="21" t="s">
        <v>80</v>
      </c>
      <c r="E63" s="93" t="s">
        <v>261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15</v>
      </c>
      <c r="C65" s="42" t="s">
        <v>188</v>
      </c>
      <c r="D65" s="50" t="s">
        <v>147</v>
      </c>
      <c r="E65" s="50" t="s">
        <v>194</v>
      </c>
      <c r="F65" s="50" t="s">
        <v>148</v>
      </c>
      <c r="G65" s="50" t="s">
        <v>154</v>
      </c>
      <c r="H65" s="50" t="s">
        <v>155</v>
      </c>
      <c r="I65" s="50" t="s">
        <v>156</v>
      </c>
      <c r="J65" s="50" t="s">
        <v>157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265</v>
      </c>
      <c r="D66" s="21" t="s">
        <v>80</v>
      </c>
      <c r="E66" s="93" t="s">
        <v>195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266</v>
      </c>
      <c r="D67" s="21" t="s">
        <v>80</v>
      </c>
      <c r="E67" s="93" t="s">
        <v>260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267</v>
      </c>
      <c r="D68" s="21" t="s">
        <v>80</v>
      </c>
      <c r="E68" s="93" t="s">
        <v>259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144</v>
      </c>
      <c r="C70" s="42" t="s">
        <v>427</v>
      </c>
      <c r="D70" s="88" t="s">
        <v>187</v>
      </c>
      <c r="E70" s="21" t="s">
        <v>80</v>
      </c>
      <c r="F70" s="92" t="s">
        <v>462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/>
      <c r="D71" s="88" t="s">
        <v>463</v>
      </c>
      <c r="E71" s="21" t="s">
        <v>80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169</v>
      </c>
      <c r="E72" s="21" t="s">
        <v>80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s="115" customFormat="1" ht="8.25" customHeight="1">
      <c r="B73" s="116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s="115" customFormat="1" ht="40" customHeight="1">
      <c r="B74" s="118" t="s">
        <v>153</v>
      </c>
      <c r="C74" s="119" t="s">
        <v>465</v>
      </c>
      <c r="D74" s="120" t="s">
        <v>466</v>
      </c>
      <c r="E74" s="21" t="s">
        <v>81</v>
      </c>
      <c r="F74" s="121" t="s">
        <v>468</v>
      </c>
      <c r="G74" s="122"/>
      <c r="H74" s="122"/>
      <c r="I74" s="122"/>
      <c r="J74" s="122"/>
      <c r="K74" s="122"/>
      <c r="L74" s="122"/>
      <c r="M74" s="122"/>
      <c r="N74" s="122"/>
      <c r="O74" s="122"/>
    </row>
    <row r="75" spans="2:15" s="115" customFormat="1" ht="40" customHeight="1">
      <c r="B75" s="118"/>
      <c r="C75" s="119"/>
      <c r="D75" s="120" t="s">
        <v>467</v>
      </c>
      <c r="E75" s="125"/>
      <c r="F75" s="123"/>
      <c r="G75" s="123"/>
      <c r="H75" s="123"/>
      <c r="I75" s="123"/>
      <c r="J75" s="123"/>
      <c r="K75" s="123"/>
      <c r="L75" s="123"/>
      <c r="M75" s="123"/>
      <c r="N75" s="123"/>
      <c r="O75" s="124"/>
    </row>
    <row r="76" spans="2:15" ht="8.15" hidden="1" customHeight="1"/>
    <row r="77" spans="2:15" ht="40" hidden="1" customHeight="1">
      <c r="B77" s="94" t="s">
        <v>159</v>
      </c>
      <c r="C77" s="42" t="s">
        <v>211</v>
      </c>
      <c r="D77" s="95" t="s">
        <v>3</v>
      </c>
      <c r="E77" s="95" t="s">
        <v>4</v>
      </c>
      <c r="F77" s="96"/>
      <c r="G77" s="96"/>
      <c r="H77" s="96"/>
      <c r="I77" s="96"/>
      <c r="J77" s="96"/>
      <c r="K77" s="96"/>
      <c r="L77" s="96"/>
      <c r="M77" s="96"/>
      <c r="N77" s="96"/>
      <c r="O77" s="96"/>
    </row>
    <row r="78" spans="2:15" ht="8.15" hidden="1" customHeight="1">
      <c r="B78" s="86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</row>
    <row r="79" spans="2:15" ht="40" hidden="1" customHeight="1">
      <c r="B79" s="94" t="s">
        <v>426</v>
      </c>
      <c r="C79" s="42" t="s">
        <v>469</v>
      </c>
      <c r="D79" s="95" t="s">
        <v>189</v>
      </c>
      <c r="E79" s="95" t="s">
        <v>190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15" hidden="1" customHeight="1">
      <c r="B80" s="86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</row>
    <row r="81" spans="2:15" ht="40" hidden="1" customHeight="1">
      <c r="B81" s="94" t="s">
        <v>464</v>
      </c>
      <c r="C81" s="42" t="s">
        <v>199</v>
      </c>
      <c r="D81" s="95" t="s">
        <v>5</v>
      </c>
      <c r="E81" s="95" t="s">
        <v>6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15" customHeight="1">
      <c r="B82" s="86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customHeight="1">
      <c r="B83" s="94" t="s">
        <v>181</v>
      </c>
      <c r="C83" s="97" t="s">
        <v>166</v>
      </c>
      <c r="D83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3" s="91"/>
      <c r="F83" s="42"/>
      <c r="G83" s="42"/>
      <c r="H83" s="42"/>
      <c r="I83" s="42"/>
      <c r="J83" s="42"/>
      <c r="K83" s="42"/>
      <c r="L83" s="42"/>
      <c r="M83" s="42"/>
      <c r="N83" s="42"/>
      <c r="O83" s="42"/>
    </row>
    <row r="84" spans="2:15" ht="40" customHeight="1">
      <c r="B84" s="94"/>
      <c r="C84" s="97" t="s">
        <v>187</v>
      </c>
      <c r="D84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40" customHeight="1">
      <c r="B85" s="94"/>
      <c r="C85" s="97" t="s">
        <v>169</v>
      </c>
      <c r="D85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5" s="91"/>
      <c r="F85" s="42"/>
      <c r="G85" s="98"/>
      <c r="H85" s="42"/>
      <c r="I85" s="42"/>
      <c r="J85" s="42"/>
      <c r="K85" s="42"/>
      <c r="L85" s="42"/>
      <c r="M85" s="42"/>
      <c r="N85" s="42"/>
      <c r="O85" s="42"/>
    </row>
    <row r="86" spans="2:15" ht="40" customHeight="1">
      <c r="B86" s="94"/>
      <c r="C86" s="97" t="s">
        <v>167</v>
      </c>
      <c r="D86" s="92" t="str">
        <f>_xlfn.CONCAT("共有 ", COUNTA(Get_Staff_Member)," 位元員工")</f>
        <v>共有 2 位元員工</v>
      </c>
      <c r="E86" s="91"/>
      <c r="F86" s="42"/>
      <c r="G86" s="42"/>
      <c r="H86" s="42"/>
      <c r="I86" s="42"/>
      <c r="J86" s="42"/>
      <c r="K86" s="42"/>
      <c r="L86" s="42"/>
      <c r="M86" s="42"/>
      <c r="N86" s="42"/>
      <c r="O86" s="42"/>
    </row>
    <row r="87" spans="2:15" ht="40" customHeight="1">
      <c r="B87" s="94"/>
      <c r="C87" s="97" t="s">
        <v>188</v>
      </c>
      <c r="D87" s="92" t="str">
        <f>_xlfn.CONCAT("已設定 ", COUNTA(Get_Work_Unit)," 個單位")</f>
        <v>已設定 7 個單位</v>
      </c>
      <c r="E87" s="91"/>
      <c r="F87" s="42"/>
      <c r="G87" s="42"/>
      <c r="H87" s="42"/>
      <c r="I87" s="42"/>
      <c r="J87" s="42"/>
      <c r="K87" s="42"/>
      <c r="L87" s="42"/>
      <c r="M87" s="42"/>
      <c r="N87" s="42"/>
      <c r="O87" s="42"/>
    </row>
    <row r="88" spans="2:15" ht="16" customHeight="1"/>
    <row r="89" spans="2:15" ht="40" customHeight="1">
      <c r="B89" s="99" t="s">
        <v>193</v>
      </c>
      <c r="C89" s="99"/>
      <c r="D89" s="99"/>
      <c r="E89" s="99"/>
    </row>
    <row r="90" spans="2:15" ht="40" customHeight="1">
      <c r="B90" s="100" t="s">
        <v>191</v>
      </c>
      <c r="C90" s="8" t="s">
        <v>83</v>
      </c>
      <c r="D90" s="9"/>
      <c r="E90" s="9"/>
    </row>
    <row r="91" spans="2:15" ht="40" customHeight="1">
      <c r="B91" s="100" t="s">
        <v>12</v>
      </c>
      <c r="C91" s="101" t="s">
        <v>11</v>
      </c>
      <c r="D91" s="102"/>
      <c r="E91" s="102"/>
    </row>
    <row r="92" spans="2:15" ht="40" customHeight="1">
      <c r="B92" s="100" t="s">
        <v>192</v>
      </c>
      <c r="C92" s="8" t="s">
        <v>82</v>
      </c>
      <c r="D92" s="9"/>
      <c r="E92" s="9"/>
    </row>
    <row r="93" spans="2:15" ht="40" customHeight="1">
      <c r="B93" s="100" t="s">
        <v>79</v>
      </c>
      <c r="C93" s="8" t="s">
        <v>416</v>
      </c>
      <c r="D93" s="8"/>
      <c r="E93" s="8"/>
    </row>
    <row r="94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4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203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172</v>
      </c>
      <c r="D7" s="19" t="s">
        <v>173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210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175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150</v>
      </c>
      <c r="D11" s="19" t="s">
        <v>211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212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188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208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206</v>
      </c>
      <c r="D17" s="19" t="s">
        <v>209</v>
      </c>
      <c r="E17" s="6" t="s">
        <v>162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210</v>
      </c>
      <c r="C4" s="107" t="s">
        <v>173</v>
      </c>
      <c r="D4" s="107" t="s">
        <v>211</v>
      </c>
      <c r="E4" s="107" t="s">
        <v>145</v>
      </c>
      <c r="F4" s="107" t="s">
        <v>146</v>
      </c>
      <c r="G4" s="107" t="s">
        <v>0</v>
      </c>
      <c r="H4" s="107" t="s">
        <v>1</v>
      </c>
      <c r="I4" s="107" t="s">
        <v>2</v>
      </c>
      <c r="J4" s="40" t="s">
        <v>428</v>
      </c>
    </row>
    <row r="5" spans="2:10" ht="40" customHeight="1">
      <c r="B5" s="10" cm="1">
        <f t="array" ref="B5">SNGKI</f>
        <v>1</v>
      </c>
      <c r="C5" s="45" t="s">
        <v>163</v>
      </c>
      <c r="D5" s="12" t="s">
        <v>189</v>
      </c>
      <c r="E5" s="113"/>
      <c r="F5" s="71"/>
      <c r="G5" s="110">
        <v>45268.505555555559</v>
      </c>
      <c r="H5" s="12" t="s">
        <v>162</v>
      </c>
      <c r="I5" s="114" t="s">
        <v>431</v>
      </c>
      <c r="J5" s="72" t="s">
        <v>429</v>
      </c>
    </row>
  </sheetData>
  <sheetProtection selectLockedCells="1"/>
  <conditionalFormatting sqref="C5:I5">
    <cfRule type="expression" dxfId="386" priority="21">
      <formula>MOD(ROW(),2)=0</formula>
    </cfRule>
    <cfRule type="expression" dxfId="385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203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204</v>
      </c>
      <c r="D7" s="61" t="s">
        <v>173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16</v>
      </c>
      <c r="E8" s="3"/>
      <c r="F8" s="111">
        <v>-1</v>
      </c>
      <c r="G8" s="27"/>
    </row>
    <row r="9" spans="1:8" ht="35.15" customHeight="1">
      <c r="B9" s="16"/>
      <c r="C9" s="16"/>
      <c r="D9" s="19" t="s">
        <v>17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199</v>
      </c>
      <c r="E10" s="1"/>
      <c r="F10" s="28"/>
      <c r="G10" s="27"/>
    </row>
    <row r="11" spans="1:8" ht="35.15" customHeight="1">
      <c r="B11" s="16"/>
      <c r="C11" s="16"/>
      <c r="D11" s="19" t="s">
        <v>200</v>
      </c>
      <c r="E11" s="49"/>
      <c r="F11" s="28"/>
      <c r="G11" s="27"/>
    </row>
    <row r="12" spans="1:8" ht="35.15" customHeight="1">
      <c r="B12" s="16"/>
      <c r="C12" s="16"/>
      <c r="D12" s="19" t="s">
        <v>201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205</v>
      </c>
      <c r="D14" s="19" t="s">
        <v>207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13</v>
      </c>
      <c r="E15" s="1"/>
      <c r="F15" s="28"/>
      <c r="G15" s="27"/>
    </row>
    <row r="16" spans="1:8" ht="35.15" customHeight="1">
      <c r="B16" s="16"/>
      <c r="C16" s="16"/>
      <c r="D16" s="19" t="s">
        <v>14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208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206</v>
      </c>
      <c r="D20" s="19" t="s">
        <v>209</v>
      </c>
      <c r="E20" s="1" t="s">
        <v>162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customWidth="1"/>
    <col min="133" max="133" width="12.69140625" style="28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273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28" t="s">
        <v>215</v>
      </c>
      <c r="DU4" s="128"/>
      <c r="DV4" s="128"/>
      <c r="DW4" s="128"/>
      <c r="DX4" s="128"/>
      <c r="DY4" s="128" t="s">
        <v>214</v>
      </c>
      <c r="DZ4" s="128"/>
      <c r="EA4" s="128"/>
      <c r="EB4" s="128" t="s">
        <v>213</v>
      </c>
      <c r="EC4" s="128"/>
      <c r="ED4" s="41" t="s">
        <v>423</v>
      </c>
      <c r="EE4" s="129" t="s">
        <v>268</v>
      </c>
      <c r="EF4" s="129"/>
      <c r="EG4" s="129"/>
      <c r="EH4" s="68" t="s">
        <v>430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210</v>
      </c>
      <c r="C6" s="34" t="s">
        <v>173</v>
      </c>
      <c r="D6" s="34" t="s">
        <v>217</v>
      </c>
      <c r="E6" s="34" t="s">
        <v>53</v>
      </c>
      <c r="F6" s="34" t="s">
        <v>52</v>
      </c>
      <c r="G6" s="34" t="s">
        <v>218</v>
      </c>
      <c r="H6" s="34" t="s">
        <v>51</v>
      </c>
      <c r="I6" s="34" t="s">
        <v>50</v>
      </c>
      <c r="J6" s="34" t="s">
        <v>219</v>
      </c>
      <c r="K6" s="34" t="s">
        <v>28</v>
      </c>
      <c r="L6" s="34" t="s">
        <v>49</v>
      </c>
      <c r="M6" s="34" t="s">
        <v>220</v>
      </c>
      <c r="N6" s="34" t="s">
        <v>29</v>
      </c>
      <c r="O6" s="34" t="s">
        <v>48</v>
      </c>
      <c r="P6" s="34" t="s">
        <v>221</v>
      </c>
      <c r="Q6" s="34" t="s">
        <v>30</v>
      </c>
      <c r="R6" s="34" t="s">
        <v>47</v>
      </c>
      <c r="S6" s="34" t="s">
        <v>222</v>
      </c>
      <c r="T6" s="34" t="s">
        <v>31</v>
      </c>
      <c r="U6" s="34" t="s">
        <v>44</v>
      </c>
      <c r="V6" s="34" t="s">
        <v>223</v>
      </c>
      <c r="W6" s="34" t="s">
        <v>32</v>
      </c>
      <c r="X6" s="34" t="s">
        <v>37</v>
      </c>
      <c r="Y6" s="34" t="s">
        <v>224</v>
      </c>
      <c r="Z6" s="34" t="s">
        <v>33</v>
      </c>
      <c r="AA6" s="34" t="s">
        <v>38</v>
      </c>
      <c r="AB6" s="34" t="s">
        <v>225</v>
      </c>
      <c r="AC6" s="34" t="s">
        <v>34</v>
      </c>
      <c r="AD6" s="34" t="s">
        <v>39</v>
      </c>
      <c r="AE6" s="34" t="s">
        <v>226</v>
      </c>
      <c r="AF6" s="34" t="s">
        <v>35</v>
      </c>
      <c r="AG6" s="34" t="s">
        <v>40</v>
      </c>
      <c r="AH6" s="34" t="s">
        <v>227</v>
      </c>
      <c r="AI6" s="34" t="s">
        <v>36</v>
      </c>
      <c r="AJ6" s="34" t="s">
        <v>41</v>
      </c>
      <c r="AK6" s="34" t="s">
        <v>228</v>
      </c>
      <c r="AL6" s="34" t="s">
        <v>42</v>
      </c>
      <c r="AM6" s="34" t="s">
        <v>43</v>
      </c>
      <c r="AN6" s="34" t="s">
        <v>229</v>
      </c>
      <c r="AO6" s="34" t="s">
        <v>64</v>
      </c>
      <c r="AP6" s="34" t="s">
        <v>63</v>
      </c>
      <c r="AQ6" s="34" t="s">
        <v>230</v>
      </c>
      <c r="AR6" s="34" t="s">
        <v>66</v>
      </c>
      <c r="AS6" s="34" t="s">
        <v>65</v>
      </c>
      <c r="AT6" s="34" t="s">
        <v>231</v>
      </c>
      <c r="AU6" s="34" t="s">
        <v>70</v>
      </c>
      <c r="AV6" s="34" t="s">
        <v>68</v>
      </c>
      <c r="AW6" s="34" t="s">
        <v>232</v>
      </c>
      <c r="AX6" s="34" t="s">
        <v>67</v>
      </c>
      <c r="AY6" s="34" t="s">
        <v>69</v>
      </c>
      <c r="AZ6" s="34" t="s">
        <v>233</v>
      </c>
      <c r="BA6" s="34" t="s">
        <v>72</v>
      </c>
      <c r="BB6" s="34" t="s">
        <v>71</v>
      </c>
      <c r="BC6" s="34" t="s">
        <v>234</v>
      </c>
      <c r="BD6" s="34" t="s">
        <v>73</v>
      </c>
      <c r="BE6" s="34" t="s">
        <v>74</v>
      </c>
      <c r="BF6" s="34" t="s">
        <v>235</v>
      </c>
      <c r="BG6" s="34" t="s">
        <v>75</v>
      </c>
      <c r="BH6" s="34" t="s">
        <v>76</v>
      </c>
      <c r="BI6" s="34" t="s">
        <v>236</v>
      </c>
      <c r="BJ6" s="34" t="s">
        <v>77</v>
      </c>
      <c r="BK6" s="34" t="s">
        <v>78</v>
      </c>
      <c r="BL6" s="34" t="s">
        <v>237</v>
      </c>
      <c r="BM6" s="34" t="s">
        <v>105</v>
      </c>
      <c r="BN6" s="34" t="s">
        <v>104</v>
      </c>
      <c r="BO6" s="34" t="s">
        <v>238</v>
      </c>
      <c r="BP6" s="34" t="s">
        <v>106</v>
      </c>
      <c r="BQ6" s="34" t="s">
        <v>107</v>
      </c>
      <c r="BR6" s="34" t="s">
        <v>239</v>
      </c>
      <c r="BS6" s="34" t="s">
        <v>108</v>
      </c>
      <c r="BT6" s="34" t="s">
        <v>109</v>
      </c>
      <c r="BU6" s="34" t="s">
        <v>240</v>
      </c>
      <c r="BV6" s="34" t="s">
        <v>110</v>
      </c>
      <c r="BW6" s="34" t="s">
        <v>111</v>
      </c>
      <c r="BX6" s="34" t="s">
        <v>241</v>
      </c>
      <c r="BY6" s="34" t="s">
        <v>112</v>
      </c>
      <c r="BZ6" s="34" t="s">
        <v>113</v>
      </c>
      <c r="CA6" s="34" t="s">
        <v>242</v>
      </c>
      <c r="CB6" s="34" t="s">
        <v>114</v>
      </c>
      <c r="CC6" s="34" t="s">
        <v>115</v>
      </c>
      <c r="CD6" s="34" t="s">
        <v>243</v>
      </c>
      <c r="CE6" s="34" t="s">
        <v>116</v>
      </c>
      <c r="CF6" s="34" t="s">
        <v>117</v>
      </c>
      <c r="CG6" s="34" t="s">
        <v>244</v>
      </c>
      <c r="CH6" s="34" t="s">
        <v>118</v>
      </c>
      <c r="CI6" s="34" t="s">
        <v>119</v>
      </c>
      <c r="CJ6" s="34" t="s">
        <v>245</v>
      </c>
      <c r="CK6" s="34" t="s">
        <v>120</v>
      </c>
      <c r="CL6" s="34" t="s">
        <v>121</v>
      </c>
      <c r="CM6" s="34" t="s">
        <v>246</v>
      </c>
      <c r="CN6" s="34" t="s">
        <v>122</v>
      </c>
      <c r="CO6" s="34" t="s">
        <v>123</v>
      </c>
      <c r="CP6" s="34" t="s">
        <v>247</v>
      </c>
      <c r="CQ6" s="34" t="s">
        <v>124</v>
      </c>
      <c r="CR6" s="34" t="s">
        <v>125</v>
      </c>
      <c r="CS6" s="34" t="s">
        <v>248</v>
      </c>
      <c r="CT6" s="34" t="s">
        <v>126</v>
      </c>
      <c r="CU6" s="34" t="s">
        <v>127</v>
      </c>
      <c r="CV6" s="34" t="s">
        <v>249</v>
      </c>
      <c r="CW6" s="34" t="s">
        <v>128</v>
      </c>
      <c r="CX6" s="34" t="s">
        <v>129</v>
      </c>
      <c r="CY6" s="34" t="s">
        <v>250</v>
      </c>
      <c r="CZ6" s="34" t="s">
        <v>130</v>
      </c>
      <c r="DA6" s="34" t="s">
        <v>131</v>
      </c>
      <c r="DB6" s="34" t="s">
        <v>251</v>
      </c>
      <c r="DC6" s="34" t="s">
        <v>132</v>
      </c>
      <c r="DD6" s="34" t="s">
        <v>133</v>
      </c>
      <c r="DE6" s="34" t="s">
        <v>252</v>
      </c>
      <c r="DF6" s="34" t="s">
        <v>134</v>
      </c>
      <c r="DG6" s="34" t="s">
        <v>135</v>
      </c>
      <c r="DH6" s="34" t="s">
        <v>253</v>
      </c>
      <c r="DI6" s="34" t="s">
        <v>137</v>
      </c>
      <c r="DJ6" s="34" t="s">
        <v>136</v>
      </c>
      <c r="DK6" s="34" t="s">
        <v>254</v>
      </c>
      <c r="DL6" s="34" t="s">
        <v>138</v>
      </c>
      <c r="DM6" s="34" t="s">
        <v>139</v>
      </c>
      <c r="DN6" s="34" t="s">
        <v>255</v>
      </c>
      <c r="DO6" s="34" t="s">
        <v>140</v>
      </c>
      <c r="DP6" s="34" t="s">
        <v>141</v>
      </c>
      <c r="DQ6" s="34" t="s">
        <v>256</v>
      </c>
      <c r="DR6" s="34" t="s">
        <v>142</v>
      </c>
      <c r="DS6" s="34" t="s">
        <v>143</v>
      </c>
      <c r="DT6" s="34" t="s">
        <v>16</v>
      </c>
      <c r="DU6" s="34" t="s">
        <v>17</v>
      </c>
      <c r="DV6" s="34" t="s">
        <v>199</v>
      </c>
      <c r="DW6" s="34" t="s">
        <v>200</v>
      </c>
      <c r="DX6" s="34" t="s">
        <v>201</v>
      </c>
      <c r="DY6" s="34" t="s">
        <v>207</v>
      </c>
      <c r="DZ6" s="40" t="s">
        <v>13</v>
      </c>
      <c r="EA6" s="40" t="s">
        <v>14</v>
      </c>
      <c r="EB6" s="38" t="s">
        <v>216</v>
      </c>
      <c r="EC6" s="40" t="s">
        <v>209</v>
      </c>
      <c r="ED6" s="40" t="s">
        <v>208</v>
      </c>
      <c r="EE6" s="34" t="s">
        <v>432</v>
      </c>
      <c r="EF6" s="34" t="s">
        <v>271</v>
      </c>
      <c r="EG6" s="34" t="s">
        <v>272</v>
      </c>
      <c r="EH6" s="40" t="s">
        <v>428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257</v>
      </c>
      <c r="DU7" s="23" t="s">
        <v>149</v>
      </c>
      <c r="DV7" s="24" t="s">
        <v>5</v>
      </c>
      <c r="DW7" s="24"/>
      <c r="DX7" s="11"/>
      <c r="DY7" s="24" t="s">
        <v>164</v>
      </c>
      <c r="DZ7" s="24" t="s">
        <v>158</v>
      </c>
      <c r="EA7" s="24"/>
      <c r="EB7" s="110">
        <v>45268.505555555559</v>
      </c>
      <c r="EC7" s="10" t="s">
        <v>162</v>
      </c>
      <c r="ED7" s="54" t="s">
        <v>431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160</v>
      </c>
      <c r="DU8" s="23" t="s">
        <v>161</v>
      </c>
      <c r="DV8" s="24" t="s">
        <v>6</v>
      </c>
      <c r="DW8" s="24"/>
      <c r="DX8" s="11"/>
      <c r="DY8" s="24" t="s">
        <v>165</v>
      </c>
      <c r="DZ8" s="24"/>
      <c r="EA8" s="24"/>
      <c r="EB8" s="110">
        <v>45268.505555555559</v>
      </c>
      <c r="EC8" s="10" t="s">
        <v>162</v>
      </c>
      <c r="ED8" s="54" t="s">
        <v>431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461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2" priority="26">
      <formula>MOD(ROW(),2)=0</formula>
    </cfRule>
    <cfRule type="expression" dxfId="381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28" t="s">
        <v>54</v>
      </c>
      <c r="AS4" s="128"/>
      <c r="AT4" s="128"/>
      <c r="AU4" s="128"/>
      <c r="AV4" s="68" t="s">
        <v>430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210</v>
      </c>
      <c r="C6" s="34" t="s">
        <v>173</v>
      </c>
      <c r="D6" s="34" t="s">
        <v>45</v>
      </c>
      <c r="E6" s="34" t="s">
        <v>46</v>
      </c>
      <c r="F6" s="34" t="s">
        <v>18</v>
      </c>
      <c r="G6" s="34" t="s">
        <v>19</v>
      </c>
      <c r="H6" s="34" t="s">
        <v>20</v>
      </c>
      <c r="I6" s="34" t="s">
        <v>21</v>
      </c>
      <c r="J6" s="34" t="s">
        <v>22</v>
      </c>
      <c r="K6" s="34" t="s">
        <v>23</v>
      </c>
      <c r="L6" s="34" t="s">
        <v>24</v>
      </c>
      <c r="M6" s="34" t="s">
        <v>26</v>
      </c>
      <c r="N6" s="34" t="s">
        <v>25</v>
      </c>
      <c r="O6" s="34" t="s">
        <v>27</v>
      </c>
      <c r="P6" s="34" t="s">
        <v>55</v>
      </c>
      <c r="Q6" s="34" t="s">
        <v>56</v>
      </c>
      <c r="R6" s="34" t="s">
        <v>57</v>
      </c>
      <c r="S6" s="34" t="s">
        <v>58</v>
      </c>
      <c r="T6" s="34" t="s">
        <v>59</v>
      </c>
      <c r="U6" s="34" t="s">
        <v>60</v>
      </c>
      <c r="V6" s="34" t="s">
        <v>61</v>
      </c>
      <c r="W6" s="34" t="s">
        <v>62</v>
      </c>
      <c r="X6" s="34" t="s">
        <v>85</v>
      </c>
      <c r="Y6" s="34" t="s">
        <v>86</v>
      </c>
      <c r="Z6" s="34" t="s">
        <v>87</v>
      </c>
      <c r="AA6" s="34" t="s">
        <v>88</v>
      </c>
      <c r="AB6" s="34" t="s">
        <v>89</v>
      </c>
      <c r="AC6" s="34" t="s">
        <v>90</v>
      </c>
      <c r="AD6" s="34" t="s">
        <v>91</v>
      </c>
      <c r="AE6" s="34" t="s">
        <v>92</v>
      </c>
      <c r="AF6" s="34" t="s">
        <v>93</v>
      </c>
      <c r="AG6" s="34" t="s">
        <v>94</v>
      </c>
      <c r="AH6" s="34" t="s">
        <v>84</v>
      </c>
      <c r="AI6" s="34" t="s">
        <v>95</v>
      </c>
      <c r="AJ6" s="34" t="s">
        <v>96</v>
      </c>
      <c r="AK6" s="34" t="s">
        <v>97</v>
      </c>
      <c r="AL6" s="34" t="s">
        <v>98</v>
      </c>
      <c r="AM6" s="34" t="s">
        <v>99</v>
      </c>
      <c r="AN6" s="34" t="s">
        <v>100</v>
      </c>
      <c r="AO6" s="34" t="s">
        <v>101</v>
      </c>
      <c r="AP6" s="34" t="s">
        <v>102</v>
      </c>
      <c r="AQ6" s="34" t="s">
        <v>103</v>
      </c>
      <c r="AR6" s="34" t="s">
        <v>211</v>
      </c>
      <c r="AS6" s="34" t="s">
        <v>258</v>
      </c>
      <c r="AT6" s="34" t="s">
        <v>209</v>
      </c>
      <c r="AU6" s="34" t="s">
        <v>208</v>
      </c>
      <c r="AV6" s="40" t="s">
        <v>428</v>
      </c>
    </row>
    <row r="7" spans="2:48" ht="39.75" customHeight="1">
      <c r="B7" s="12" cm="1">
        <f t="array" ref="B7">SN</f>
        <v>1</v>
      </c>
      <c r="C7" s="35" t="s">
        <v>269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3</v>
      </c>
      <c r="AS7" s="110">
        <v>45268.505555555559</v>
      </c>
      <c r="AT7" s="12" t="s">
        <v>162</v>
      </c>
      <c r="AU7" s="70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5" t="s">
        <v>270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3</v>
      </c>
      <c r="AS8" s="110">
        <v>45268.505555555559</v>
      </c>
      <c r="AT8" s="12" t="s">
        <v>162</v>
      </c>
      <c r="AU8" s="70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6" priority="27">
      <formula>MOD(ROW(),2)=0</formula>
    </cfRule>
    <cfRule type="expression" dxfId="10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2024-03-01T05:23:20Z</dcterms:modified>
</cp:coreProperties>
</file>