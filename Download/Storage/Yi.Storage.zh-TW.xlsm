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F763C71-8465-4978-B55E-AB656BEF78C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<sst xmlns="http://schemas.openxmlformats.org/spreadsheetml/2006/main" count="683" uniqueCount="472">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</sst>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1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381">
      <calculatedColumnFormula array="1">SNGKI</calculatedColumnFormula>
    </tableColumn>
    <tableColumn id="2" xr3:uid="{BE286F67-B0FA-40D9-BDA1-B2CFCEBCEB36}" name="唯一識別碼" dataDxfId="380"/>
    <tableColumn id="4" xr3:uid="{9CF218BF-31BE-437E-9285-7CE338B0180C}" name="類型" dataDxfId="379"/>
    <tableColumn id="38" xr3:uid="{BE6B60B8-5A23-4085-9CC5-0D91831F16B6}" name="数量" dataDxfId="378"/>
    <tableColumn id="9" xr3:uid="{BCC80DB2-EF55-4BCC-9A8B-636F5A0886E8}" name="单位" dataDxfId="377"/>
    <tableColumn id="3" xr3:uid="{CCD860BE-34B0-4F57-8823-4D2C9F7985B4}" name="时间" dataDxfId="376"/>
    <tableColumn id="7" xr3:uid="{38DADDD1-29F3-4A23-B844-9D021C0D5F68}" name="工号" dataDxfId="375"/>
    <tableColumn id="8" xr3:uid="{945E147D-AEC8-4CD6-9889-CC8A2ADA4657}" name="备注" dataDxfId="374"/>
    <tableColumn id="5" xr3:uid="{4D334FB0-D450-475F-B9FA-D6712F594FAC}" name="狀態" dataDxfId="37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0" dataDxfId="369" totalsRowDxfId="368">
  <autoFilter ref="B6:EH8" xr:uid="{ADAB6017-62AE-4ECA-A153-D815FED82043}"/>
  <tableColumns count="137">
    <tableColumn id="1" xr3:uid="{69B39378-5DEE-4683-8063-2D1E5E369E67}" name="序號" totalsRowLabel="Total" dataDxfId="367" totalsRowDxfId="366">
      <calculatedColumnFormula array="1">SN</calculatedColumnFormula>
    </tableColumn>
    <tableColumn id="5" xr3:uid="{35BA10B8-A444-4F80-8F55-6146540C5A57}" name="唯一識別碼" dataDxfId="365" totalsRowDxfId="364">
      <calculatedColumnFormula array="1">GUID</calculatedColumnFormula>
    </tableColumn>
    <tableColumn id="6" xr3:uid="{8A3791BE-D142-4B77-980F-0E769FF1CE0E}" name="1 - 剩餘" dataDxfId="363">
      <calculatedColumnFormula array="1">Get_1_Calc</calculatedColumnFormula>
    </tableColumn>
    <tableColumn id="8" xr3:uid="{E45E7682-0361-46D3-BF20-AF1E07C3D65B}" name="1 - 存入" dataDxfId="362" totalsRowDxfId="361">
      <calculatedColumnFormula array="1">Get_1_Add</calculatedColumnFormula>
    </tableColumn>
    <tableColumn id="9" xr3:uid="{FE45F0F1-8F7A-4A14-B0E4-3EC60A580E37}" name="1 - 支取" dataDxfId="360" totalsRowDxfId="359">
      <calculatedColumnFormula array="1">Get_1_Del</calculatedColumnFormula>
    </tableColumn>
    <tableColumn id="7" xr3:uid="{B53043EA-8EAF-48CD-A1C4-F1751A029F72}" name="2 - 剩餘" dataDxfId="358" totalsRowDxfId="357">
      <calculatedColumnFormula array="1">Get_2_Calc</calculatedColumnFormula>
    </tableColumn>
    <tableColumn id="10" xr3:uid="{95260041-5347-400B-AAEF-EE609D2539A1}" name="2 - 存入" dataDxfId="356" totalsRowDxfId="355">
      <calculatedColumnFormula array="1">Get_2_Add</calculatedColumnFormula>
    </tableColumn>
    <tableColumn id="11" xr3:uid="{33755691-0EB3-40CE-9B73-E91F8C102760}" name="2 - 支取" dataDxfId="354" totalsRowDxfId="353">
      <calculatedColumnFormula array="1">Get_2_Del</calculatedColumnFormula>
    </tableColumn>
    <tableColumn id="32" xr3:uid="{EC5EB628-FB36-43AE-A347-41E9ACE5D72E}" name="3 - 剩餘" dataDxfId="352" totalsRowDxfId="351">
      <calculatedColumnFormula array="1">Get_3_Calc</calculatedColumnFormula>
    </tableColumn>
    <tableColumn id="33" xr3:uid="{43A56C01-D775-4C69-87D1-225F1941DB58}" name="3 - 存入" dataDxfId="350" totalsRowDxfId="349">
      <calculatedColumnFormula array="1">Get_3_Add</calculatedColumnFormula>
    </tableColumn>
    <tableColumn id="30" xr3:uid="{E3875226-6AB9-4F4B-91BF-CC71FCEAF551}" name="3 - 支取" dataDxfId="348" totalsRowDxfId="347">
      <calculatedColumnFormula array="1">Get_3_Del</calculatedColumnFormula>
    </tableColumn>
    <tableColumn id="31" xr3:uid="{B62D1E0D-5AB3-4BE3-8BC6-8442FF019A25}" name="4 - 剩餘" dataDxfId="346" totalsRowDxfId="345">
      <calculatedColumnFormula array="1">Get_4_Calc</calculatedColumnFormula>
    </tableColumn>
    <tableColumn id="28" xr3:uid="{7B09D42A-E4B3-42DA-A7BC-1855D7B3276B}" name="4 - 存入" dataDxfId="344" totalsRowDxfId="343">
      <calculatedColumnFormula array="1">Get_4_Add</calculatedColumnFormula>
    </tableColumn>
    <tableColumn id="29" xr3:uid="{B7BDACF3-46DD-4203-BF1C-D95921A9EAB9}" name="4 - 支取" dataDxfId="342" totalsRowDxfId="341">
      <calculatedColumnFormula array="1">Get_4_Del</calculatedColumnFormula>
    </tableColumn>
    <tableColumn id="26" xr3:uid="{2B28D0BE-0636-4250-93AD-A6F7361B235B}" name="5 - 剩餘" dataDxfId="340" totalsRowDxfId="339">
      <calculatedColumnFormula array="1">Get_5_Calc</calculatedColumnFormula>
    </tableColumn>
    <tableColumn id="27" xr3:uid="{E0E33EBF-F853-45D7-8D8D-4968D0DF550A}" name="5 - 存入" dataDxfId="338" totalsRowDxfId="337">
      <calculatedColumnFormula array="1">Get_5_Add</calculatedColumnFormula>
    </tableColumn>
    <tableColumn id="34" xr3:uid="{8BF8358E-3A1F-4FD6-A3D2-5C9ED03B66D2}" name="5 - 支取" dataDxfId="336" totalsRowDxfId="335">
      <calculatedColumnFormula array="1">Get_5_Del</calculatedColumnFormula>
    </tableColumn>
    <tableColumn id="35" xr3:uid="{BB2E7E56-CFEB-45E5-A53A-8F8601B9A6BC}" name="6 - 剩餘" dataDxfId="334">
      <calculatedColumnFormula array="1">Get_6_Calc</calculatedColumnFormula>
    </tableColumn>
    <tableColumn id="36" xr3:uid="{B1C76173-BBE5-4463-A5A2-D59DF06DFEA3}" name="6 - 存入" dataDxfId="333" totalsRowDxfId="332">
      <calculatedColumnFormula array="1">Get_6_Add</calculatedColumnFormula>
    </tableColumn>
    <tableColumn id="37" xr3:uid="{252F1115-6468-4A69-A315-CC054804CD2D}" name="6 - 支取" dataDxfId="331" totalsRowDxfId="330">
      <calculatedColumnFormula array="1">Get_6_Del</calculatedColumnFormula>
    </tableColumn>
    <tableColumn id="20" xr3:uid="{A588D5D5-7793-43CD-9189-E1B0E04C4525}" name="7 - 剩餘" dataDxfId="329" totalsRowDxfId="328">
      <calculatedColumnFormula array="1">Get_7_Calc</calculatedColumnFormula>
    </tableColumn>
    <tableColumn id="21" xr3:uid="{173A2F2F-7CDB-4106-BA59-7971244FD630}" name="7 - 存入" dataDxfId="327" totalsRowDxfId="326">
      <calculatedColumnFormula array="1">Get_7_Add</calculatedColumnFormula>
    </tableColumn>
    <tableColumn id="46" xr3:uid="{5DD0D315-AA29-4E95-AB07-E17D16311131}" name="7 - 支取" dataDxfId="325" totalsRowDxfId="324">
      <calculatedColumnFormula array="1">Get_7_Del</calculatedColumnFormula>
    </tableColumn>
    <tableColumn id="47" xr3:uid="{887630E9-FAB3-4BC4-AE9D-DA08EE18BEE8}" name="8 - 剩餘" dataDxfId="323" totalsRowDxfId="322">
      <calculatedColumnFormula array="1">Get_8_Calc</calculatedColumnFormula>
    </tableColumn>
    <tableColumn id="44" xr3:uid="{74DD3BDF-B83E-43E2-A24B-4F5846C78DBC}" name="8 - 存入" dataDxfId="321" totalsRowDxfId="320">
      <calculatedColumnFormula array="1">Get_8_Add</calculatedColumnFormula>
    </tableColumn>
    <tableColumn id="45" xr3:uid="{F7703264-4D50-4502-8F6F-FB36B91EB021}" name="8 - 支取" dataDxfId="319" totalsRowDxfId="318">
      <calculatedColumnFormula array="1">Get_8_Del</calculatedColumnFormula>
    </tableColumn>
    <tableColumn id="42" xr3:uid="{4E67C08C-7260-499F-B198-7B6E4192E472}" name="9 - 剩餘" dataDxfId="317" totalsRowDxfId="316">
      <calculatedColumnFormula array="1">Get_9_Calc</calculatedColumnFormula>
    </tableColumn>
    <tableColumn id="43" xr3:uid="{7F9B0DDB-B0CF-4F25-BEAA-5F937B25BDE0}" name="9 - 存入" dataDxfId="315" totalsRowDxfId="314">
      <calculatedColumnFormula array="1">Get_9_Add</calculatedColumnFormula>
    </tableColumn>
    <tableColumn id="40" xr3:uid="{3AA5B498-FA98-483A-A388-6B6F74476BFD}" name="9 - 支取" dataDxfId="313" totalsRowDxfId="312">
      <calculatedColumnFormula array="1">Get_9_Del</calculatedColumnFormula>
    </tableColumn>
    <tableColumn id="41" xr3:uid="{82D58ED2-A190-4823-8868-5A26D45CD476}" name="10 - 剩餘" dataDxfId="311" totalsRowDxfId="310">
      <calculatedColumnFormula array="1">Get_10_Calc</calculatedColumnFormula>
    </tableColumn>
    <tableColumn id="38" xr3:uid="{800CF74D-0283-4B1A-9909-EF49C70CBE94}" name="10 - 存入" dataDxfId="309" totalsRowDxfId="308">
      <calculatedColumnFormula array="1">Get_10_Add</calculatedColumnFormula>
    </tableColumn>
    <tableColumn id="39" xr3:uid="{276FBA7A-AC3A-4E59-B8B1-B09B169E6837}" name="10 - 支取" dataDxfId="307" totalsRowDxfId="306">
      <calculatedColumnFormula array="1">Get_10_Del</calculatedColumnFormula>
    </tableColumn>
    <tableColumn id="48" xr3:uid="{A7B9D79E-F38B-48CB-AEE5-E7B7F6EF5C2C}" name="11 - 剩餘" dataDxfId="305" totalsRowDxfId="304">
      <calculatedColumnFormula array="1">Get_11_Calc</calculatedColumnFormula>
    </tableColumn>
    <tableColumn id="49" xr3:uid="{01CFCCAE-6F8F-4C1E-8FF6-6275897A542E}" name="11 - 存入" dataDxfId="303" totalsRowDxfId="302">
      <calculatedColumnFormula array="1">Get_11_Add</calculatedColumnFormula>
    </tableColumn>
    <tableColumn id="14" xr3:uid="{27E31913-0377-43BF-8773-DF68330317BA}" name="11 - 支取" dataDxfId="301" totalsRowDxfId="300">
      <calculatedColumnFormula array="1">Get_11_Del</calculatedColumnFormula>
    </tableColumn>
    <tableColumn id="51" xr3:uid="{5B85F460-5E62-4025-895D-56CA23340014}" name="12 - 剩餘" dataDxfId="299" totalsRowDxfId="298">
      <calculatedColumnFormula array="1">Get_12_Calc</calculatedColumnFormula>
    </tableColumn>
    <tableColumn id="52" xr3:uid="{0EC70A7E-2DCB-4261-AA03-9B9BE1BAEC8F}" name="12 - 存入" dataDxfId="297" totalsRowDxfId="296">
      <calculatedColumnFormula array="1">Get_12_Add</calculatedColumnFormula>
    </tableColumn>
    <tableColumn id="50" xr3:uid="{3EB42EAC-DC06-4CC0-A5A9-B7FE23DC5389}" name="12 - 支取" dataDxfId="295" totalsRowDxfId="294">
      <calculatedColumnFormula array="1">Get_12_Del</calculatedColumnFormula>
    </tableColumn>
    <tableColumn id="65" xr3:uid="{EDF8FCAF-50EB-44D5-B6A9-3CD2A6E9AE1E}" name="13 - 剩餘" dataDxfId="293" totalsRowDxfId="292">
      <calculatedColumnFormula array="1">Get_13_Calc</calculatedColumnFormula>
    </tableColumn>
    <tableColumn id="66" xr3:uid="{F5CC81DC-58D2-4192-A82D-389419FBEF0D}" name="13 - 存入" dataDxfId="291" totalsRowDxfId="290">
      <calculatedColumnFormula array="1">Get_13_Add</calculatedColumnFormula>
    </tableColumn>
    <tableColumn id="67" xr3:uid="{CDD18276-7453-4E17-BA82-D9E26BD8811B}" name="13 - 支取" dataDxfId="289" totalsRowDxfId="288">
      <calculatedColumnFormula array="1">Get_13_Del</calculatedColumnFormula>
    </tableColumn>
    <tableColumn id="62" xr3:uid="{68ACC17D-E3C3-4466-88A6-F2F14F757F76}" name="14 - 剩餘" dataDxfId="287" totalsRowDxfId="286">
      <calculatedColumnFormula array="1">Get_14_Calc</calculatedColumnFormula>
    </tableColumn>
    <tableColumn id="63" xr3:uid="{0E0EE3C5-8F3C-4968-B0E6-50B1C2B616A8}" name="14 - 存入" dataDxfId="285" totalsRowDxfId="284">
      <calculatedColumnFormula array="1">Get_14_Add</calculatedColumnFormula>
    </tableColumn>
    <tableColumn id="64" xr3:uid="{AD67C543-6A27-4C51-906F-D522151C0D92}" name="14 - 支取" dataDxfId="283" totalsRowDxfId="282">
      <calculatedColumnFormula array="1">Get_14_Del</calculatedColumnFormula>
    </tableColumn>
    <tableColumn id="59" xr3:uid="{7CAE30DB-B183-4017-8A77-F435FA507A01}" name="15 - 剩餘" dataDxfId="281" totalsRowDxfId="280">
      <calculatedColumnFormula array="1">Get_15_Calc</calculatedColumnFormula>
    </tableColumn>
    <tableColumn id="60" xr3:uid="{10EF06B0-FD95-42A9-BFCC-64BBC565CA14}" name="15 - 存入" dataDxfId="279" totalsRowDxfId="278">
      <calculatedColumnFormula array="1">Get_15_Add</calculatedColumnFormula>
    </tableColumn>
    <tableColumn id="61" xr3:uid="{6301F8B4-4D01-4FDA-8D32-75921B15A2D9}" name="15 - 支取" dataDxfId="277" totalsRowDxfId="276">
      <calculatedColumnFormula array="1">Get_15_Del</calculatedColumnFormula>
    </tableColumn>
    <tableColumn id="56" xr3:uid="{05F125DE-5AE7-4786-ACBC-DAF9D7222A62}" name="16 - 剩餘" dataDxfId="275" totalsRowDxfId="274">
      <calculatedColumnFormula array="1">Get_16_Calc</calculatedColumnFormula>
    </tableColumn>
    <tableColumn id="57" xr3:uid="{7E6969DC-E3FC-4DA8-BB9D-6B36E075458F}" name="16 - 存入" dataDxfId="273" totalsRowDxfId="272">
      <calculatedColumnFormula array="1">Get_16_Add</calculatedColumnFormula>
    </tableColumn>
    <tableColumn id="58" xr3:uid="{84C80CB2-57F5-4B66-8756-5573CD699D16}" name="16 - 支取" dataDxfId="271" totalsRowDxfId="270">
      <calculatedColumnFormula array="1">Get_16_Del</calculatedColumnFormula>
    </tableColumn>
    <tableColumn id="53" xr3:uid="{65516705-AD27-4ECA-AF09-D132C51E08CE}" name="17 - 剩餘" dataDxfId="269" totalsRowDxfId="268">
      <calculatedColumnFormula array="1">Get_17_Calc</calculatedColumnFormula>
    </tableColumn>
    <tableColumn id="54" xr3:uid="{0756DBD3-FDA1-4E71-849C-F20BBD0A5182}" name="17 - 存入" dataDxfId="267" totalsRowDxfId="266">
      <calculatedColumnFormula array="1">Get_17_Add</calculatedColumnFormula>
    </tableColumn>
    <tableColumn id="55" xr3:uid="{51CB254C-5F29-4215-8FE0-F8B8B7B32759}" name="17 - 支取" dataDxfId="265" totalsRowDxfId="264">
      <calculatedColumnFormula array="1">Get_17_Del</calculatedColumnFormula>
    </tableColumn>
    <tableColumn id="68" xr3:uid="{9C2EC294-A2C3-40B0-9E15-FFA1DA6DE0E7}" name="18 - 剩餘" dataDxfId="263" totalsRowDxfId="262">
      <calculatedColumnFormula array="1">Get_18_Calc</calculatedColumnFormula>
    </tableColumn>
    <tableColumn id="69" xr3:uid="{A371F69D-1236-4AAC-B5F1-72D518D6FC69}" name="18 - 存入" dataDxfId="261" totalsRowDxfId="260">
      <calculatedColumnFormula array="1">Get_18_Add</calculatedColumnFormula>
    </tableColumn>
    <tableColumn id="70" xr3:uid="{7B3C5D9B-BC0C-404F-9490-CDADC350F1D7}" name="18 - 支取" dataDxfId="259" totalsRowDxfId="258">
      <calculatedColumnFormula array="1">Get_18_Del</calculatedColumnFormula>
    </tableColumn>
    <tableColumn id="19" xr3:uid="{91B42855-55D1-4A6A-B9A8-5EE011ADEB10}" name="19 - 剩餘" dataDxfId="257" totalsRowDxfId="256">
      <calculatedColumnFormula array="1">Get_19_Calc</calculatedColumnFormula>
    </tableColumn>
    <tableColumn id="18" xr3:uid="{98EE3A39-A8AB-42CF-AEB5-291E8B95D8CA}" name="19 - 存入" dataDxfId="255" totalsRowDxfId="254">
      <calculatedColumnFormula array="1">Get_19_Add</calculatedColumnFormula>
    </tableColumn>
    <tableColumn id="73" xr3:uid="{DB40D44F-8801-4D50-BA48-8323E05D2E13}" name="19 - 支取" dataDxfId="253" totalsRowDxfId="252">
      <calculatedColumnFormula array="1">Get_19_Del</calculatedColumnFormula>
    </tableColumn>
    <tableColumn id="72" xr3:uid="{470D5EC3-31A6-4851-B48C-D6DDADACC807}" name="20 - 剩餘" dataDxfId="251" totalsRowDxfId="250">
      <calculatedColumnFormula array="1">Get_20_Calc</calculatedColumnFormula>
    </tableColumn>
    <tableColumn id="71" xr3:uid="{39143051-B360-4CEF-883D-35BFEEAE3BA0}" name="20 - 存入" dataDxfId="249" totalsRowDxfId="248">
      <calculatedColumnFormula array="1">Get_20_Add</calculatedColumnFormula>
    </tableColumn>
    <tableColumn id="15" xr3:uid="{8C1BB1E7-B23F-46EC-AE4E-28A3C394FD55}" name="20 - 支取" dataDxfId="247" totalsRowDxfId="246">
      <calculatedColumnFormula array="1">Get_20_Del</calculatedColumnFormula>
    </tableColumn>
    <tableColumn id="102" xr3:uid="{F21D4D43-73EE-4C8A-8AEF-E424CE485010}" name="21 - 剩餘" dataDxfId="245" totalsRowDxfId="244">
      <calculatedColumnFormula array="1">Get_21_Calc</calculatedColumnFormula>
    </tableColumn>
    <tableColumn id="103" xr3:uid="{4486E59C-66B0-413C-AFFC-A8A336BC25D8}" name="21 - 存入" dataDxfId="243" totalsRowDxfId="242">
      <calculatedColumnFormula array="1">Get_21_Add</calculatedColumnFormula>
    </tableColumn>
    <tableColumn id="104" xr3:uid="{564EC857-6030-490D-A2E5-16F4F8221C23}" name="21 - 支取" dataDxfId="241" totalsRowDxfId="240">
      <calculatedColumnFormula array="1">Get_21_Del</calculatedColumnFormula>
    </tableColumn>
    <tableColumn id="105" xr3:uid="{31132AB1-247A-4EB9-8A8A-871FED0D5AA1}" name="22 - 剩餘" dataDxfId="239" totalsRowDxfId="238">
      <calculatedColumnFormula array="1">Get_22_Calc</calculatedColumnFormula>
    </tableColumn>
    <tableColumn id="98" xr3:uid="{CF6220B5-7B80-445C-A013-845D35543916}" name="22 - 存入" dataDxfId="237" totalsRowDxfId="236">
      <calculatedColumnFormula array="1">Get_22_Add</calculatedColumnFormula>
    </tableColumn>
    <tableColumn id="99" xr3:uid="{98BD4691-C847-4F41-8E6C-BEC01B8FAEB3}" name="22 - 支取" dataDxfId="235" totalsRowDxfId="234">
      <calculatedColumnFormula array="1">Get_22_Del</calculatedColumnFormula>
    </tableColumn>
    <tableColumn id="100" xr3:uid="{66330D4E-ED0D-41A7-921D-E622CA8068A4}" name="23 - 剩餘" dataDxfId="233" totalsRowDxfId="232">
      <calculatedColumnFormula array="1">Get_23_Calc</calculatedColumnFormula>
    </tableColumn>
    <tableColumn id="101" xr3:uid="{3345E086-C2E9-453D-A0EB-A7471CF2ACB2}" name="23 - 存入" dataDxfId="231" totalsRowDxfId="230">
      <calculatedColumnFormula array="1">Get_23_Add</calculatedColumnFormula>
    </tableColumn>
    <tableColumn id="94" xr3:uid="{8EF3E108-22A5-4CBC-9928-BC115EFE882A}" name="23 - 支取" dataDxfId="229" totalsRowDxfId="228">
      <calculatedColumnFormula array="1">Get_23_Del</calculatedColumnFormula>
    </tableColumn>
    <tableColumn id="95" xr3:uid="{C6AA287C-2EA3-4286-A71D-29E22D519C41}" name="24 - 剩餘" dataDxfId="227" totalsRowDxfId="226">
      <calculatedColumnFormula array="1">Get_24_Calc</calculatedColumnFormula>
    </tableColumn>
    <tableColumn id="96" xr3:uid="{1FDAF720-4143-496A-91C3-D65BD5CBA18F}" name="24 - 存入" dataDxfId="225" totalsRowDxfId="224">
      <calculatedColumnFormula array="1">Get_24_Add</calculatedColumnFormula>
    </tableColumn>
    <tableColumn id="97" xr3:uid="{0CACBF11-449C-4C06-A249-904EB5517854}" name="24 - 支取" dataDxfId="223" totalsRowDxfId="222">
      <calculatedColumnFormula array="1">Get_24_Del</calculatedColumnFormula>
    </tableColumn>
    <tableColumn id="90" xr3:uid="{11D36A45-02CB-476F-A2D2-734F76A2D1A6}" name="25 - 剩餘" dataDxfId="221" totalsRowDxfId="220">
      <calculatedColumnFormula array="1">Get_25_Calc</calculatedColumnFormula>
    </tableColumn>
    <tableColumn id="91" xr3:uid="{8B60EC99-F04A-45EF-8F17-680319744A85}" name="25 - 存入" dataDxfId="219" totalsRowDxfId="218">
      <calculatedColumnFormula array="1">Get_25_Add</calculatedColumnFormula>
    </tableColumn>
    <tableColumn id="92" xr3:uid="{AD05D88D-F2C1-4505-9BBD-FDC0B2D388F3}" name="25 - 支取" dataDxfId="217" totalsRowDxfId="216">
      <calculatedColumnFormula array="1">Get_25_Del</calculatedColumnFormula>
    </tableColumn>
    <tableColumn id="93" xr3:uid="{F7CB76E9-97CE-4CC8-AEDA-CB574593A924}" name="26 - 剩餘" dataDxfId="215" totalsRowDxfId="214">
      <calculatedColumnFormula array="1">Get_26_Calc</calculatedColumnFormula>
    </tableColumn>
    <tableColumn id="86" xr3:uid="{6D74E673-FBC5-435E-9229-8C187E67EA3F}" name="26 - 存入" dataDxfId="213" totalsRowDxfId="212">
      <calculatedColumnFormula array="1">Get_26_Add</calculatedColumnFormula>
    </tableColumn>
    <tableColumn id="87" xr3:uid="{C2C28027-A1CD-440D-BB33-3A80FCC5A8C1}" name="26 - 支取" dataDxfId="211" totalsRowDxfId="210">
      <calculatedColumnFormula array="1">Get_26_Del</calculatedColumnFormula>
    </tableColumn>
    <tableColumn id="88" xr3:uid="{070B4F15-D610-4FCF-B681-42E984B3F85F}" name="27 - 剩餘" dataDxfId="209" totalsRowDxfId="208">
      <calculatedColumnFormula array="1">Get_27_Calc</calculatedColumnFormula>
    </tableColumn>
    <tableColumn id="89" xr3:uid="{04BA09B0-47DA-4E80-BEEC-AB8498C074D5}" name="27 - 存入" dataDxfId="207" totalsRowDxfId="206">
      <calculatedColumnFormula array="1">Get_27_Add</calculatedColumnFormula>
    </tableColumn>
    <tableColumn id="82" xr3:uid="{17B1B927-AD09-4E4A-B7FC-33ED76279CBC}" name="27 - 支取" dataDxfId="205" totalsRowDxfId="204">
      <calculatedColumnFormula array="1">Get_27_Del</calculatedColumnFormula>
    </tableColumn>
    <tableColumn id="83" xr3:uid="{2F4ED0A5-EE6B-4248-832C-F478A57FA0D5}" name="28 - 剩餘" dataDxfId="203" totalsRowDxfId="202">
      <calculatedColumnFormula array="1">Get_28_Calc</calculatedColumnFormula>
    </tableColumn>
    <tableColumn id="84" xr3:uid="{D1140375-114D-49D9-A424-519A4250A622}" name="28 - 存入" dataDxfId="201" totalsRowDxfId="200">
      <calculatedColumnFormula array="1">Get_28_Add</calculatedColumnFormula>
    </tableColumn>
    <tableColumn id="85" xr3:uid="{53209986-74FA-491C-8499-CAD58386B246}" name="28 - 支取" dataDxfId="199" totalsRowDxfId="198">
      <calculatedColumnFormula array="1">Get_28_Del</calculatedColumnFormula>
    </tableColumn>
    <tableColumn id="78" xr3:uid="{9B1695E1-88D0-4B66-86DA-6328CEFA236B}" name="29 - 剩餘" dataDxfId="197" totalsRowDxfId="196">
      <calculatedColumnFormula array="1">Get_29_Calc</calculatedColumnFormula>
    </tableColumn>
    <tableColumn id="79" xr3:uid="{AD5F07E7-774D-47C8-B9B7-0278E35D62E4}" name="29 - 存入" dataDxfId="195" totalsRowDxfId="194">
      <calculatedColumnFormula array="1">Get_29_Add</calculatedColumnFormula>
    </tableColumn>
    <tableColumn id="80" xr3:uid="{60613223-E2AD-4FE8-AB22-74D7D70E9EC2}" name="29 - 支取" dataDxfId="193" totalsRowDxfId="192">
      <calculatedColumnFormula array="1">Get_29_Del</calculatedColumnFormula>
    </tableColumn>
    <tableColumn id="81" xr3:uid="{598D87C2-40FF-4EB0-A568-2DE01DFD9C9A}" name="30 - 剩餘" dataDxfId="191" totalsRowDxfId="190">
      <calculatedColumnFormula array="1">Get_30_Calc</calculatedColumnFormula>
    </tableColumn>
    <tableColumn id="112" xr3:uid="{A33BC1F0-D006-4639-92C6-0E411B6CA96D}" name="30 - 存入" dataDxfId="189" totalsRowDxfId="188">
      <calculatedColumnFormula array="1">Get_30_Add</calculatedColumnFormula>
    </tableColumn>
    <tableColumn id="113" xr3:uid="{AF7F8313-8446-4886-AE41-FE26C24E6965}" name="30 - 支取" dataDxfId="187" totalsRowDxfId="186">
      <calculatedColumnFormula array="1">Get_30_Del</calculatedColumnFormula>
    </tableColumn>
    <tableColumn id="114" xr3:uid="{32AC448A-1D9F-45C6-ADF0-484483D61305}" name="31 - 剩餘" dataDxfId="185" totalsRowDxfId="184">
      <calculatedColumnFormula array="1">Get_31_Calc</calculatedColumnFormula>
    </tableColumn>
    <tableColumn id="109" xr3:uid="{6656E887-BCA1-45C6-9018-4F892EDCD6BD}" name="31 - 存入" dataDxfId="183" totalsRowDxfId="182">
      <calculatedColumnFormula array="1">Get_31_Add</calculatedColumnFormula>
    </tableColumn>
    <tableColumn id="110" xr3:uid="{19143AD3-AFEC-4767-B097-6EFED19C1D5F}" name="31 - 支取" dataDxfId="181" totalsRowDxfId="180">
      <calculatedColumnFormula array="1">Get_31_Del</calculatedColumnFormula>
    </tableColumn>
    <tableColumn id="111" xr3:uid="{A73390AD-84AD-4B11-962F-A0DD77AF79DB}" name="32 - 剩餘" dataDxfId="179" totalsRowDxfId="178">
      <calculatedColumnFormula array="1">Get_32_Calc</calculatedColumnFormula>
    </tableColumn>
    <tableColumn id="106" xr3:uid="{CD563433-AB70-48C2-B28C-D63B8FE4231B}" name="32 - 存入" dataDxfId="177" totalsRowDxfId="176">
      <calculatedColumnFormula array="1">Get_32_Add</calculatedColumnFormula>
    </tableColumn>
    <tableColumn id="107" xr3:uid="{8C2B9726-7B44-4012-849B-90C10E42CC75}" name="32 - 支取" dataDxfId="175" totalsRowDxfId="174">
      <calculatedColumnFormula array="1">Get_32_Del</calculatedColumnFormula>
    </tableColumn>
    <tableColumn id="108" xr3:uid="{E5AF4544-102C-474F-A246-CC7171B33738}" name="33 - 剩餘" dataDxfId="173" totalsRowDxfId="172">
      <calculatedColumnFormula array="1">Get_33_Calc</calculatedColumnFormula>
    </tableColumn>
    <tableColumn id="121" xr3:uid="{C1F5D498-1262-44DF-B066-1A676148E301}" name="33 - 存入" dataDxfId="171" totalsRowDxfId="170">
      <calculatedColumnFormula array="1">Get_33_Add</calculatedColumnFormula>
    </tableColumn>
    <tableColumn id="122" xr3:uid="{2F6821D0-F42C-4DED-A045-B1C398C90F61}" name="33 - 支取" dataDxfId="169" totalsRowDxfId="168">
      <calculatedColumnFormula array="1">Get_33_Del</calculatedColumnFormula>
    </tableColumn>
    <tableColumn id="123" xr3:uid="{DDEBD9FE-7A2F-41FF-9BD6-93F0E3570136}" name="34 - 剩餘" dataDxfId="167" totalsRowDxfId="166">
      <calculatedColumnFormula array="1">Get_34_Calc</calculatedColumnFormula>
    </tableColumn>
    <tableColumn id="118" xr3:uid="{DEAF0FA5-8ADE-45D7-B112-EA03FAA0D896}" name="34 - 存入" dataDxfId="165" totalsRowDxfId="164">
      <calculatedColumnFormula array="1">Get_34_Add</calculatedColumnFormula>
    </tableColumn>
    <tableColumn id="119" xr3:uid="{C95831F4-24FC-40B7-A0D8-FEBAAA6EAD80}" name="34 - 支取" dataDxfId="163" totalsRowDxfId="162">
      <calculatedColumnFormula array="1">Get_34_Del</calculatedColumnFormula>
    </tableColumn>
    <tableColumn id="120" xr3:uid="{8C22D30B-320F-49E4-B37A-57A3D5DEE429}" name="35 - 剩餘" dataDxfId="161" totalsRowDxfId="160">
      <calculatedColumnFormula array="1">Get_35_Calc</calculatedColumnFormula>
    </tableColumn>
    <tableColumn id="115" xr3:uid="{DC9FF648-80A3-480C-8295-816AE96549F0}" name="35 - 存入" dataDxfId="159" totalsRowDxfId="158">
      <calculatedColumnFormula array="1">Get_35_Add</calculatedColumnFormula>
    </tableColumn>
    <tableColumn id="116" xr3:uid="{19FD796A-C39B-4913-B2F4-CF8C8A6E2355}" name="35 - 支取" dataDxfId="157" totalsRowDxfId="156">
      <calculatedColumnFormula array="1">Get_35_Del</calculatedColumnFormula>
    </tableColumn>
    <tableColumn id="117" xr3:uid="{329AC6EB-CF46-4F1E-A1D1-49A8B17CACCD}" name="36 - 剩餘" dataDxfId="155" totalsRowDxfId="154">
      <calculatedColumnFormula array="1">Get_36_Calc</calculatedColumnFormula>
    </tableColumn>
    <tableColumn id="77" xr3:uid="{D18373BA-DB75-470C-9939-60206C36267B}" name="36 - 存入" dataDxfId="153" totalsRowDxfId="152">
      <calculatedColumnFormula array="1">Get_36_Add</calculatedColumnFormula>
    </tableColumn>
    <tableColumn id="76" xr3:uid="{8C923C1F-8AAD-4F00-B3ED-8C81417C548A}" name="36 - 支取" dataDxfId="151" totalsRowDxfId="150">
      <calculatedColumnFormula array="1">Get_36_Del</calculatedColumnFormula>
    </tableColumn>
    <tableColumn id="132" xr3:uid="{F6203D74-C033-4FEA-B4CE-F892F2B07270}" name="37 - 剩餘" dataDxfId="149" totalsRowDxfId="148">
      <calculatedColumnFormula array="1">Get_37_Calc</calculatedColumnFormula>
    </tableColumn>
    <tableColumn id="133" xr3:uid="{BA7DE93C-8EE4-4DDC-BC04-EC21986490A7}" name="37 - 存入" dataDxfId="147" totalsRowDxfId="146">
      <calculatedColumnFormula array="1">Get_37_Add</calculatedColumnFormula>
    </tableColumn>
    <tableColumn id="128" xr3:uid="{A2AB67E7-67E5-4957-9EB1-A4A37B61C71A}" name="37 - 支取" dataDxfId="145" totalsRowDxfId="144">
      <calculatedColumnFormula array="1">Get_37_Del</calculatedColumnFormula>
    </tableColumn>
    <tableColumn id="129" xr3:uid="{15573BDA-20F9-4C2F-9D6F-18F743FC6E25}" name="38 - 剩餘" dataDxfId="143" totalsRowDxfId="142">
      <calculatedColumnFormula array="1">Get_38_Calc</calculatedColumnFormula>
    </tableColumn>
    <tableColumn id="130" xr3:uid="{C0F229CF-C5D6-4F11-8F55-7692B00DC0E3}" name="38 - 存入" dataDxfId="141" totalsRowDxfId="140">
      <calculatedColumnFormula array="1">Get_38_Add</calculatedColumnFormula>
    </tableColumn>
    <tableColumn id="125" xr3:uid="{24A0AFA6-873B-40D0-95AA-269E0E8A05E1}" name="38 - 支取" dataDxfId="139" totalsRowDxfId="138">
      <calculatedColumnFormula array="1">Get_38_Del</calculatedColumnFormula>
    </tableColumn>
    <tableColumn id="126" xr3:uid="{20897FAE-D3FE-48DD-961E-6A6443173FA9}" name="39 - 剩餘" dataDxfId="137" totalsRowDxfId="136">
      <calculatedColumnFormula array="1">Get_39_Calc</calculatedColumnFormula>
    </tableColumn>
    <tableColumn id="127" xr3:uid="{35F30295-EDB2-4D7F-939D-DFAC52BB2A9F}" name="39 - 存入" dataDxfId="135" totalsRowDxfId="134">
      <calculatedColumnFormula array="1">Get_39_Add</calculatedColumnFormula>
    </tableColumn>
    <tableColumn id="124" xr3:uid="{AF953A41-E1B0-4337-8A8E-F951C493EDE8}" name="39 - 支取" dataDxfId="133" totalsRowDxfId="132">
      <calculatedColumnFormula array="1">Get_39_Del</calculatedColumnFormula>
    </tableColumn>
    <tableColumn id="75" xr3:uid="{07F02D24-5D96-40AE-BCE0-590F79C6D5DF}" name="40 - 剩餘" dataDxfId="131" totalsRowDxfId="130">
      <calculatedColumnFormula array="1">Get_40_Calc</calculatedColumnFormula>
    </tableColumn>
    <tableColumn id="134" xr3:uid="{1075256E-BEBC-4E72-B0F5-766EF175AB4B}" name="40 - 存入" dataDxfId="129" totalsRowDxfId="128">
      <calculatedColumnFormula array="1">Get_40_Add</calculatedColumnFormula>
    </tableColumn>
    <tableColumn id="74" xr3:uid="{DAFDE2C6-F321-4651-AA25-F4B29B9F690B}" name="40 - 支取" dataDxfId="127" totalsRowDxfId="126">
      <calculatedColumnFormula array="1">Get_40_Del</calculatedColumnFormula>
    </tableColumn>
    <tableColumn id="2" xr3:uid="{6838A7E0-670C-4A2D-AF67-326212D8D278}" name="姓氏" dataDxfId="125" totalsRowDxfId="124"/>
    <tableColumn id="25" xr3:uid="{0E0946FC-F3D2-412C-BDE7-636B8FDBFE7C}" name="名字" dataDxfId="123" totalsRowDxfId="122"/>
    <tableColumn id="3" xr3:uid="{E7DD7F6C-DAA7-4B96-9638-5C8F7FEFCC2E}" name="性別" dataDxfId="121" totalsRowDxfId="120"/>
    <tableColumn id="23" xr3:uid="{AABD28F8-91AC-4EA0-915D-2F3C990C193D}" name="身分證號碼" dataDxfId="119" totalsRowDxfId="118"/>
    <tableColumn id="24" xr3:uid="{14505223-157D-4FB0-A334-A4E4687523F8}" name="年齡" dataDxfId="117" totalsRowDxfId="116"/>
    <tableColumn id="4" xr3:uid="{B39F2860-CADF-40CB-832A-CCDE8501D7E3}" name="電話" dataDxfId="115" totalsRowDxfId="114"/>
    <tableColumn id="16" xr3:uid="{6E8928D1-6540-4241-9B8F-BFBC65F8DA26}" name="Email" dataDxfId="113"/>
    <tableColumn id="17" xr3:uid="{5422D38F-7826-4B14-9992-0434FAF52537}" name="家庭住址" dataDxfId="112" totalsRowDxfId="111"/>
    <tableColumn id="13" xr3:uid="{1096126D-9431-4280-89CE-FD45CA05D86A}" name="新增會員時間" dataDxfId="110" totalsRowDxfId="109"/>
    <tableColumn id="22" xr3:uid="{8DAD451D-44A8-40A3-A244-DDF540273F95}" name="工號" dataDxfId="108" totalsRowDxfId="107"/>
    <tableColumn id="12" xr3:uid="{A8D286B9-575E-4C05-8F77-63C322A43E3C}" name="備註" totalsRowFunction="count" dataDxfId="106" totalsRowDxfId="105"/>
    <tableColumn id="137" xr3:uid="{A28FE4E6-E4F7-4285-960E-52FA91B37CDC}" name="总共已关联" dataDxfId="104" totalsRowDxfId="103">
      <calculatedColumnFormula array="1">History_Total</calculatedColumnFormula>
    </tableColumn>
    <tableColumn id="138" xr3:uid="{721FCAE3-06FB-4515-8BF9-94511832EAAF}" name="已关联存入" dataDxfId="102" totalsRowDxfId="101">
      <calculatedColumnFormula array="1">History_Saved</calculatedColumnFormula>
    </tableColumn>
    <tableColumn id="139" xr3:uid="{48CC7068-15C2-493C-AA4D-C49F4D0BB3AA}" name="已关联支取" dataDxfId="100" totalsRowDxfId="99">
      <calculatedColumnFormula array="1">History_Withdraw</calculatedColumnFormula>
    </tableColumn>
    <tableColumn id="131" xr3:uid="{B4C815C6-B401-45F9-B9B2-1476058C1A52}" name="狀態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94" dataDxfId="93">
  <autoFilter ref="B6:AV8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7" t="s">
        <v>182</v>
      </c>
      <c r="I9" s="127"/>
      <c r="J9" s="127"/>
      <c r="K9" s="128" t="s">
        <v>183</v>
      </c>
      <c r="L9" s="128"/>
      <c r="M9" s="128"/>
      <c r="N9" s="128" t="s">
        <v>413</v>
      </c>
      <c r="O9" s="128"/>
      <c r="P9" s="128" t="s">
        <v>412</v>
      </c>
      <c r="Q9" s="128"/>
      <c r="R9" s="128"/>
      <c r="S9" s="128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IF(Store_Setting[[#This Row],[商品名稱]]="","", _xlfn.CONCAT(" | ",Store_Setting[商品名稱])))</f>
        <v>1 | 12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Row],[唯一識別碼]],Store_History[類型],$D$80)</f>
        <v>0</v>
      </c>
      <c r="M11" s="84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IF(Store_Setting[[#This Row],[商品名稱]]="","", _xlfn.CONCAT(" | ",Store_Setting[商品名稱])))</f>
        <v>2 | 12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Row],[唯一識別碼]],Store_History[類型],$D$80)</f>
        <v>0</v>
      </c>
      <c r="M12" s="84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IF(Store_Setting[[#This Row],[商品名稱]]="","", _xlfn.CONCAT(" | ",Store_Setting[商品名稱])))</f>
        <v>3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Row],[唯一識別碼]],Store_History[類型],$D$80)</f>
        <v>0</v>
      </c>
      <c r="M13" s="84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IF(Store_Setting[[#This Row],[商品名稱]]="","", _xlfn.CONCAT(" | ",Store_Setting[商品名稱])))</f>
        <v>4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Row],[唯一識別碼]],Store_History[類型],$D$80)</f>
        <v>0</v>
      </c>
      <c r="M14" s="84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IF(Store_Setting[[#This Row],[商品名稱]]="","", _xlfn.CONCAT(" | ",Store_Setting[商品名稱])))</f>
        <v>5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Row],[唯一識別碼]],Store_History[類型],$D$80)</f>
        <v>0</v>
      </c>
      <c r="M15" s="84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IF(Store_Setting[[#This Row],[商品名稱]]="","", _xlfn.CONCAT(" | ",Store_Setting[商品名稱])))</f>
        <v>6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Row],[唯一識別碼]],Store_History[類型],$D$80)</f>
        <v>0</v>
      </c>
      <c r="M16" s="84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IF(Store_Setting[[#This Row],[商品名稱]]="","", _xlfn.CONCAT(" | ",Store_Setting[商品名稱])))</f>
        <v>7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Row],[唯一識別碼]],Store_History[類型],$D$80)</f>
        <v>0</v>
      </c>
      <c r="M17" s="84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IF(Store_Setting[[#This Row],[商品名稱]]="","", _xlfn.CONCAT(" | ",Store_Setting[商品名稱])))</f>
        <v>8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Row],[唯一識別碼]],Store_History[類型],$D$80)</f>
        <v>0</v>
      </c>
      <c r="M18" s="84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IF(Store_Setting[[#This Row],[商品名稱]]="","", _xlfn.CONCAT(" | ",Store_Setting[商品名稱])))</f>
        <v>9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Row],[唯一識別碼]],Store_History[類型],$D$80)</f>
        <v>0</v>
      </c>
      <c r="M19" s="84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IF(Store_Setting[[#This Row],[商品名稱]]="","", _xlfn.CONCAT(" | ",Store_Setting[商品名稱])))</f>
        <v>10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Row],[唯一識別碼]],Store_History[類型],$D$80)</f>
        <v>0</v>
      </c>
      <c r="M20" s="84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IF(Store_Setting[[#This Row],[商品名稱]]="","", _xlfn.CONCAT(" | ",Store_Setting[商品名稱])))</f>
        <v>11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Row],[唯一識別碼]],Store_History[類型],$D$80)</f>
        <v>0</v>
      </c>
      <c r="M21" s="84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IF(Store_Setting[[#This Row],[商品名稱]]="","", _xlfn.CONCAT(" | ",Store_Setting[商品名稱])))</f>
        <v>12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Row],[唯一識別碼]],Store_History[類型],$D$80)</f>
        <v>0</v>
      </c>
      <c r="M22" s="84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IF(Store_Setting[[#This Row],[商品名稱]]="","", _xlfn.CONCAT(" | ",Store_Setting[商品名稱])))</f>
        <v>13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Row],[唯一識別碼]],Store_History[類型],$D$80)</f>
        <v>0</v>
      </c>
      <c r="M23" s="84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IF(Store_Setting[[#This Row],[商品名稱]]="","", _xlfn.CONCAT(" | ",Store_Setting[商品名稱])))</f>
        <v>14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Row],[唯一識別碼]],Store_History[類型],$D$80)</f>
        <v>0</v>
      </c>
      <c r="M24" s="84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IF(Store_Setting[[#This Row],[商品名稱]]="","", _xlfn.CONCAT(" | ",Store_Setting[商品名稱])))</f>
        <v>15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Row],[唯一識別碼]],Store_History[類型],$D$80)</f>
        <v>0</v>
      </c>
      <c r="M25" s="84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IF(Store_Setting[[#This Row],[商品名稱]]="","", _xlfn.CONCAT(" | ",Store_Setting[商品名稱])))</f>
        <v>16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Row],[唯一識別碼]],Store_History[類型],$D$80)</f>
        <v>0</v>
      </c>
      <c r="M26" s="84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IF(Store_Setting[[#This Row],[商品名稱]]="","", _xlfn.CONCAT(" | ",Store_Setting[商品名稱])))</f>
        <v>17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Row],[唯一識別碼]],Store_History[類型],$D$80)</f>
        <v>0</v>
      </c>
      <c r="M27" s="84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IF(Store_Setting[[#This Row],[商品名稱]]="","", _xlfn.CONCAT(" | ",Store_Setting[商品名稱])))</f>
        <v>18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Row],[唯一識別碼]],Store_History[類型],$D$80)</f>
        <v>0</v>
      </c>
      <c r="M28" s="84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IF(Store_Setting[[#This Row],[商品名稱]]="","", _xlfn.CONCAT(" | ",Store_Setting[商品名稱])))</f>
        <v>19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Row],[唯一識別碼]],Store_History[類型],$D$80)</f>
        <v>0</v>
      </c>
      <c r="M29" s="84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IF(Store_Setting[[#This Row],[商品名稱]]="","", _xlfn.CONCAT(" | ",Store_Setting[商品名稱])))</f>
        <v>20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Row],[唯一識別碼]],Store_History[類型],$D$80)</f>
        <v>0</v>
      </c>
      <c r="M30" s="84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IF(Store_Setting[[#This Row],[商品名稱]]="","", _xlfn.CONCAT(" | ",Store_Setting[商品名稱])))</f>
        <v>21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Row],[唯一識別碼]],Store_History[類型],$D$80)</f>
        <v>0</v>
      </c>
      <c r="M31" s="84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IF(Store_Setting[[#This Row],[商品名稱]]="","", _xlfn.CONCAT(" | ",Store_Setting[商品名稱])))</f>
        <v>22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Row],[唯一識別碼]],Store_History[類型],$D$80)</f>
        <v>0</v>
      </c>
      <c r="M32" s="84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IF(Store_Setting[[#This Row],[商品名稱]]="","", _xlfn.CONCAT(" | ",Store_Setting[商品名稱])))</f>
        <v>23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Row],[唯一識別碼]],Store_History[類型],$D$80)</f>
        <v>0</v>
      </c>
      <c r="M33" s="84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IF(Store_Setting[[#This Row],[商品名稱]]="","", _xlfn.CONCAT(" | ",Store_Setting[商品名稱])))</f>
        <v>24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Row],[唯一識別碼]],Store_History[類型],$D$80)</f>
        <v>0</v>
      </c>
      <c r="M34" s="84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IF(Store_Setting[[#This Row],[商品名稱]]="","", _xlfn.CONCAT(" | ",Store_Setting[商品名稱])))</f>
        <v>25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Row],[唯一識別碼]],Store_History[類型],$D$80)</f>
        <v>0</v>
      </c>
      <c r="M35" s="84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IF(Store_Setting[[#This Row],[商品名稱]]="","", _xlfn.CONCAT(" | ",Store_Setting[商品名稱])))</f>
        <v>26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Row],[唯一識別碼]],Store_History[類型],$D$80)</f>
        <v>0</v>
      </c>
      <c r="M36" s="84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IF(Store_Setting[[#This Row],[商品名稱]]="","", _xlfn.CONCAT(" | ",Store_Setting[商品名稱])))</f>
        <v>27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Row],[唯一識別碼]],Store_History[類型],$D$80)</f>
        <v>0</v>
      </c>
      <c r="M37" s="84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IF(Store_Setting[[#This Row],[商品名稱]]="","", _xlfn.CONCAT(" | ",Store_Setting[商品名稱])))</f>
        <v>28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Row],[唯一識別碼]],Store_History[類型],$D$80)</f>
        <v>0</v>
      </c>
      <c r="M38" s="84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IF(Store_Setting[[#This Row],[商品名稱]]="","", _xlfn.CONCAT(" | ",Store_Setting[商品名稱])))</f>
        <v>29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Row],[唯一識別碼]],Store_History[類型],$D$80)</f>
        <v>0</v>
      </c>
      <c r="M39" s="84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IF(Store_Setting[[#This Row],[商品名稱]]="","", _xlfn.CONCAT(" | ",Store_Setting[商品名稱])))</f>
        <v>30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Row],[唯一識別碼]],Store_History[類型],$D$80)</f>
        <v>0</v>
      </c>
      <c r="M40" s="84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IF(Store_Setting[[#This Row],[商品名稱]]="","", _xlfn.CONCAT(" | ",Store_Setting[商品名稱])))</f>
        <v>31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Row],[唯一識別碼]],Store_History[類型],$D$80)</f>
        <v>0</v>
      </c>
      <c r="M41" s="84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IF(Store_Setting[[#This Row],[商品名稱]]="","", _xlfn.CONCAT(" | ",Store_Setting[商品名稱])))</f>
        <v>32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Row],[唯一識別碼]],Store_History[類型],$D$80)</f>
        <v>0</v>
      </c>
      <c r="M42" s="84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IF(Store_Setting[[#This Row],[商品名稱]]="","", _xlfn.CONCAT(" | ",Store_Setting[商品名稱])))</f>
        <v>33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Row],[唯一識別碼]],Store_History[類型],$D$80)</f>
        <v>0</v>
      </c>
      <c r="M43" s="84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IF(Store_Setting[[#This Row],[商品名稱]]="","", _xlfn.CONCAT(" | ",Store_Setting[商品名稱])))</f>
        <v>34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Row],[唯一識別碼]],Store_History[類型],$D$80)</f>
        <v>0</v>
      </c>
      <c r="M44" s="84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IF(Store_Setting[[#This Row],[商品名稱]]="","", _xlfn.CONCAT(" | ",Store_Setting[商品名稱])))</f>
        <v>35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Row],[唯一識別碼]],Store_History[類型],$D$80)</f>
        <v>0</v>
      </c>
      <c r="M45" s="84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IF(Store_Setting[[#This Row],[商品名稱]]="","", _xlfn.CONCAT(" | ",Store_Setting[商品名稱])))</f>
        <v>36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Row],[唯一識別碼]],Store_History[類型],$D$80)</f>
        <v>0</v>
      </c>
      <c r="M46" s="84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IF(Store_Setting[[#This Row],[商品名稱]]="","", _xlfn.CONCAT(" | ",Store_Setting[商品名稱])))</f>
        <v>37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Row],[唯一識別碼]],Store_History[類型],$D$80)</f>
        <v>0</v>
      </c>
      <c r="M47" s="84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IF(Store_Setting[[#This Row],[商品名稱]]="","", _xlfn.CONCAT(" | ",Store_Setting[商品名稱])))</f>
        <v>38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Row],[唯一識別碼]],Store_History[類型],$D$80)</f>
        <v>0</v>
      </c>
      <c r="M48" s="84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IF(Store_Setting[[#This Row],[商品名稱]]="","", _xlfn.CONCAT(" | ",Store_Setting[商品名稱])))</f>
        <v>39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Row],[唯一識別碼]],Store_History[類型],$D$80)</f>
        <v>0</v>
      </c>
      <c r="M49" s="84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IF(Store_Setting[[#This Row],[商品名稱]]="","", _xlfn.CONCAT(" | ",Store_Setting[商品名稱])))</f>
        <v>40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Row],[唯一識別碼]],Store_History[類型],$D$80)</f>
        <v>0</v>
      </c>
      <c r="M50" s="84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126" t="s">
        <v>469</v>
      </c>
      <c r="E70" s="21">
        <v>1</v>
      </c>
      <c r="F70" s="92" t="s">
        <v>470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 t="s">
        <v>471</v>
      </c>
      <c r="D71" s="88" t="s">
        <v>187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462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40" customHeight="1">
      <c r="B73" s="81"/>
      <c r="C73" s="42"/>
      <c r="D73" s="88" t="s">
        <v>169</v>
      </c>
      <c r="E73" s="21" t="s">
        <v>80</v>
      </c>
      <c r="F73" s="92"/>
      <c r="G73" s="91"/>
      <c r="H73" s="91"/>
      <c r="I73" s="91"/>
      <c r="J73" s="91"/>
      <c r="K73" s="91"/>
      <c r="L73" s="91"/>
      <c r="M73" s="91"/>
      <c r="N73" s="91"/>
      <c r="O73" s="91"/>
    </row>
    <row r="74" spans="2:15" s="115" customFormat="1" ht="8.25" customHeight="1">
      <c r="B74" s="116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</row>
    <row r="75" spans="2:15" s="115" customFormat="1" ht="40" customHeight="1">
      <c r="B75" s="118" t="s">
        <v>153</v>
      </c>
      <c r="C75" s="119" t="s">
        <v>464</v>
      </c>
      <c r="D75" s="120" t="s">
        <v>465</v>
      </c>
      <c r="E75" s="21" t="s">
        <v>81</v>
      </c>
      <c r="F75" s="121" t="s">
        <v>467</v>
      </c>
      <c r="G75" s="122"/>
      <c r="H75" s="122"/>
      <c r="I75" s="122"/>
      <c r="J75" s="122"/>
      <c r="K75" s="122"/>
      <c r="L75" s="122"/>
      <c r="M75" s="122"/>
      <c r="N75" s="122"/>
      <c r="O75" s="122"/>
    </row>
    <row r="76" spans="2:15" s="115" customFormat="1" ht="40" customHeight="1">
      <c r="B76" s="118"/>
      <c r="C76" s="119"/>
      <c r="D76" s="120" t="s">
        <v>466</v>
      </c>
      <c r="E76" s="125"/>
      <c r="F76" s="123"/>
      <c r="G76" s="123"/>
      <c r="H76" s="123"/>
      <c r="I76" s="123"/>
      <c r="J76" s="123"/>
      <c r="K76" s="123"/>
      <c r="L76" s="123"/>
      <c r="M76" s="123"/>
      <c r="N76" s="123"/>
      <c r="O76" s="124"/>
    </row>
    <row r="77" spans="2:15" ht="8.15" hidden="1" customHeight="1"/>
    <row r="78" spans="2:15" ht="40" hidden="1" customHeight="1">
      <c r="B78" s="94" t="s">
        <v>159</v>
      </c>
      <c r="C78" s="42" t="s">
        <v>211</v>
      </c>
      <c r="D78" s="95" t="s">
        <v>3</v>
      </c>
      <c r="E78" s="95" t="s">
        <v>4</v>
      </c>
      <c r="F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2:15" ht="8.15" hidden="1" customHeight="1">
      <c r="B79" s="86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</row>
    <row r="80" spans="2:15" ht="40" hidden="1" customHeight="1">
      <c r="B80" s="94" t="s">
        <v>426</v>
      </c>
      <c r="C80" s="42" t="s">
        <v>468</v>
      </c>
      <c r="D80" s="95" t="s">
        <v>189</v>
      </c>
      <c r="E80" s="95" t="s">
        <v>190</v>
      </c>
      <c r="F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2:15" ht="8.15" hidden="1" customHeight="1">
      <c r="B81" s="86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</row>
    <row r="82" spans="2:15" ht="40" hidden="1" customHeight="1">
      <c r="B82" s="94" t="s">
        <v>463</v>
      </c>
      <c r="C82" s="42" t="s">
        <v>199</v>
      </c>
      <c r="D82" s="95" t="s">
        <v>5</v>
      </c>
      <c r="E82" s="95" t="s">
        <v>6</v>
      </c>
      <c r="F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2:15" ht="8.15" customHeight="1">
      <c r="B83" s="86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</row>
    <row r="84" spans="2:15" ht="40" customHeight="1">
      <c r="B84" s="94" t="s">
        <v>181</v>
      </c>
      <c r="C84" s="97" t="s">
        <v>166</v>
      </c>
      <c r="D84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187</v>
      </c>
      <c r="D85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91"/>
      <c r="F85" s="42"/>
      <c r="G85" s="42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169</v>
      </c>
      <c r="D86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91"/>
      <c r="F86" s="42"/>
      <c r="G86" s="98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167</v>
      </c>
      <c r="D87" s="92" t="str">
        <f>_xlfn.CONCAT("共有 ", COUNTA(Get_Staff_Member)," 位元員工")</f>
        <v>共有 2 位元員工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40" customHeight="1">
      <c r="B88" s="94"/>
      <c r="C88" s="97" t="s">
        <v>188</v>
      </c>
      <c r="D88" s="92" t="str">
        <f>_xlfn.CONCAT("已設定 ", COUNTA(Get_Work_Unit)," 個單位")</f>
        <v>已設定 7 個單位</v>
      </c>
      <c r="E88" s="91"/>
      <c r="F88" s="42"/>
      <c r="G88" s="42"/>
      <c r="H88" s="42"/>
      <c r="I88" s="42"/>
      <c r="J88" s="42"/>
      <c r="K88" s="42"/>
      <c r="L88" s="42"/>
      <c r="M88" s="42"/>
      <c r="N88" s="42"/>
      <c r="O88" s="42"/>
    </row>
    <row r="89" spans="2:15" ht="16" customHeight="1"/>
    <row r="90" spans="2:15" ht="40" customHeight="1">
      <c r="B90" s="99" t="s">
        <v>193</v>
      </c>
      <c r="C90" s="99"/>
      <c r="D90" s="99"/>
      <c r="E90" s="99"/>
    </row>
    <row r="91" spans="2:15" ht="40" customHeight="1">
      <c r="B91" s="100" t="s">
        <v>191</v>
      </c>
      <c r="C91" s="8" t="s">
        <v>83</v>
      </c>
      <c r="D91" s="9"/>
      <c r="E91" s="9"/>
    </row>
    <row r="92" spans="2:15" ht="40" customHeight="1">
      <c r="B92" s="100" t="s">
        <v>12</v>
      </c>
      <c r="C92" s="101" t="s">
        <v>11</v>
      </c>
      <c r="D92" s="102"/>
      <c r="E92" s="102"/>
    </row>
    <row r="93" spans="2:15" ht="40" customHeight="1">
      <c r="B93" s="100" t="s">
        <v>192</v>
      </c>
      <c r="C93" s="8" t="s">
        <v>82</v>
      </c>
      <c r="D93" s="9"/>
      <c r="E93" s="9"/>
    </row>
    <row r="94" spans="2:15" ht="40" customHeight="1">
      <c r="B94" s="100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9" t="s">
        <v>215</v>
      </c>
      <c r="DU4" s="129"/>
      <c r="DV4" s="129"/>
      <c r="DW4" s="129"/>
      <c r="DX4" s="129"/>
      <c r="DY4" s="129" t="s">
        <v>214</v>
      </c>
      <c r="DZ4" s="129"/>
      <c r="EA4" s="129"/>
      <c r="EB4" s="129" t="s">
        <v>213</v>
      </c>
      <c r="EC4" s="129"/>
      <c r="ED4" s="41" t="s">
        <v>423</v>
      </c>
      <c r="EE4" s="130" t="s">
        <v>268</v>
      </c>
      <c r="EF4" s="130"/>
      <c r="EG4" s="130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72" priority="26">
      <formula>MOD(ROW(),2)=0</formula>
    </cfRule>
    <cfRule type="expression" dxfId="371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9" t="s">
        <v>54</v>
      </c>
      <c r="AS4" s="129"/>
      <c r="AT4" s="129"/>
      <c r="AU4" s="129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40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2024-03-01T12:41:06Z</dcterms:modified>
</cp:coreProperties>
</file>