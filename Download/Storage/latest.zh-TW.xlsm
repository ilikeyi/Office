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8723B41-B6F8-44E7-AA4F-F1980B792C2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設定!$D$73:$E$73</definedName>
    <definedName name="Get_GUID">UserInfo[唯一識別碼]</definedName>
    <definedName name="Get_Keep_inventory">設定!$D$71:$E$71</definedName>
    <definedName name="Get_Staff_Member">設定!$D$53:$O$53</definedName>
    <definedName name="Get_Store_Uid">Store_Setting[唯一識別碼]</definedName>
    <definedName name="Get_Type_of_Access">設定!$D$69:$E$69</definedName>
    <definedName name="Get_Work_Unit">設定!$D$64:$O$64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7" i="1"/>
  <c r="D76" i="1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14" i="1"/>
  <c r="G36" i="1"/>
  <c r="G38" i="1"/>
  <c r="G23" i="1"/>
  <c r="G22" i="1"/>
  <c r="G46" i="1"/>
  <c r="G21" i="1"/>
  <c r="G32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<sst xmlns="http://schemas.openxmlformats.org/spreadsheetml/2006/main" count="678" uniqueCount="489">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</sst>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4" customFormat="1" ht="6" customHeight="1" x14ac:dyDescent="0.4"/>
    <row r="2" spans="2:19" s="22" customFormat="1" ht="10" customHeight="1" x14ac:dyDescent="0.4"/>
    <row r="3" spans="2:19" s="22" customFormat="1" ht="40" customHeight="1" x14ac:dyDescent="0.45">
      <c r="B3" s="23"/>
      <c r="C3" s="41" t="s">
        <v>206</v>
      </c>
    </row>
    <row r="4" spans="2:19" s="22" customFormat="1" ht="8.15" customHeight="1" x14ac:dyDescent="0.4">
      <c r="B4" s="23"/>
      <c r="C4" s="24"/>
    </row>
    <row r="5" spans="2:19" s="22" customFormat="1" ht="40" customHeight="1" x14ac:dyDescent="0.4">
      <c r="B5" s="23"/>
      <c r="C5" s="42" t="s">
        <v>231</v>
      </c>
    </row>
    <row r="6" spans="2:19" ht="16.5" customHeight="1" x14ac:dyDescent="0.4">
      <c r="G6" s="25"/>
      <c r="H6" s="25"/>
      <c r="I6" s="25"/>
      <c r="J6" s="25"/>
      <c r="K6" s="25"/>
    </row>
    <row r="7" spans="2:19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15" customHeight="1" x14ac:dyDescent="0.4"/>
    <row r="9" spans="2:19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3" t="s">
        <v>243</v>
      </c>
      <c r="I9" s="163"/>
      <c r="J9" s="163"/>
      <c r="K9" s="164" t="s">
        <v>244</v>
      </c>
      <c r="L9" s="164"/>
      <c r="M9" s="164"/>
      <c r="N9" s="164" t="s">
        <v>477</v>
      </c>
      <c r="O9" s="164"/>
      <c r="P9" s="164" t="s">
        <v>476</v>
      </c>
      <c r="Q9" s="164"/>
      <c r="R9" s="164"/>
      <c r="S9" s="164"/>
    </row>
    <row r="10" spans="2:19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  <c r="N10" s="28" t="s">
        <v>479</v>
      </c>
      <c r="O10" s="28" t="s">
        <v>478</v>
      </c>
      <c r="P10" s="162" t="s">
        <v>338</v>
      </c>
      <c r="Q10" s="162" t="s">
        <v>339</v>
      </c>
      <c r="R10" s="162" t="s">
        <v>340</v>
      </c>
      <c r="S10" s="162" t="s">
        <v>341</v>
      </c>
    </row>
    <row r="11" spans="2:19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83</v>
      </c>
      <c r="O11" s="19" t="s">
        <v>83</v>
      </c>
      <c r="P11" s="54" t="s">
        <v>342</v>
      </c>
      <c r="Q11" s="54" t="s">
        <v>343</v>
      </c>
      <c r="R11" s="54" t="s">
        <v>344</v>
      </c>
      <c r="S11" s="54" t="s">
        <v>345</v>
      </c>
    </row>
    <row r="12" spans="2:19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83</v>
      </c>
      <c r="O12" s="19" t="s">
        <v>83</v>
      </c>
      <c r="P12" s="54" t="s">
        <v>346</v>
      </c>
      <c r="Q12" s="54" t="s">
        <v>347</v>
      </c>
      <c r="R12" s="54" t="s">
        <v>348</v>
      </c>
      <c r="S12" s="54" t="s">
        <v>343</v>
      </c>
    </row>
    <row r="13" spans="2:19" ht="40" customHeight="1" x14ac:dyDescent="0.4">
      <c r="B13" s="26"/>
      <c r="C13" s="27"/>
      <c r="D13" s="38" t="str">
        <f>CONCATENATE(Store_Setting[[#This Row],[商品序號]], " | ", Store_Setting[[#This Row],[商品名稱]])</f>
        <v xml:space="preserve">3 | </v>
      </c>
      <c r="E13" s="17">
        <v>3</v>
      </c>
      <c r="F13" s="120"/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83</v>
      </c>
      <c r="O13" s="19" t="s">
        <v>83</v>
      </c>
      <c r="P13" s="54" t="s">
        <v>349</v>
      </c>
      <c r="Q13" s="54" t="s">
        <v>350</v>
      </c>
      <c r="R13" s="54" t="s">
        <v>351</v>
      </c>
      <c r="S13" s="54" t="s">
        <v>344</v>
      </c>
    </row>
    <row r="14" spans="2:19" ht="40" customHeight="1" x14ac:dyDescent="0.4">
      <c r="B14" s="26"/>
      <c r="C14" s="27"/>
      <c r="D14" s="38" t="str">
        <f>CONCATENATE(Store_Setting[[#This Row],[商品序號]], " | ", Store_Setting[[#This Row],[商品名稱]])</f>
        <v xml:space="preserve">4 | </v>
      </c>
      <c r="E14" s="17">
        <v>4</v>
      </c>
      <c r="F14" s="120"/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83</v>
      </c>
      <c r="O14" s="19" t="s">
        <v>83</v>
      </c>
      <c r="P14" s="54" t="s">
        <v>352</v>
      </c>
      <c r="Q14" s="54" t="s">
        <v>353</v>
      </c>
      <c r="R14" s="54" t="s">
        <v>354</v>
      </c>
      <c r="S14" s="54" t="s">
        <v>355</v>
      </c>
    </row>
    <row r="15" spans="2:19" ht="40" customHeight="1" x14ac:dyDescent="0.4">
      <c r="B15" s="26"/>
      <c r="C15" s="27"/>
      <c r="D15" s="38" t="str">
        <f>CONCATENATE(Store_Setting[[#This Row],[商品序號]], " | ", Store_Setting[[#This Row],[商品名稱]])</f>
        <v xml:space="preserve">5 | </v>
      </c>
      <c r="E15" s="17">
        <v>5</v>
      </c>
      <c r="F15" s="120"/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83</v>
      </c>
      <c r="O15" s="19" t="s">
        <v>83</v>
      </c>
      <c r="P15" s="54" t="s">
        <v>356</v>
      </c>
      <c r="Q15" s="54" t="s">
        <v>357</v>
      </c>
      <c r="R15" s="54" t="s">
        <v>358</v>
      </c>
      <c r="S15" s="54" t="s">
        <v>347</v>
      </c>
    </row>
    <row r="16" spans="2:19" ht="40" customHeight="1" x14ac:dyDescent="0.4">
      <c r="B16" s="26"/>
      <c r="C16" s="27"/>
      <c r="D16" s="38" t="str">
        <f>CONCATENATE(Store_Setting[[#This Row],[商品序號]], " | ", Store_Setting[[#This Row],[商品名稱]])</f>
        <v xml:space="preserve">6 | </v>
      </c>
      <c r="E16" s="17">
        <v>6</v>
      </c>
      <c r="F16" s="120"/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83</v>
      </c>
      <c r="O16" s="19" t="s">
        <v>83</v>
      </c>
      <c r="P16" s="54" t="s">
        <v>359</v>
      </c>
      <c r="Q16" s="54" t="s">
        <v>360</v>
      </c>
      <c r="R16" s="54" t="s">
        <v>361</v>
      </c>
      <c r="S16" s="54" t="s">
        <v>348</v>
      </c>
    </row>
    <row r="17" spans="2:19" ht="40" customHeight="1" x14ac:dyDescent="0.4">
      <c r="B17" s="26"/>
      <c r="C17" s="27"/>
      <c r="D17" s="38" t="str">
        <f>CONCATENATE(Store_Setting[[#This Row],[商品序號]], " | ", Store_Setting[[#This Row],[商品名稱]])</f>
        <v xml:space="preserve">7 | </v>
      </c>
      <c r="E17" s="17">
        <v>7</v>
      </c>
      <c r="F17" s="120"/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83</v>
      </c>
      <c r="O17" s="19" t="s">
        <v>83</v>
      </c>
      <c r="P17" s="54" t="s">
        <v>362</v>
      </c>
      <c r="Q17" s="54" t="s">
        <v>363</v>
      </c>
      <c r="R17" s="54" t="s">
        <v>364</v>
      </c>
      <c r="S17" s="54" t="s">
        <v>365</v>
      </c>
    </row>
    <row r="18" spans="2:19" ht="40" customHeight="1" x14ac:dyDescent="0.4">
      <c r="B18" s="26"/>
      <c r="C18" s="27"/>
      <c r="D18" s="38" t="str">
        <f>CONCATENATE(Store_Setting[[#This Row],[商品序號]], " | ", Store_Setting[[#This Row],[商品名稱]])</f>
        <v xml:space="preserve">8 | </v>
      </c>
      <c r="E18" s="17">
        <v>8</v>
      </c>
      <c r="F18" s="120"/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83</v>
      </c>
      <c r="O18" s="19" t="s">
        <v>83</v>
      </c>
      <c r="P18" s="54" t="s">
        <v>366</v>
      </c>
      <c r="Q18" s="54" t="s">
        <v>367</v>
      </c>
      <c r="R18" s="54" t="s">
        <v>368</v>
      </c>
      <c r="S18" s="54" t="s">
        <v>350</v>
      </c>
    </row>
    <row r="19" spans="2:19" ht="40" customHeight="1" x14ac:dyDescent="0.4">
      <c r="B19" s="26"/>
      <c r="C19" s="27"/>
      <c r="D19" s="38" t="str">
        <f>CONCATENATE(Store_Setting[[#This Row],[商品序號]], " | ", Store_Setting[[#This Row],[商品名稱]])</f>
        <v xml:space="preserve">9 | </v>
      </c>
      <c r="E19" s="17">
        <v>9</v>
      </c>
      <c r="F19" s="120"/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83</v>
      </c>
      <c r="O19" s="19" t="s">
        <v>83</v>
      </c>
      <c r="P19" s="54" t="s">
        <v>369</v>
      </c>
      <c r="Q19" s="54" t="s">
        <v>370</v>
      </c>
      <c r="R19" s="54" t="s">
        <v>371</v>
      </c>
      <c r="S19" s="54" t="s">
        <v>351</v>
      </c>
    </row>
    <row r="20" spans="2:19" ht="40" customHeight="1" x14ac:dyDescent="0.4">
      <c r="B20" s="26"/>
      <c r="C20" s="27"/>
      <c r="D20" s="38" t="str">
        <f>CONCATENATE(Store_Setting[[#This Row],[商品序號]], " | ", Store_Setting[[#This Row],[商品名稱]])</f>
        <v xml:space="preserve">10 | </v>
      </c>
      <c r="E20" s="17">
        <v>10</v>
      </c>
      <c r="F20" s="120"/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83</v>
      </c>
      <c r="O20" s="19" t="s">
        <v>83</v>
      </c>
      <c r="P20" s="54" t="s">
        <v>372</v>
      </c>
      <c r="Q20" s="54" t="s">
        <v>373</v>
      </c>
      <c r="R20" s="54" t="s">
        <v>374</v>
      </c>
      <c r="S20" s="54" t="s">
        <v>375</v>
      </c>
    </row>
    <row r="21" spans="2:19" ht="40" customHeight="1" x14ac:dyDescent="0.4">
      <c r="B21" s="26"/>
      <c r="C21" s="27"/>
      <c r="D21" s="38" t="str">
        <f>CONCATENATE(Store_Setting[[#This Row],[商品序號]], " | ", Store_Setting[[#This Row],[商品名稱]])</f>
        <v xml:space="preserve">11 | </v>
      </c>
      <c r="E21" s="17">
        <v>11</v>
      </c>
      <c r="F21" s="120"/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83</v>
      </c>
      <c r="O21" s="19" t="s">
        <v>83</v>
      </c>
      <c r="P21" s="54" t="s">
        <v>376</v>
      </c>
      <c r="Q21" s="54" t="s">
        <v>377</v>
      </c>
      <c r="R21" s="54" t="s">
        <v>378</v>
      </c>
      <c r="S21" s="54" t="s">
        <v>353</v>
      </c>
    </row>
    <row r="22" spans="2:19" ht="40" customHeight="1" x14ac:dyDescent="0.4">
      <c r="B22" s="26"/>
      <c r="C22" s="27"/>
      <c r="D22" s="38" t="str">
        <f>CONCATENATE(Store_Setting[[#This Row],[商品序號]], " | ", Store_Setting[[#This Row],[商品名稱]])</f>
        <v xml:space="preserve">12 | </v>
      </c>
      <c r="E22" s="17">
        <v>12</v>
      </c>
      <c r="F22" s="120"/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83</v>
      </c>
      <c r="O22" s="19" t="s">
        <v>83</v>
      </c>
      <c r="P22" s="54" t="s">
        <v>379</v>
      </c>
      <c r="Q22" s="54" t="s">
        <v>380</v>
      </c>
      <c r="R22" s="54" t="s">
        <v>381</v>
      </c>
      <c r="S22" s="54" t="s">
        <v>354</v>
      </c>
    </row>
    <row r="23" spans="2:19" ht="40" customHeight="1" x14ac:dyDescent="0.4">
      <c r="B23" s="26"/>
      <c r="C23" s="27"/>
      <c r="D23" s="38" t="str">
        <f>CONCATENATE(Store_Setting[[#This Row],[商品序號]], " | ", Store_Setting[[#This Row],[商品名稱]])</f>
        <v xml:space="preserve">13 | </v>
      </c>
      <c r="E23" s="17">
        <v>13</v>
      </c>
      <c r="F23" s="120"/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83</v>
      </c>
      <c r="O23" s="19" t="s">
        <v>83</v>
      </c>
      <c r="P23" s="54" t="s">
        <v>382</v>
      </c>
      <c r="Q23" s="54" t="s">
        <v>383</v>
      </c>
      <c r="R23" s="54" t="s">
        <v>384</v>
      </c>
      <c r="S23" s="54" t="s">
        <v>385</v>
      </c>
    </row>
    <row r="24" spans="2:19" ht="40" customHeight="1" x14ac:dyDescent="0.4">
      <c r="B24" s="26"/>
      <c r="C24" s="27"/>
      <c r="D24" s="38" t="str">
        <f>CONCATENATE(Store_Setting[[#This Row],[商品序號]], " | ", Store_Setting[[#This Row],[商品名稱]])</f>
        <v xml:space="preserve">14 | </v>
      </c>
      <c r="E24" s="17">
        <v>14</v>
      </c>
      <c r="F24" s="120"/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83</v>
      </c>
      <c r="O24" s="19" t="s">
        <v>83</v>
      </c>
      <c r="P24" s="54" t="s">
        <v>386</v>
      </c>
      <c r="Q24" s="54" t="s">
        <v>387</v>
      </c>
      <c r="R24" s="54" t="s">
        <v>388</v>
      </c>
      <c r="S24" s="54" t="s">
        <v>357</v>
      </c>
    </row>
    <row r="25" spans="2:19" ht="40" customHeight="1" x14ac:dyDescent="0.4">
      <c r="B25" s="26"/>
      <c r="C25" s="27"/>
      <c r="D25" s="38" t="str">
        <f>CONCATENATE(Store_Setting[[#This Row],[商品序號]], " | ", Store_Setting[[#This Row],[商品名稱]])</f>
        <v xml:space="preserve">15 | </v>
      </c>
      <c r="E25" s="17">
        <v>15</v>
      </c>
      <c r="F25" s="120"/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83</v>
      </c>
      <c r="O25" s="19" t="s">
        <v>83</v>
      </c>
      <c r="P25" s="54" t="s">
        <v>389</v>
      </c>
      <c r="Q25" s="54" t="s">
        <v>390</v>
      </c>
      <c r="R25" s="54" t="s">
        <v>391</v>
      </c>
      <c r="S25" s="54" t="s">
        <v>358</v>
      </c>
    </row>
    <row r="26" spans="2:19" ht="40" customHeight="1" x14ac:dyDescent="0.4">
      <c r="B26" s="26"/>
      <c r="C26" s="27"/>
      <c r="D26" s="38" t="str">
        <f>CONCATENATE(Store_Setting[[#This Row],[商品序號]], " | ", Store_Setting[[#This Row],[商品名稱]])</f>
        <v xml:space="preserve">16 | </v>
      </c>
      <c r="E26" s="17">
        <v>16</v>
      </c>
      <c r="F26" s="120"/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83</v>
      </c>
      <c r="O26" s="19" t="s">
        <v>83</v>
      </c>
      <c r="P26" s="54" t="s">
        <v>392</v>
      </c>
      <c r="Q26" s="54" t="s">
        <v>393</v>
      </c>
      <c r="R26" s="54" t="s">
        <v>394</v>
      </c>
      <c r="S26" s="54" t="s">
        <v>395</v>
      </c>
    </row>
    <row r="27" spans="2:19" ht="40" customHeight="1" x14ac:dyDescent="0.4">
      <c r="B27" s="26"/>
      <c r="C27" s="27"/>
      <c r="D27" s="38" t="str">
        <f>CONCATENATE(Store_Setting[[#This Row],[商品序號]], " | ", Store_Setting[[#This Row],[商品名稱]])</f>
        <v xml:space="preserve">17 | </v>
      </c>
      <c r="E27" s="17">
        <v>17</v>
      </c>
      <c r="F27" s="120"/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83</v>
      </c>
      <c r="O27" s="19" t="s">
        <v>83</v>
      </c>
      <c r="P27" s="54" t="s">
        <v>396</v>
      </c>
      <c r="Q27" s="54" t="s">
        <v>397</v>
      </c>
      <c r="R27" s="54" t="s">
        <v>398</v>
      </c>
      <c r="S27" s="54" t="s">
        <v>360</v>
      </c>
    </row>
    <row r="28" spans="2:19" ht="40" customHeight="1" x14ac:dyDescent="0.4">
      <c r="B28" s="26"/>
      <c r="C28" s="27"/>
      <c r="D28" s="38" t="str">
        <f>CONCATENATE(Store_Setting[[#This Row],[商品序號]], " | ", Store_Setting[[#This Row],[商品名稱]])</f>
        <v xml:space="preserve">18 | </v>
      </c>
      <c r="E28" s="17">
        <v>18</v>
      </c>
      <c r="F28" s="120"/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83</v>
      </c>
      <c r="O28" s="19" t="s">
        <v>83</v>
      </c>
      <c r="P28" s="54" t="s">
        <v>399</v>
      </c>
      <c r="Q28" s="54" t="s">
        <v>400</v>
      </c>
      <c r="R28" s="54" t="s">
        <v>401</v>
      </c>
      <c r="S28" s="54" t="s">
        <v>361</v>
      </c>
    </row>
    <row r="29" spans="2:19" ht="40" customHeight="1" x14ac:dyDescent="0.4">
      <c r="B29" s="26"/>
      <c r="C29" s="27"/>
      <c r="D29" s="38" t="str">
        <f>CONCATENATE(Store_Setting[[#This Row],[商品序號]], " | ", Store_Setting[[#This Row],[商品名稱]])</f>
        <v xml:space="preserve">19 | </v>
      </c>
      <c r="E29" s="17">
        <v>19</v>
      </c>
      <c r="F29" s="120"/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83</v>
      </c>
      <c r="O29" s="19" t="s">
        <v>83</v>
      </c>
      <c r="P29" s="54" t="s">
        <v>402</v>
      </c>
      <c r="Q29" s="54" t="s">
        <v>403</v>
      </c>
      <c r="R29" s="54" t="s">
        <v>404</v>
      </c>
      <c r="S29" s="54" t="s">
        <v>405</v>
      </c>
    </row>
    <row r="30" spans="2:19" ht="40" customHeight="1" x14ac:dyDescent="0.4">
      <c r="B30" s="26"/>
      <c r="C30" s="27"/>
      <c r="D30" s="38" t="str">
        <f>CONCATENATE(Store_Setting[[#This Row],[商品序號]], " | ", Store_Setting[[#This Row],[商品名稱]])</f>
        <v xml:space="preserve">20 | </v>
      </c>
      <c r="E30" s="17">
        <v>20</v>
      </c>
      <c r="F30" s="120"/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83</v>
      </c>
      <c r="O30" s="19" t="s">
        <v>83</v>
      </c>
      <c r="P30" s="54" t="s">
        <v>406</v>
      </c>
      <c r="Q30" s="54" t="s">
        <v>407</v>
      </c>
      <c r="R30" s="54" t="s">
        <v>408</v>
      </c>
      <c r="S30" s="54" t="s">
        <v>363</v>
      </c>
    </row>
    <row r="31" spans="2:19" ht="40" customHeight="1" x14ac:dyDescent="0.4">
      <c r="B31" s="26"/>
      <c r="C31" s="27"/>
      <c r="D31" s="38" t="str">
        <f>CONCATENATE(Store_Setting[[#This Row],[商品序號]], " | ", Store_Setting[[#This Row],[商品名稱]])</f>
        <v xml:space="preserve">21 | </v>
      </c>
      <c r="E31" s="17">
        <v>21</v>
      </c>
      <c r="F31" s="120"/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83</v>
      </c>
      <c r="O31" s="19" t="s">
        <v>83</v>
      </c>
      <c r="P31" s="54" t="s">
        <v>409</v>
      </c>
      <c r="Q31" s="54" t="s">
        <v>410</v>
      </c>
      <c r="R31" s="54" t="s">
        <v>411</v>
      </c>
      <c r="S31" s="54" t="s">
        <v>364</v>
      </c>
    </row>
    <row r="32" spans="2:19" ht="40" customHeight="1" x14ac:dyDescent="0.4">
      <c r="B32" s="26"/>
      <c r="C32" s="27"/>
      <c r="D32" s="38" t="str">
        <f>CONCATENATE(Store_Setting[[#This Row],[商品序號]], " | ", Store_Setting[[#This Row],[商品名稱]])</f>
        <v xml:space="preserve">22 | </v>
      </c>
      <c r="E32" s="17">
        <v>22</v>
      </c>
      <c r="F32" s="120"/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83</v>
      </c>
      <c r="O32" s="19" t="s">
        <v>83</v>
      </c>
      <c r="P32" s="54" t="s">
        <v>412</v>
      </c>
      <c r="Q32" s="54" t="s">
        <v>413</v>
      </c>
      <c r="R32" s="54" t="s">
        <v>414</v>
      </c>
      <c r="S32" s="54" t="s">
        <v>415</v>
      </c>
    </row>
    <row r="33" spans="2:19" ht="40" customHeight="1" x14ac:dyDescent="0.4">
      <c r="B33" s="26"/>
      <c r="C33" s="27"/>
      <c r="D33" s="38" t="str">
        <f>CONCATENATE(Store_Setting[[#This Row],[商品序號]], " | ", Store_Setting[[#This Row],[商品名稱]])</f>
        <v xml:space="preserve">23 | </v>
      </c>
      <c r="E33" s="17">
        <v>23</v>
      </c>
      <c r="F33" s="120"/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83</v>
      </c>
      <c r="O33" s="19" t="s">
        <v>83</v>
      </c>
      <c r="P33" s="54" t="s">
        <v>416</v>
      </c>
      <c r="Q33" s="54" t="s">
        <v>417</v>
      </c>
      <c r="R33" s="54" t="s">
        <v>418</v>
      </c>
      <c r="S33" s="54" t="s">
        <v>367</v>
      </c>
    </row>
    <row r="34" spans="2:19" ht="40" customHeight="1" x14ac:dyDescent="0.4">
      <c r="B34" s="26"/>
      <c r="C34" s="27"/>
      <c r="D34" s="38" t="str">
        <f>CONCATENATE(Store_Setting[[#This Row],[商品序號]], " | ", Store_Setting[[#This Row],[商品名稱]])</f>
        <v xml:space="preserve">24 | </v>
      </c>
      <c r="E34" s="17">
        <v>24</v>
      </c>
      <c r="F34" s="120"/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83</v>
      </c>
      <c r="O34" s="19" t="s">
        <v>83</v>
      </c>
      <c r="P34" s="54" t="s">
        <v>419</v>
      </c>
      <c r="Q34" s="54" t="s">
        <v>420</v>
      </c>
      <c r="R34" s="54" t="s">
        <v>421</v>
      </c>
      <c r="S34" s="54" t="s">
        <v>368</v>
      </c>
    </row>
    <row r="35" spans="2:19" ht="40" customHeight="1" x14ac:dyDescent="0.4">
      <c r="B35" s="26"/>
      <c r="C35" s="27"/>
      <c r="D35" s="38" t="str">
        <f>CONCATENATE(Store_Setting[[#This Row],[商品序號]], " | ", Store_Setting[[#This Row],[商品名稱]])</f>
        <v xml:space="preserve">25 | </v>
      </c>
      <c r="E35" s="17">
        <v>25</v>
      </c>
      <c r="F35" s="120"/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83</v>
      </c>
      <c r="O35" s="19" t="s">
        <v>83</v>
      </c>
      <c r="P35" s="54" t="s">
        <v>422</v>
      </c>
      <c r="Q35" s="54" t="s">
        <v>423</v>
      </c>
      <c r="R35" s="54" t="s">
        <v>424</v>
      </c>
      <c r="S35" s="54" t="s">
        <v>425</v>
      </c>
    </row>
    <row r="36" spans="2:19" ht="40" customHeight="1" x14ac:dyDescent="0.4">
      <c r="B36" s="26"/>
      <c r="C36" s="27"/>
      <c r="D36" s="38" t="str">
        <f>CONCATENATE(Store_Setting[[#This Row],[商品序號]], " | ", Store_Setting[[#This Row],[商品名稱]])</f>
        <v xml:space="preserve">26 | </v>
      </c>
      <c r="E36" s="17">
        <v>26</v>
      </c>
      <c r="F36" s="120"/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83</v>
      </c>
      <c r="O36" s="19" t="s">
        <v>83</v>
      </c>
      <c r="P36" s="54" t="s">
        <v>426</v>
      </c>
      <c r="Q36" s="54" t="s">
        <v>427</v>
      </c>
      <c r="R36" s="54" t="s">
        <v>428</v>
      </c>
      <c r="S36" s="54" t="s">
        <v>370</v>
      </c>
    </row>
    <row r="37" spans="2:19" ht="40" customHeight="1" x14ac:dyDescent="0.4">
      <c r="B37" s="26"/>
      <c r="C37" s="27"/>
      <c r="D37" s="38" t="str">
        <f>CONCATENATE(Store_Setting[[#This Row],[商品序號]], " | ", Store_Setting[[#This Row],[商品名稱]])</f>
        <v xml:space="preserve">27 | </v>
      </c>
      <c r="E37" s="17">
        <v>27</v>
      </c>
      <c r="F37" s="120"/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83</v>
      </c>
      <c r="O37" s="19" t="s">
        <v>83</v>
      </c>
      <c r="P37" s="54" t="s">
        <v>429</v>
      </c>
      <c r="Q37" s="54" t="s">
        <v>430</v>
      </c>
      <c r="R37" s="54" t="s">
        <v>431</v>
      </c>
      <c r="S37" s="54" t="s">
        <v>371</v>
      </c>
    </row>
    <row r="38" spans="2:19" ht="40" customHeight="1" x14ac:dyDescent="0.4">
      <c r="B38" s="26"/>
      <c r="C38" s="27"/>
      <c r="D38" s="38" t="str">
        <f>CONCATENATE(Store_Setting[[#This Row],[商品序號]], " | ", Store_Setting[[#This Row],[商品名稱]])</f>
        <v xml:space="preserve">28 | </v>
      </c>
      <c r="E38" s="17">
        <v>28</v>
      </c>
      <c r="F38" s="120"/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83</v>
      </c>
      <c r="O38" s="19" t="s">
        <v>83</v>
      </c>
      <c r="P38" s="54" t="s">
        <v>432</v>
      </c>
      <c r="Q38" s="54" t="s">
        <v>433</v>
      </c>
      <c r="R38" s="54" t="s">
        <v>434</v>
      </c>
      <c r="S38" s="54" t="s">
        <v>435</v>
      </c>
    </row>
    <row r="39" spans="2:19" ht="40" customHeight="1" x14ac:dyDescent="0.4">
      <c r="B39" s="26"/>
      <c r="C39" s="27"/>
      <c r="D39" s="38" t="str">
        <f>CONCATENATE(Store_Setting[[#This Row],[商品序號]], " | ", Store_Setting[[#This Row],[商品名稱]])</f>
        <v xml:space="preserve">29 | </v>
      </c>
      <c r="E39" s="17">
        <v>29</v>
      </c>
      <c r="F39" s="120"/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83</v>
      </c>
      <c r="O39" s="19" t="s">
        <v>83</v>
      </c>
      <c r="P39" s="54" t="s">
        <v>436</v>
      </c>
      <c r="Q39" s="54" t="s">
        <v>437</v>
      </c>
      <c r="R39" s="54" t="s">
        <v>438</v>
      </c>
      <c r="S39" s="54" t="s">
        <v>373</v>
      </c>
    </row>
    <row r="40" spans="2:19" ht="40" customHeight="1" x14ac:dyDescent="0.4">
      <c r="B40" s="26"/>
      <c r="C40" s="27"/>
      <c r="D40" s="38" t="str">
        <f>CONCATENATE(Store_Setting[[#This Row],[商品序號]], " | ", Store_Setting[[#This Row],[商品名稱]])</f>
        <v xml:space="preserve">30 | </v>
      </c>
      <c r="E40" s="17">
        <v>30</v>
      </c>
      <c r="F40" s="120"/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83</v>
      </c>
      <c r="O40" s="19" t="s">
        <v>83</v>
      </c>
      <c r="P40" s="54" t="s">
        <v>439</v>
      </c>
      <c r="Q40" s="54" t="s">
        <v>440</v>
      </c>
      <c r="R40" s="54" t="s">
        <v>441</v>
      </c>
      <c r="S40" s="54" t="s">
        <v>374</v>
      </c>
    </row>
    <row r="41" spans="2:19" ht="40" customHeight="1" x14ac:dyDescent="0.4">
      <c r="B41" s="26"/>
      <c r="C41" s="27"/>
      <c r="D41" s="38" t="str">
        <f>CONCATENATE(Store_Setting[[#This Row],[商品序號]], " | ", Store_Setting[[#This Row],[商品名稱]])</f>
        <v xml:space="preserve">31 | </v>
      </c>
      <c r="E41" s="17">
        <v>31</v>
      </c>
      <c r="F41" s="120"/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83</v>
      </c>
      <c r="O41" s="19" t="s">
        <v>83</v>
      </c>
      <c r="P41" s="54" t="s">
        <v>442</v>
      </c>
      <c r="Q41" s="54" t="s">
        <v>443</v>
      </c>
      <c r="R41" s="54" t="s">
        <v>444</v>
      </c>
      <c r="S41" s="54" t="s">
        <v>445</v>
      </c>
    </row>
    <row r="42" spans="2:19" ht="40" customHeight="1" x14ac:dyDescent="0.4">
      <c r="B42" s="26"/>
      <c r="C42" s="27"/>
      <c r="D42" s="38" t="str">
        <f>CONCATENATE(Store_Setting[[#This Row],[商品序號]], " | ", Store_Setting[[#This Row],[商品名稱]])</f>
        <v xml:space="preserve">32 | </v>
      </c>
      <c r="E42" s="17">
        <v>32</v>
      </c>
      <c r="F42" s="120"/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83</v>
      </c>
      <c r="O42" s="19" t="s">
        <v>83</v>
      </c>
      <c r="P42" s="54" t="s">
        <v>446</v>
      </c>
      <c r="Q42" s="54" t="s">
        <v>447</v>
      </c>
      <c r="R42" s="54" t="s">
        <v>448</v>
      </c>
      <c r="S42" s="54" t="s">
        <v>377</v>
      </c>
    </row>
    <row r="43" spans="2:19" ht="40" customHeight="1" x14ac:dyDescent="0.4">
      <c r="B43" s="26"/>
      <c r="C43" s="27"/>
      <c r="D43" s="38" t="str">
        <f>CONCATENATE(Store_Setting[[#This Row],[商品序號]], " | ", Store_Setting[[#This Row],[商品名稱]])</f>
        <v xml:space="preserve">33 | </v>
      </c>
      <c r="E43" s="17">
        <v>33</v>
      </c>
      <c r="F43" s="120"/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83</v>
      </c>
      <c r="O43" s="19" t="s">
        <v>83</v>
      </c>
      <c r="P43" s="54" t="s">
        <v>449</v>
      </c>
      <c r="Q43" s="54" t="s">
        <v>450</v>
      </c>
      <c r="R43" s="54" t="s">
        <v>451</v>
      </c>
      <c r="S43" s="54" t="s">
        <v>378</v>
      </c>
    </row>
    <row r="44" spans="2:19" ht="40" customHeight="1" x14ac:dyDescent="0.4">
      <c r="B44" s="26"/>
      <c r="C44" s="27"/>
      <c r="D44" s="38" t="str">
        <f>CONCATENATE(Store_Setting[[#This Row],[商品序號]], " | ", Store_Setting[[#This Row],[商品名稱]])</f>
        <v xml:space="preserve">34 | </v>
      </c>
      <c r="E44" s="17">
        <v>34</v>
      </c>
      <c r="F44" s="120"/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83</v>
      </c>
      <c r="O44" s="19" t="s">
        <v>83</v>
      </c>
      <c r="P44" s="54" t="s">
        <v>452</v>
      </c>
      <c r="Q44" s="54" t="s">
        <v>453</v>
      </c>
      <c r="R44" s="54" t="s">
        <v>454</v>
      </c>
      <c r="S44" s="54" t="s">
        <v>455</v>
      </c>
    </row>
    <row r="45" spans="2:19" ht="40" customHeight="1" x14ac:dyDescent="0.4">
      <c r="B45" s="26"/>
      <c r="C45" s="27"/>
      <c r="D45" s="38" t="str">
        <f>CONCATENATE(Store_Setting[[#This Row],[商品序號]], " | ", Store_Setting[[#This Row],[商品名稱]])</f>
        <v xml:space="preserve">35 | </v>
      </c>
      <c r="E45" s="17">
        <v>35</v>
      </c>
      <c r="F45" s="120"/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83</v>
      </c>
      <c r="O45" s="19" t="s">
        <v>83</v>
      </c>
      <c r="P45" s="54" t="s">
        <v>456</v>
      </c>
      <c r="Q45" s="54" t="s">
        <v>457</v>
      </c>
      <c r="R45" s="54" t="s">
        <v>458</v>
      </c>
      <c r="S45" s="54" t="s">
        <v>380</v>
      </c>
    </row>
    <row r="46" spans="2:19" ht="40" customHeight="1" x14ac:dyDescent="0.4">
      <c r="B46" s="26"/>
      <c r="C46" s="27"/>
      <c r="D46" s="38" t="str">
        <f>CONCATENATE(Store_Setting[[#This Row],[商品序號]], " | ", Store_Setting[[#This Row],[商品名稱]])</f>
        <v xml:space="preserve">36 | </v>
      </c>
      <c r="E46" s="17">
        <v>36</v>
      </c>
      <c r="F46" s="120"/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83</v>
      </c>
      <c r="O46" s="19" t="s">
        <v>83</v>
      </c>
      <c r="P46" s="54" t="s">
        <v>459</v>
      </c>
      <c r="Q46" s="54" t="s">
        <v>460</v>
      </c>
      <c r="R46" s="54" t="s">
        <v>461</v>
      </c>
      <c r="S46" s="54" t="s">
        <v>381</v>
      </c>
    </row>
    <row r="47" spans="2:19" ht="40" customHeight="1" x14ac:dyDescent="0.4">
      <c r="B47" s="26"/>
      <c r="C47" s="27"/>
      <c r="D47" s="38" t="str">
        <f>CONCATENATE(Store_Setting[[#This Row],[商品序號]], " | ", Store_Setting[[#This Row],[商品名稱]])</f>
        <v xml:space="preserve">37 | </v>
      </c>
      <c r="E47" s="17">
        <v>37</v>
      </c>
      <c r="F47" s="120"/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83</v>
      </c>
      <c r="O47" s="19" t="s">
        <v>83</v>
      </c>
      <c r="P47" s="54" t="s">
        <v>462</v>
      </c>
      <c r="Q47" s="54" t="s">
        <v>463</v>
      </c>
      <c r="R47" s="54" t="s">
        <v>464</v>
      </c>
      <c r="S47" s="54" t="s">
        <v>465</v>
      </c>
    </row>
    <row r="48" spans="2:19" ht="40" customHeight="1" x14ac:dyDescent="0.4">
      <c r="B48" s="26"/>
      <c r="C48" s="27"/>
      <c r="D48" s="38" t="str">
        <f>CONCATENATE(Store_Setting[[#This Row],[商品序號]], " | ", Store_Setting[[#This Row],[商品名稱]])</f>
        <v xml:space="preserve">38 | </v>
      </c>
      <c r="E48" s="17">
        <v>38</v>
      </c>
      <c r="F48" s="120"/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83</v>
      </c>
      <c r="O48" s="19" t="s">
        <v>83</v>
      </c>
      <c r="P48" s="54" t="s">
        <v>466</v>
      </c>
      <c r="Q48" s="54" t="s">
        <v>467</v>
      </c>
      <c r="R48" s="54" t="s">
        <v>468</v>
      </c>
      <c r="S48" s="54" t="s">
        <v>383</v>
      </c>
    </row>
    <row r="49" spans="2:19" ht="40" customHeight="1" x14ac:dyDescent="0.4">
      <c r="B49" s="26"/>
      <c r="C49" s="27"/>
      <c r="D49" s="38" t="str">
        <f>CONCATENATE(Store_Setting[[#This Row],[商品序號]], " | ", Store_Setting[[#This Row],[商品名稱]])</f>
        <v xml:space="preserve">39 | </v>
      </c>
      <c r="E49" s="17">
        <v>39</v>
      </c>
      <c r="F49" s="120"/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83</v>
      </c>
      <c r="O49" s="19" t="s">
        <v>83</v>
      </c>
      <c r="P49" s="54" t="s">
        <v>469</v>
      </c>
      <c r="Q49" s="54" t="s">
        <v>470</v>
      </c>
      <c r="R49" s="54" t="s">
        <v>471</v>
      </c>
      <c r="S49" s="54" t="s">
        <v>384</v>
      </c>
    </row>
    <row r="50" spans="2:19" ht="40" customHeight="1" x14ac:dyDescent="0.4">
      <c r="B50" s="26"/>
      <c r="C50" s="27"/>
      <c r="D50" s="38" t="str">
        <f>CONCATENATE(Store_Setting[[#This Row],[商品序號]], " | ", Store_Setting[[#This Row],[商品名稱]])</f>
        <v xml:space="preserve">40 | </v>
      </c>
      <c r="E50" s="17">
        <v>40</v>
      </c>
      <c r="F50" s="120"/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83</v>
      </c>
      <c r="O50" s="19" t="s">
        <v>83</v>
      </c>
      <c r="P50" s="54" t="s">
        <v>472</v>
      </c>
      <c r="Q50" s="54" t="s">
        <v>473</v>
      </c>
      <c r="R50" s="54" t="s">
        <v>474</v>
      </c>
      <c r="S50" s="54" t="s">
        <v>475</v>
      </c>
    </row>
    <row r="51" spans="2:19" ht="8.15" customHeight="1" x14ac:dyDescent="0.4">
      <c r="G51" s="60"/>
    </row>
    <row r="52" spans="2:19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  <c r="N53" s="124"/>
      <c r="O53" s="124"/>
    </row>
    <row r="54" spans="2:19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  <c r="N54" s="124"/>
      <c r="O54" s="124"/>
    </row>
    <row r="55" spans="2:19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9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30" t="s">
        <v>481</v>
      </c>
      <c r="K56" s="30" t="s">
        <v>482</v>
      </c>
      <c r="L56" s="30" t="s">
        <v>269</v>
      </c>
      <c r="M56" s="149"/>
      <c r="N56" s="149"/>
      <c r="O56" s="149"/>
    </row>
    <row r="57" spans="2:19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  <c r="N57" s="149"/>
      <c r="O57" s="149"/>
    </row>
    <row r="58" spans="2:19" ht="40" customHeight="1" x14ac:dyDescent="0.4">
      <c r="B58" s="26"/>
      <c r="C58" s="71" t="s">
        <v>486</v>
      </c>
      <c r="D58" s="65" t="s">
        <v>485</v>
      </c>
      <c r="E58" s="65" t="s">
        <v>485</v>
      </c>
      <c r="F58" s="65" t="s">
        <v>484</v>
      </c>
      <c r="G58" s="65" t="s">
        <v>485</v>
      </c>
      <c r="H58" s="65" t="s">
        <v>484</v>
      </c>
      <c r="I58" s="65" t="s">
        <v>484</v>
      </c>
      <c r="J58" s="65" t="s">
        <v>485</v>
      </c>
      <c r="K58" s="65" t="s">
        <v>485</v>
      </c>
      <c r="L58" s="65" t="s">
        <v>485</v>
      </c>
      <c r="M58" s="154" t="s">
        <v>483</v>
      </c>
      <c r="N58" s="149"/>
      <c r="O58" s="149"/>
    </row>
    <row r="59" spans="2:19" ht="40" customHeight="1" x14ac:dyDescent="0.4">
      <c r="B59" s="26"/>
      <c r="C59" s="71" t="s">
        <v>487</v>
      </c>
      <c r="D59" s="65" t="s">
        <v>485</v>
      </c>
      <c r="E59" s="65" t="s">
        <v>485</v>
      </c>
      <c r="F59" s="65" t="s">
        <v>485</v>
      </c>
      <c r="G59" s="65" t="s">
        <v>485</v>
      </c>
      <c r="H59" s="65" t="s">
        <v>485</v>
      </c>
      <c r="I59" s="65" t="s">
        <v>485</v>
      </c>
      <c r="J59" s="154"/>
      <c r="K59" s="65" t="s">
        <v>485</v>
      </c>
      <c r="L59" s="65" t="s">
        <v>485</v>
      </c>
      <c r="M59" s="154"/>
      <c r="N59" s="149"/>
      <c r="O59" s="149"/>
    </row>
    <row r="60" spans="2:19" ht="40" customHeight="1" x14ac:dyDescent="0.4">
      <c r="B60" s="26"/>
      <c r="C60" s="71" t="s">
        <v>259</v>
      </c>
      <c r="D60" s="65" t="s">
        <v>84</v>
      </c>
      <c r="E60" s="150" t="s">
        <v>257</v>
      </c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1" spans="2:19" ht="40" customHeight="1" x14ac:dyDescent="0.4">
      <c r="B61" s="26"/>
      <c r="C61" s="71" t="s">
        <v>326</v>
      </c>
      <c r="D61" s="65" t="s">
        <v>83</v>
      </c>
      <c r="E61" s="150" t="s">
        <v>325</v>
      </c>
      <c r="F61" s="149"/>
      <c r="G61" s="149"/>
      <c r="H61" s="149"/>
      <c r="I61" s="149"/>
      <c r="J61" s="149"/>
      <c r="K61" s="149"/>
      <c r="L61" s="149"/>
      <c r="M61" s="149"/>
      <c r="N61" s="149"/>
      <c r="O61" s="149"/>
    </row>
    <row r="62" spans="2:19" ht="40" customHeight="1" x14ac:dyDescent="0.4">
      <c r="B62" s="26"/>
      <c r="C62" s="71" t="s">
        <v>327</v>
      </c>
      <c r="D62" s="65" t="s">
        <v>83</v>
      </c>
      <c r="E62" s="150" t="s">
        <v>324</v>
      </c>
      <c r="F62" s="149"/>
      <c r="G62" s="149"/>
      <c r="H62" s="149"/>
      <c r="I62" s="149"/>
      <c r="J62" s="149"/>
      <c r="K62" s="149"/>
      <c r="L62" s="149"/>
      <c r="M62" s="149"/>
      <c r="N62" s="149"/>
      <c r="O62" s="149"/>
    </row>
    <row r="63" spans="2:19" ht="8.15" customHeight="1" x14ac:dyDescent="0.4">
      <c r="B63" s="106"/>
      <c r="D63" s="107"/>
      <c r="E63" s="107"/>
      <c r="F63" s="107"/>
      <c r="G63" s="107"/>
      <c r="H63" s="107"/>
      <c r="I63" s="107"/>
      <c r="J63" s="107"/>
      <c r="K63" s="107"/>
      <c r="L63" s="107"/>
      <c r="M63" s="107"/>
    </row>
    <row r="64" spans="2:19" ht="40" customHeight="1" x14ac:dyDescent="0.4">
      <c r="B64" s="26" t="s">
        <v>17</v>
      </c>
      <c r="C64" s="27" t="s">
        <v>249</v>
      </c>
      <c r="D64" s="122" t="s">
        <v>152</v>
      </c>
      <c r="E64" s="122" t="s">
        <v>255</v>
      </c>
      <c r="F64" s="122" t="s">
        <v>153</v>
      </c>
      <c r="G64" s="122" t="s">
        <v>161</v>
      </c>
      <c r="H64" s="122" t="s">
        <v>162</v>
      </c>
      <c r="I64" s="122" t="s">
        <v>163</v>
      </c>
      <c r="J64" s="122" t="s">
        <v>164</v>
      </c>
      <c r="K64" s="122"/>
      <c r="L64" s="122"/>
      <c r="M64" s="122"/>
      <c r="N64" s="122"/>
      <c r="O64" s="122"/>
    </row>
    <row r="65" spans="2:15" ht="40" customHeight="1" x14ac:dyDescent="0.4">
      <c r="B65" s="26"/>
      <c r="C65" s="71" t="s">
        <v>328</v>
      </c>
      <c r="D65" s="65" t="s">
        <v>83</v>
      </c>
      <c r="E65" s="150" t="s">
        <v>256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40" customHeight="1" x14ac:dyDescent="0.4">
      <c r="B66" s="26"/>
      <c r="C66" s="71" t="s">
        <v>329</v>
      </c>
      <c r="D66" s="65" t="s">
        <v>83</v>
      </c>
      <c r="E66" s="150" t="s">
        <v>323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2:15" ht="40" customHeight="1" x14ac:dyDescent="0.4">
      <c r="B67" s="26"/>
      <c r="C67" s="71" t="s">
        <v>330</v>
      </c>
      <c r="D67" s="65" t="s">
        <v>83</v>
      </c>
      <c r="E67" s="150" t="s">
        <v>322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2:15" ht="8.15" customHeight="1" x14ac:dyDescent="0.4"/>
    <row r="69" spans="2:15" ht="40" customHeight="1" x14ac:dyDescent="0.4">
      <c r="B69" s="139" t="s">
        <v>149</v>
      </c>
      <c r="C69" s="27" t="s">
        <v>2</v>
      </c>
      <c r="D69" s="147" t="s">
        <v>5</v>
      </c>
      <c r="E69" s="147" t="s">
        <v>6</v>
      </c>
      <c r="F69" s="148"/>
      <c r="G69" s="148"/>
      <c r="H69" s="148"/>
      <c r="I69" s="148"/>
      <c r="J69" s="148"/>
      <c r="K69" s="148"/>
      <c r="L69" s="148"/>
      <c r="M69" s="148"/>
      <c r="N69" s="148"/>
      <c r="O69" s="148"/>
    </row>
    <row r="70" spans="2:15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" customHeight="1" x14ac:dyDescent="0.4">
      <c r="B71" s="139" t="s">
        <v>160</v>
      </c>
      <c r="C71" s="27" t="s">
        <v>176</v>
      </c>
      <c r="D71" s="147" t="s">
        <v>250</v>
      </c>
      <c r="E71" s="147" t="s">
        <v>251</v>
      </c>
      <c r="F71" s="148"/>
      <c r="G71" s="148"/>
      <c r="H71" s="148"/>
      <c r="I71" s="148"/>
      <c r="J71" s="148"/>
      <c r="K71" s="148"/>
      <c r="L71" s="148"/>
      <c r="M71" s="148"/>
      <c r="N71" s="148"/>
      <c r="O71" s="148"/>
    </row>
    <row r="72" spans="2:15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" customHeight="1" x14ac:dyDescent="0.4">
      <c r="B73" s="139" t="s">
        <v>166</v>
      </c>
      <c r="C73" s="27" t="s">
        <v>0</v>
      </c>
      <c r="D73" s="147" t="s">
        <v>7</v>
      </c>
      <c r="E73" s="147" t="s">
        <v>8</v>
      </c>
      <c r="F73" s="148"/>
      <c r="G73" s="148"/>
      <c r="H73" s="148"/>
      <c r="I73" s="148"/>
      <c r="J73" s="148"/>
      <c r="K73" s="148"/>
      <c r="L73" s="148"/>
      <c r="M73" s="148"/>
      <c r="N73" s="148"/>
      <c r="O73" s="148"/>
    </row>
    <row r="74" spans="2:15" ht="8.15" customHeight="1" x14ac:dyDescent="0.4">
      <c r="B74" s="106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</row>
    <row r="75" spans="2:15" ht="40" customHeight="1" x14ac:dyDescent="0.4">
      <c r="B75" s="139" t="s">
        <v>242</v>
      </c>
      <c r="C75" s="153" t="s">
        <v>193</v>
      </c>
      <c r="D75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5" s="149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40" customHeight="1" x14ac:dyDescent="0.4">
      <c r="B76" s="139"/>
      <c r="C76" s="153" t="s">
        <v>248</v>
      </c>
      <c r="D76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6" s="149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" customHeight="1" x14ac:dyDescent="0.4">
      <c r="B77" s="139"/>
      <c r="C77" s="153" t="s">
        <v>218</v>
      </c>
      <c r="D77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7" s="149"/>
      <c r="F77" s="27"/>
      <c r="G77" s="155"/>
      <c r="H77" s="27"/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139"/>
      <c r="C78" s="153" t="s">
        <v>194</v>
      </c>
      <c r="D78" s="154" t="str">
        <f>_xlfn.CONCAT("共有 ", COUNTA(Get_Staff_Member)," 位元員工")</f>
        <v>共有 2 位元員工</v>
      </c>
      <c r="E78" s="149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139"/>
      <c r="C79" s="153" t="s">
        <v>249</v>
      </c>
      <c r="D79" s="154" t="str">
        <f>_xlfn.CONCAT("已設定 ", COUNTA(Get_Work_Unit)," 個單位")</f>
        <v>已設定 7 個單位</v>
      </c>
      <c r="E79" s="149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2:15" ht="16" customHeight="1" x14ac:dyDescent="0.4"/>
    <row r="81" spans="2:5" ht="40" customHeight="1" x14ac:dyDescent="0.4">
      <c r="B81" s="44" t="s">
        <v>254</v>
      </c>
      <c r="C81" s="44"/>
      <c r="D81" s="44"/>
      <c r="E81" s="44"/>
    </row>
    <row r="82" spans="2:5" ht="40" customHeight="1" x14ac:dyDescent="0.4">
      <c r="B82" s="31" t="s">
        <v>252</v>
      </c>
      <c r="C82" s="36" t="s">
        <v>86</v>
      </c>
      <c r="D82" s="45"/>
      <c r="E82" s="45"/>
    </row>
    <row r="83" spans="2:5" ht="40" customHeight="1" x14ac:dyDescent="0.4">
      <c r="B83" s="31" t="s">
        <v>14</v>
      </c>
      <c r="C83" s="40" t="s">
        <v>13</v>
      </c>
      <c r="D83" s="43"/>
      <c r="E83" s="43"/>
    </row>
    <row r="84" spans="2:5" ht="40" customHeight="1" x14ac:dyDescent="0.4">
      <c r="B84" s="31" t="s">
        <v>253</v>
      </c>
      <c r="C84" s="36" t="s">
        <v>85</v>
      </c>
      <c r="D84" s="45"/>
      <c r="E84" s="45"/>
    </row>
    <row r="85" spans="2:5" ht="40" customHeight="1" x14ac:dyDescent="0.4">
      <c r="B85" s="31" t="s">
        <v>82</v>
      </c>
      <c r="C85" s="36" t="s">
        <v>480</v>
      </c>
      <c r="D85" s="36"/>
      <c r="E85" s="36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4" width="12.69140625" style="143" customWidth="1"/>
    <col min="5" max="6" width="12.69140625" style="143" hidden="1" customWidth="1"/>
    <col min="7" max="7" width="12.69140625" style="143" customWidth="1"/>
    <col min="8" max="123" width="12.69140625" style="143" hidden="1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hidden="1" customWidth="1"/>
    <col min="128" max="128" width="12.69140625" style="85" customWidth="1"/>
    <col min="129" max="129" width="20.69140625" style="97" customWidth="1"/>
    <col min="130" max="130" width="28.69140625" style="97" hidden="1" customWidth="1"/>
    <col min="131" max="131" width="44.69140625" style="97" hidden="1" customWidth="1"/>
    <col min="132" max="132" width="26.69140625" style="86" customWidth="1"/>
    <col min="133" max="133" width="18.69140625" style="77" customWidth="1"/>
    <col min="134" max="134" width="44.69140625" style="131" customWidth="1"/>
    <col min="135" max="135" width="14.69140625" style="113" customWidth="1"/>
    <col min="136" max="137" width="14.69140625" style="161" customWidth="1"/>
    <col min="138" max="138" width="2.69140625" style="13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  <c r="EF5" s="60"/>
      <c r="EG5" s="60"/>
    </row>
    <row r="6" spans="1:138" s="1" customFormat="1" ht="40" customHeight="1" x14ac:dyDescent="0.4">
      <c r="A6" s="60"/>
      <c r="B6" s="60"/>
      <c r="C6" s="140"/>
      <c r="D6" s="159" t="str">
        <f>_xlfn.CONCAT(設定!F11)</f>
        <v>1</v>
      </c>
      <c r="E6" s="159" t="str">
        <f>_xlfn.CONCAT(設定!F11," - 歷史記錄")</f>
        <v>1 - 歷史記錄</v>
      </c>
      <c r="F6" s="159"/>
      <c r="G6" s="157" t="str">
        <f>_xlfn.CONCAT(設定!F12)</f>
        <v>2</v>
      </c>
      <c r="H6" s="157" t="str">
        <f>_xlfn.CONCAT(設定!F12," - 歷史記錄")</f>
        <v>2 - 歷史記錄</v>
      </c>
      <c r="I6" s="157"/>
      <c r="J6" s="159" t="str">
        <f>_xlfn.CONCAT(設定!F13)</f>
        <v/>
      </c>
      <c r="K6" s="159" t="str">
        <f>_xlfn.CONCAT(設定!F13," - 歷史記錄")</f>
        <v xml:space="preserve"> - 歷史記錄</v>
      </c>
      <c r="L6" s="159"/>
      <c r="M6" s="157" t="str">
        <f>_xlfn.CONCAT(設定!F14)</f>
        <v/>
      </c>
      <c r="N6" s="157" t="str">
        <f>_xlfn.CONCAT(設定!F14," - 歷史記錄")</f>
        <v xml:space="preserve"> - 歷史記錄</v>
      </c>
      <c r="O6" s="157"/>
      <c r="P6" s="159" t="str">
        <f>_xlfn.CONCAT(設定!F15)</f>
        <v/>
      </c>
      <c r="Q6" s="159" t="str">
        <f>_xlfn.CONCAT(設定!F15," - 歷史記錄")</f>
        <v xml:space="preserve"> - 歷史記錄</v>
      </c>
      <c r="R6" s="159"/>
      <c r="S6" s="157" t="str">
        <f>_xlfn.CONCAT(設定!F16)</f>
        <v/>
      </c>
      <c r="T6" s="157" t="str">
        <f>_xlfn.CONCAT(設定!F16," - 歷史記錄")</f>
        <v xml:space="preserve"> - 歷史記錄</v>
      </c>
      <c r="U6" s="157"/>
      <c r="V6" s="159" t="str">
        <f>_xlfn.CONCAT(設定!F17)</f>
        <v/>
      </c>
      <c r="W6" s="159" t="str">
        <f>_xlfn.CONCAT(設定!F17," - 歷史記錄")</f>
        <v xml:space="preserve"> - 歷史記錄</v>
      </c>
      <c r="X6" s="159"/>
      <c r="Y6" s="157" t="str">
        <f>_xlfn.CONCAT(設定!F18)</f>
        <v/>
      </c>
      <c r="Z6" s="157" t="str">
        <f>_xlfn.CONCAT(設定!F18," - 歷史記錄")</f>
        <v xml:space="preserve"> - 歷史記錄</v>
      </c>
      <c r="AA6" s="157"/>
      <c r="AB6" s="159" t="str">
        <f>_xlfn.CONCAT(設定!F19)</f>
        <v/>
      </c>
      <c r="AC6" s="159" t="str">
        <f>_xlfn.CONCAT(設定!F19," - 歷史記錄")</f>
        <v xml:space="preserve"> - 歷史記錄</v>
      </c>
      <c r="AD6" s="159"/>
      <c r="AE6" s="157" t="str">
        <f>_xlfn.CONCAT(設定!F20)</f>
        <v/>
      </c>
      <c r="AF6" s="157" t="str">
        <f>_xlfn.CONCAT(設定!F20," - 歷史記錄")</f>
        <v xml:space="preserve"> - 歷史記錄</v>
      </c>
      <c r="AG6" s="157"/>
      <c r="AH6" s="159" t="str">
        <f>_xlfn.CONCAT(設定!F21)</f>
        <v/>
      </c>
      <c r="AI6" s="159" t="str">
        <f>_xlfn.CONCAT(設定!F21," - 歷史記錄")</f>
        <v xml:space="preserve"> - 歷史記錄</v>
      </c>
      <c r="AJ6" s="159"/>
      <c r="AK6" s="157" t="str">
        <f>_xlfn.CONCAT(設定!F22)</f>
        <v/>
      </c>
      <c r="AL6" s="157" t="str">
        <f>_xlfn.CONCAT(設定!F22," - 歷史記錄")</f>
        <v xml:space="preserve"> - 歷史記錄</v>
      </c>
      <c r="AM6" s="157"/>
      <c r="AN6" s="159" t="str">
        <f>_xlfn.CONCAT(設定!F23)</f>
        <v/>
      </c>
      <c r="AO6" s="159" t="str">
        <f>_xlfn.CONCAT(設定!F23," - 歷史記錄")</f>
        <v xml:space="preserve"> - 歷史記錄</v>
      </c>
      <c r="AP6" s="159"/>
      <c r="AQ6" s="157" t="str">
        <f>_xlfn.CONCAT(設定!F24)</f>
        <v/>
      </c>
      <c r="AR6" s="157" t="str">
        <f>_xlfn.CONCAT(設定!F24," - 歷史記錄")</f>
        <v xml:space="preserve"> - 歷史記錄</v>
      </c>
      <c r="AS6" s="157"/>
      <c r="AT6" s="159" t="str">
        <f>_xlfn.CONCAT(設定!F25)</f>
        <v/>
      </c>
      <c r="AU6" s="159" t="str">
        <f>_xlfn.CONCAT(設定!F25," - 歷史記錄")</f>
        <v xml:space="preserve"> - 歷史記錄</v>
      </c>
      <c r="AV6" s="159"/>
      <c r="AW6" s="157" t="str">
        <f>_xlfn.CONCAT(設定!F26)</f>
        <v/>
      </c>
      <c r="AX6" s="157" t="str">
        <f>_xlfn.CONCAT(設定!F26," - 歷史記錄")</f>
        <v xml:space="preserve"> - 歷史記錄</v>
      </c>
      <c r="AY6" s="157"/>
      <c r="AZ6" s="159" t="str">
        <f>_xlfn.CONCAT(設定!F27)</f>
        <v/>
      </c>
      <c r="BA6" s="159" t="str">
        <f>_xlfn.CONCAT(設定!F27," - 歷史記錄")</f>
        <v xml:space="preserve"> - 歷史記錄</v>
      </c>
      <c r="BB6" s="159"/>
      <c r="BC6" s="157" t="str">
        <f>_xlfn.CONCAT(設定!F28)</f>
        <v/>
      </c>
      <c r="BD6" s="157" t="str">
        <f>_xlfn.CONCAT(設定!F28," - 歷史記錄")</f>
        <v xml:space="preserve"> - 歷史記錄</v>
      </c>
      <c r="BE6" s="157"/>
      <c r="BF6" s="159" t="str">
        <f>_xlfn.CONCAT(設定!F29)</f>
        <v/>
      </c>
      <c r="BG6" s="159" t="str">
        <f>_xlfn.CONCAT(設定!F29," - 歷史記錄")</f>
        <v xml:space="preserve"> - 歷史記錄</v>
      </c>
      <c r="BH6" s="159"/>
      <c r="BI6" s="157" t="str">
        <f>_xlfn.CONCAT(設定!F30)</f>
        <v/>
      </c>
      <c r="BJ6" s="157" t="str">
        <f>_xlfn.CONCAT(設定!F30," - 歷史記錄")</f>
        <v xml:space="preserve"> - 歷史記錄</v>
      </c>
      <c r="BK6" s="157"/>
      <c r="BL6" s="158" t="str">
        <f>_xlfn.CONCAT(設定!F31)</f>
        <v/>
      </c>
      <c r="BM6" s="158" t="str">
        <f>_xlfn.CONCAT(設定!F31," - 歷史記錄")</f>
        <v xml:space="preserve"> - 歷史記錄</v>
      </c>
      <c r="BN6" s="158"/>
      <c r="BO6" s="157" t="str">
        <f>_xlfn.CONCAT(設定!F32)</f>
        <v/>
      </c>
      <c r="BP6" s="157" t="str">
        <f>_xlfn.CONCAT(設定!F32," - 歷史記錄")</f>
        <v xml:space="preserve"> - 歷史記錄</v>
      </c>
      <c r="BQ6" s="157"/>
      <c r="BR6" s="156" t="s">
        <v>337</v>
      </c>
      <c r="BS6" s="158" t="str">
        <f>_xlfn.CONCAT(設定!F33," - 歷史記錄")</f>
        <v xml:space="preserve"> - 歷史記錄</v>
      </c>
      <c r="BT6" s="158"/>
      <c r="BU6" s="157" t="str">
        <f>_xlfn.CONCAT(設定!F34)</f>
        <v/>
      </c>
      <c r="BV6" s="157" t="str">
        <f>_xlfn.CONCAT(設定!F34," - 歷史記錄")</f>
        <v xml:space="preserve"> - 歷史記錄</v>
      </c>
      <c r="BW6" s="157"/>
      <c r="BX6" s="158" t="str">
        <f>_xlfn.CONCAT(設定!F35)</f>
        <v/>
      </c>
      <c r="BY6" s="158" t="str">
        <f>_xlfn.CONCAT(設定!F35," - 歷史記錄")</f>
        <v xml:space="preserve"> - 歷史記錄</v>
      </c>
      <c r="BZ6" s="158"/>
      <c r="CA6" s="157" t="str">
        <f>_xlfn.CONCAT(設定!F36)</f>
        <v/>
      </c>
      <c r="CB6" s="157" t="str">
        <f>_xlfn.CONCAT(設定!F36," - 歷史記錄")</f>
        <v xml:space="preserve"> - 歷史記錄</v>
      </c>
      <c r="CC6" s="157"/>
      <c r="CD6" s="158" t="str">
        <f>_xlfn.CONCAT(設定!F37)</f>
        <v/>
      </c>
      <c r="CE6" s="158" t="str">
        <f>_xlfn.CONCAT(設定!F37," - 歷史記錄")</f>
        <v xml:space="preserve"> - 歷史記錄</v>
      </c>
      <c r="CF6" s="158"/>
      <c r="CG6" s="157" t="str">
        <f>_xlfn.CONCAT(設定!F38)</f>
        <v/>
      </c>
      <c r="CH6" s="157" t="str">
        <f>_xlfn.CONCAT(設定!F38," - 歷史記錄")</f>
        <v xml:space="preserve"> - 歷史記錄</v>
      </c>
      <c r="CI6" s="157"/>
      <c r="CJ6" s="158" t="str">
        <f>_xlfn.CONCAT(設定!F39)</f>
        <v/>
      </c>
      <c r="CK6" s="158" t="str">
        <f>_xlfn.CONCAT(設定!F39," - 歷史記錄")</f>
        <v xml:space="preserve"> - 歷史記錄</v>
      </c>
      <c r="CL6" s="158"/>
      <c r="CM6" s="157" t="str">
        <f>_xlfn.CONCAT(設定!F40)</f>
        <v/>
      </c>
      <c r="CN6" s="157" t="str">
        <f>_xlfn.CONCAT(設定!F40," - 歷史記錄")</f>
        <v xml:space="preserve"> - 歷史記錄</v>
      </c>
      <c r="CO6" s="157"/>
      <c r="CP6" s="158" t="str">
        <f>_xlfn.CONCAT(設定!F41)</f>
        <v/>
      </c>
      <c r="CQ6" s="158" t="str">
        <f>_xlfn.CONCAT(設定!F41," - 歷史記錄")</f>
        <v xml:space="preserve"> - 歷史記錄</v>
      </c>
      <c r="CR6" s="158"/>
      <c r="CS6" s="157" t="str">
        <f>_xlfn.CONCAT(設定!F42)</f>
        <v/>
      </c>
      <c r="CT6" s="157" t="str">
        <f>_xlfn.CONCAT(設定!F42," - 歷史記錄")</f>
        <v xml:space="preserve"> - 歷史記錄</v>
      </c>
      <c r="CU6" s="157"/>
      <c r="CV6" s="158" t="str">
        <f>_xlfn.CONCAT(設定!F43)</f>
        <v/>
      </c>
      <c r="CW6" s="158" t="str">
        <f>_xlfn.CONCAT(設定!F43," - 歷史記錄")</f>
        <v xml:space="preserve"> - 歷史記錄</v>
      </c>
      <c r="CX6" s="158"/>
      <c r="CY6" s="157" t="str">
        <f>_xlfn.CONCAT(設定!F44)</f>
        <v/>
      </c>
      <c r="CZ6" s="157" t="str">
        <f>_xlfn.CONCAT(設定!F44," - 歷史記錄")</f>
        <v xml:space="preserve"> - 歷史記錄</v>
      </c>
      <c r="DA6" s="157"/>
      <c r="DB6" s="158" t="str">
        <f>_xlfn.CONCAT(設定!F45)</f>
        <v/>
      </c>
      <c r="DC6" s="158" t="str">
        <f>_xlfn.CONCAT(設定!F45," - 歷史記錄")</f>
        <v xml:space="preserve"> - 歷史記錄</v>
      </c>
      <c r="DD6" s="158"/>
      <c r="DE6" s="157" t="str">
        <f>_xlfn.CONCAT(設定!F46)</f>
        <v/>
      </c>
      <c r="DF6" s="157" t="str">
        <f>_xlfn.CONCAT(設定!F46," - 歷史記錄")</f>
        <v xml:space="preserve"> - 歷史記錄</v>
      </c>
      <c r="DG6" s="157"/>
      <c r="DH6" s="158" t="str">
        <f>_xlfn.CONCAT(設定!F47)</f>
        <v/>
      </c>
      <c r="DI6" s="158" t="str">
        <f>_xlfn.CONCAT(設定!F47," - 歷史記錄")</f>
        <v xml:space="preserve"> - 歷史記錄</v>
      </c>
      <c r="DJ6" s="158"/>
      <c r="DK6" s="157" t="str">
        <f>_xlfn.CONCAT(設定!F48)</f>
        <v/>
      </c>
      <c r="DL6" s="157" t="str">
        <f>_xlfn.CONCAT(設定!F48," - 歷史記錄")</f>
        <v xml:space="preserve"> - 歷史記錄</v>
      </c>
      <c r="DM6" s="157"/>
      <c r="DN6" s="158" t="str">
        <f>_xlfn.CONCAT(設定!F49)</f>
        <v/>
      </c>
      <c r="DO6" s="158" t="str">
        <f>_xlfn.CONCAT(設定!F49," - 歷史記錄")</f>
        <v xml:space="preserve"> - 歷史記錄</v>
      </c>
      <c r="DP6" s="158"/>
      <c r="DQ6" s="157" t="str">
        <f>_xlfn.CONCAT(設定!F50)</f>
        <v/>
      </c>
      <c r="DR6" s="157" t="str">
        <f>_xlfn.CONCAT(設定!F50," - 歷史記錄")</f>
        <v xml:space="preserve"> - 歷史記錄</v>
      </c>
      <c r="DS6" s="157"/>
      <c r="DT6" s="165" t="s">
        <v>276</v>
      </c>
      <c r="DU6" s="165"/>
      <c r="DV6" s="165"/>
      <c r="DW6" s="165"/>
      <c r="DX6" s="165"/>
      <c r="DY6" s="165" t="s">
        <v>275</v>
      </c>
      <c r="DZ6" s="165"/>
      <c r="EA6" s="165"/>
      <c r="EB6" s="165" t="s">
        <v>274</v>
      </c>
      <c r="EC6" s="165"/>
      <c r="ED6" s="105" t="s">
        <v>488</v>
      </c>
      <c r="EE6" s="166" t="s">
        <v>331</v>
      </c>
      <c r="EF6" s="166"/>
      <c r="EG6" s="166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18</v>
      </c>
      <c r="DU8" s="94" t="s">
        <v>19</v>
      </c>
      <c r="DV8" s="94" t="s">
        <v>260</v>
      </c>
      <c r="DW8" s="94" t="s">
        <v>261</v>
      </c>
      <c r="DX8" s="94" t="s">
        <v>262</v>
      </c>
      <c r="DY8" s="94" t="s">
        <v>268</v>
      </c>
      <c r="DZ8" s="103" t="s">
        <v>15</v>
      </c>
      <c r="EA8" s="103" t="s">
        <v>16</v>
      </c>
      <c r="EB8" s="99" t="s">
        <v>277</v>
      </c>
      <c r="EC8" s="103" t="s">
        <v>270</v>
      </c>
      <c r="ED8" s="103" t="s">
        <v>269</v>
      </c>
      <c r="EE8" s="94" t="s">
        <v>334</v>
      </c>
      <c r="EF8" s="94" t="s">
        <v>335</v>
      </c>
      <c r="EG8" s="94" t="s">
        <v>336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318</v>
      </c>
      <c r="DU9" s="67" t="s">
        <v>154</v>
      </c>
      <c r="DV9" s="68" t="s">
        <v>7</v>
      </c>
      <c r="DW9" s="68"/>
      <c r="DX9" s="55"/>
      <c r="DY9" s="68" t="s">
        <v>171</v>
      </c>
      <c r="DZ9" s="68" t="s">
        <v>165</v>
      </c>
      <c r="EA9" s="68"/>
      <c r="EB9" s="84">
        <v>45268.505555555559</v>
      </c>
      <c r="EC9" s="104" t="s">
        <v>169</v>
      </c>
      <c r="ED9" s="128" t="s">
        <v>319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167</v>
      </c>
      <c r="DU10" s="67" t="s">
        <v>168</v>
      </c>
      <c r="DV10" s="68" t="s">
        <v>8</v>
      </c>
      <c r="DW10" s="68"/>
      <c r="DX10" s="55"/>
      <c r="DY10" s="68" t="s">
        <v>172</v>
      </c>
      <c r="DZ10" s="68"/>
      <c r="EA10" s="68"/>
      <c r="EB10" s="84">
        <v>45268.505555555559</v>
      </c>
      <c r="EC10" s="104" t="s">
        <v>169</v>
      </c>
      <c r="ED10" s="128" t="s">
        <v>319</v>
      </c>
      <c r="EE10" s="117" cm="1">
        <f t="array" ref="EE10">History_Total</f>
        <v>1</v>
      </c>
      <c r="EF10" s="117" cm="1">
        <f t="array" ref="EF10">History_Saved</f>
        <v>1</v>
      </c>
      <c r="EG10" s="11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 t="str">
        <f>_xlfn.CONCAT(設定!F11)</f>
        <v>1</v>
      </c>
      <c r="E6" s="92" t="str">
        <f>_xlfn.CONCAT(設定!F12)</f>
        <v>2</v>
      </c>
      <c r="F6" s="91" t="str">
        <f>_xlfn.CONCAT(設定!F13)</f>
        <v/>
      </c>
      <c r="G6" s="92" t="str">
        <f>_xlfn.CONCAT(設定!F14)</f>
        <v/>
      </c>
      <c r="H6" s="91" t="str">
        <f>_xlfn.CONCAT(設定!F15)</f>
        <v/>
      </c>
      <c r="I6" s="92" t="str">
        <f>_xlfn.CONCAT(設定!F16)</f>
        <v/>
      </c>
      <c r="J6" s="91" t="str">
        <f>_xlfn.CONCAT(設定!F17)</f>
        <v/>
      </c>
      <c r="K6" s="92" t="str">
        <f>_xlfn.CONCAT(設定!F18)</f>
        <v/>
      </c>
      <c r="L6" s="91" t="str">
        <f>_xlfn.CONCAT(設定!F19)</f>
        <v/>
      </c>
      <c r="M6" s="92" t="str">
        <f>_xlfn.CONCAT(設定!F20)</f>
        <v/>
      </c>
      <c r="N6" s="91" t="str">
        <f>_xlfn.CONCAT(設定!F21)</f>
        <v/>
      </c>
      <c r="O6" s="92" t="str">
        <f>_xlfn.CONCAT(設定!F22)</f>
        <v/>
      </c>
      <c r="P6" s="91" t="str">
        <f>_xlfn.CONCAT(設定!F23)</f>
        <v/>
      </c>
      <c r="Q6" s="92" t="str">
        <f>_xlfn.CONCAT(設定!F24)</f>
        <v/>
      </c>
      <c r="R6" s="91" t="str">
        <f>_xlfn.CONCAT(設定!F25)</f>
        <v/>
      </c>
      <c r="S6" s="92" t="str">
        <f>_xlfn.CONCAT(設定!F26)</f>
        <v/>
      </c>
      <c r="T6" s="91" t="str">
        <f>_xlfn.CONCAT(設定!F27)</f>
        <v/>
      </c>
      <c r="U6" s="92" t="str">
        <f>_xlfn.CONCAT(設定!F28)</f>
        <v/>
      </c>
      <c r="V6" s="91" t="str">
        <f>_xlfn.CONCAT(設定!F29)</f>
        <v/>
      </c>
      <c r="W6" s="92" t="str">
        <f>_xlfn.CONCAT(設定!F30)</f>
        <v/>
      </c>
      <c r="X6" s="91" t="str">
        <f>_xlfn.CONCAT(設定!F31)</f>
        <v/>
      </c>
      <c r="Y6" s="92" t="str">
        <f>_xlfn.CONCAT(設定!F32)</f>
        <v/>
      </c>
      <c r="Z6" s="91" t="str">
        <f>_xlfn.CONCAT(設定!F33)</f>
        <v/>
      </c>
      <c r="AA6" s="92" t="str">
        <f>_xlfn.CONCAT(設定!F34)</f>
        <v/>
      </c>
      <c r="AB6" s="91" t="str">
        <f>_xlfn.CONCAT(設定!F35)</f>
        <v/>
      </c>
      <c r="AC6" s="92" t="str">
        <f>_xlfn.CONCAT(設定!F36)</f>
        <v/>
      </c>
      <c r="AD6" s="91" t="str">
        <f>_xlfn.CONCAT(設定!F37)</f>
        <v/>
      </c>
      <c r="AE6" s="92" t="str">
        <f>_xlfn.CONCAT(設定!F38)</f>
        <v/>
      </c>
      <c r="AF6" s="91" t="str">
        <f>_xlfn.CONCAT(設定!F39)</f>
        <v/>
      </c>
      <c r="AG6" s="92" t="str">
        <f>_xlfn.CONCAT(設定!F40)</f>
        <v/>
      </c>
      <c r="AH6" s="91" t="str">
        <f>_xlfn.CONCAT(設定!F41)</f>
        <v/>
      </c>
      <c r="AI6" s="92" t="str">
        <f>_xlfn.CONCAT(設定!F42)</f>
        <v/>
      </c>
      <c r="AJ6" s="91" t="str">
        <f>_xlfn.CONCAT(設定!F43)</f>
        <v/>
      </c>
      <c r="AK6" s="92" t="str">
        <f>_xlfn.CONCAT(設定!F44)</f>
        <v/>
      </c>
      <c r="AL6" s="91" t="str">
        <f>_xlfn.CONCAT(設定!F45)</f>
        <v/>
      </c>
      <c r="AM6" s="92" t="str">
        <f>_xlfn.CONCAT(設定!F46)</f>
        <v/>
      </c>
      <c r="AN6" s="91" t="str">
        <f>_xlfn.CONCAT(設定!F47)</f>
        <v/>
      </c>
      <c r="AO6" s="92" t="str">
        <f>_xlfn.CONCAT(設定!F48)</f>
        <v/>
      </c>
      <c r="AP6" s="91" t="str">
        <f>_xlfn.CONCAT(設定!F49)</f>
        <v/>
      </c>
      <c r="AQ6" s="92" t="str">
        <f>_xlfn.CONCAT(設定!F50)</f>
        <v/>
      </c>
      <c r="AR6" s="165" t="s">
        <v>56</v>
      </c>
      <c r="AS6" s="165"/>
      <c r="AT6" s="165"/>
      <c r="AU6" s="165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332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2024-02-26T15:08:13Z</dcterms:modified>
</cp:coreProperties>
</file>