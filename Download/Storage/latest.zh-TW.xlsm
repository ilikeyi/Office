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New folder\"/>
    </mc:Choice>
  </mc:AlternateContent>
  <xr:revisionPtr revIDLastSave="0" documentId="13_ncr:1_{D1BC5EEE-F6D6-4B2F-AC4B-5E735A744A7B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歡迎" sheetId="7" r:id="rId1"/>
    <sheet name="設定" sheetId="1" r:id="rId2"/>
    <sheet name="新增入庫取貨" sheetId="9" r:id="rId3"/>
    <sheet name="入库取货" sheetId="8" r:id="rId4"/>
    <sheet name="新增會員" sheetId="4" r:id="rId5"/>
    <sheet name="會員詳細資訊" sheetId="6" r:id="rId6"/>
    <sheet name="歷史記錄" sheetId="5" r:id="rId7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設定!$D$67:$E$67</definedName>
    <definedName name="Get_GUID">UserInfo[唯一識別碼]</definedName>
    <definedName name="Get_Keep_inventory">設定!$D$65:$E$65</definedName>
    <definedName name="Get_Staff_Member">設定!$D$53:$M$53</definedName>
    <definedName name="Get_Store_Uid">Store_Setting[唯一識別碼]</definedName>
    <definedName name="Get_Type_of_Access">設定!$D$63:$E$63</definedName>
    <definedName name="Get_Work_Unit">設定!$D$60:$M$60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Row],[性別]]="","", _xlfn.CONCAT(" | ",UserInfo[[#This Row],[性別]])), IF(UserInfo[[#This Row],[電話]]="","", _xlfn.CONCAT(" | ",UserInfo[[#This Row],[電話]])))</definedName>
    <definedName name="_xlnm.Print_Area" localSheetId="4">新增會員!$A:$H</definedName>
    <definedName name="_xlnm.Print_Area" localSheetId="1">設定!$A:$N</definedName>
    <definedName name="_xlnm.Print_Titles" localSheetId="1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DR6" i="6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R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B2" i="6"/>
  <c r="B2" i="8"/>
  <c r="B2" i="9"/>
  <c r="B2" i="4"/>
  <c r="D69" i="1"/>
  <c r="D71" i="1"/>
  <c r="D70" i="1"/>
  <c r="D72" i="1"/>
  <c r="D73" i="1"/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O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12" i="1" l="1"/>
  <c r="G28" i="1"/>
  <c r="G15" i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<sst xmlns="http://schemas.openxmlformats.org/spreadsheetml/2006/main" count="389" uniqueCount="326">
  <si>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</si>
  <si>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</si>
  <si>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</si>
  <si>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</si>
  <si>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</si>
  <si>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</si>
  <si>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</si>
  <si>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</si>
  <si>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</si>
  <si>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</si>
  <si>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</si>
  <si>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</si>
  <si>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</si>
  <si>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</si>
  <si>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</si>
  <si>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</si>
  <si>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</si>
  <si>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</si>
  <si>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</si>
  <si>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</si>
  <si>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</si>
  <si>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</si>
  <si>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</si>
  <si>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</si>
  <si>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</si>
  <si>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</si>
  <si>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</si>
  <si>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</si>
  <si>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</si>
  <si>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</si>
  <si>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</si>
  <si>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</si>
  <si>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</si>
  <si>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</si>
  <si>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</si>
  <si>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</si>
  <si>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</si>
  <si>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</si>
  <si>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</si>
  <si>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</si>
  <si>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</si>
  <si>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</si>
  <si>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</si>
  <si>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</si>
  <si>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</si>
  <si>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</si>
  <si>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</si>
  <si>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</si>
  <si>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</si>
  <si>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</si>
  <si>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</si>
  <si>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</si>
  <si>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</si>
  <si>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</si>
  <si>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</si>
  <si>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</si>
  <si>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</si>
  <si>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持平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</si>
  <si>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</si>
  <si>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</si>
  <si>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</si>
  <si>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</si>
  <si>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</si>
  <si>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</si>
  <si>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</si>
  <si>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</si>
  <si>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</si>
  <si>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</si>
  <si>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</si>
  <si>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</si>
  <si>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</si>
  <si>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</si>
  <si>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</si>
  <si>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</si>
  <si>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</si>
  <si>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</si>
  <si>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</si>
  <si>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</si>
  <si>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</si>
  <si>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</si>
  <si>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</si>
  <si>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</si>
  <si>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</si>
  <si>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</si>
  <si>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</si>
  <si>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</si>
  <si>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</si>
  <si>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主要功能</t>
  </si>
  <si>
    <t>商品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</si>
  <si>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</si>
  <si>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</si>
  <si>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</si>
  <si>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</si>
  <si>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</si>
  <si>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</si>
  <si>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</si>
  <si>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</si>
  <si>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</si>
  <si>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</si>
  <si>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</si>
  <si>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</si>
  <si>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</si>
  <si>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</si>
  <si>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</si>
  <si>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</si>
  <si>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</si>
  <si>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</si>
  <si>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</si>
  <si>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</si>
  <si>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</si>
  <si>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</si>
  <si>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</si>
  <si>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</si>
  <si>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</si>
  <si>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</si>
  <si>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</si>
  <si>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</si>
  <si>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</si>
  <si>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</si>
  <si>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</si>
  <si>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</si>
  <si>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</si>
  <si>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</si>
  <si>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</si>
  <si>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</si>
  <si>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</si>
  <si>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</si>
  <si>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</si>
  <si>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</si>
  <si>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</si>
  <si>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</si>
  <si>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</si>
  <si>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</si>
  <si>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</si>
  <si>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</si>
  <si>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</si>
  <si>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</si>
  <si>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</si>
  <si>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</si>
  <si>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</si>
  <si>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</si>
  <si>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</si>
  <si>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</si>
  <si>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</si>
  <si>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</si>
  <si>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</si>
  <si>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</si>
  <si>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</si>
  <si>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</si>
  <si>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</si>
  <si>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</si>
  <si>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</si>
  <si>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</si>
  <si>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</si>
  <si>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</si>
  <si>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</si>
  <si>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启用编辑</t>
  </si>
  <si>
    <t>安全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</si>
  <si>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</si>
  <si>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</si>
  <si>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</si>
  <si>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</si>
  <si>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</si>
  <si>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</si>
  <si>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</si>
  <si>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</si>
  <si>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</si>
  <si>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</si>
  <si>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</si>
  <si>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</si>
  <si>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</si>
  <si>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</si>
  <si>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</si>
  <si>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李怡 | 女 | 7551</t>
  </si>
  <si>
    <t>初始保留此行是为新增新行时继承上一行公式
新增后请删除此行</t>
  </si>
  <si>
    <t>填充</t>
  </si>
  <si>
    <t>工作表</t>
  </si>
  <si>
    <t>入库 | 存货</t>
  </si>
  <si>
    <t>v1.8</t>
  </si>
  <si>
    <t>歡迎</t>
  </si>
  <si>
    <t>Excel | 商品入庫、取貨 | 會員管理 | 存入 | 分享 | 新增歷史記錄 | 即時統計等功能</t>
  </si>
  <si>
    <t>先決條件</t>
  </si>
  <si>
    <t>可選使用 Office 365、Office 2024、Office 2021、Office 2019、Office 2016 或支援插入新行時自動繼承上行公式的辦公室軟體</t>
  </si>
  <si>
    <t>協作：建議您使用 OneDrive，將 Latest.xlsm 儲存到網盤裡，其它終端設備可直接同步操作</t>
  </si>
  <si>
    <t>使用 iPad、IOS、Android 等終端，安裝 Microsoft Excel 辦公室軟體即可享受協作</t>
  </si>
  <si>
    <t>未啟用 VBA 或不包含 VBA 時，VBA 功能將無法使用</t>
  </si>
  <si>
    <t>支持 40 項商品管理</t>
  </si>
  <si>
    <t>設定可用商品後，隱藏會員詳細資料、歷史記錄裡未使用的商品</t>
  </si>
  <si>
    <t>有同等價位時，你不會當他為同一商品嗎？</t>
  </si>
  <si>
    <t>入庫：新增後，在設定介面可查看統計</t>
  </si>
  <si>
    <t>取貨：盤點時沖正及快速取貨，在設定介面可查看統計</t>
  </si>
  <si>
    <t>A 軟體銷售 666 件，B 軟體銷售 333，你不會增加二條取貨 666、333 嗎？ 這不就統計其它平台的數據了？</t>
  </si>
  <si>
    <t>可新增：姓氏、名字、性別、身分證號碼、年齡、電話、Email、家庭住址、備註等，可隱藏不常用的項</t>
  </si>
  <si>
    <t>設定員工姓名、聯絡電話，設定首選員工</t>
  </si>
  <si>
    <t>入庫 | 取貨</t>
  </si>
  <si>
    <t>會員</t>
  </si>
  <si>
    <t>員工</t>
  </si>
  <si>
    <t>圖示</t>
  </si>
  <si>
    <t>正確錄入</t>
  </si>
  <si>
    <t>錯誤</t>
  </si>
  <si>
    <t>正確輸入或已填</t>
  </si>
  <si>
    <t>未輸入或校驗失敗</t>
  </si>
  <si>
    <t>第四步：新增會員時必填、新增後允許新增存入（通過了新增會員時驗證項目後，將插入一條新的歷史記錄存入）</t>
  </si>
  <si>
    <t>第七步：必須填單位</t>
  </si>
  <si>
    <t>電話號碼：滿足 11 位數字時和不滿足時僅提示，不強制你是否正確輸入</t>
  </si>
  <si>
    <t>身分證號碼：輸入了身分證號碼後校驗是否正確</t>
  </si>
  <si>
    <t>Email：校驗是否正確的電子郵件信箱</t>
  </si>
  <si>
    <t>開啟 VBA 後，以下功能將啟用</t>
  </si>
  <si>
    <t>設定</t>
  </si>
  <si>
    <t>校驗</t>
  </si>
  <si>
    <t>在會員詳細資料裡，選擇會員後可點選“存入”或“支取”，快速新增一筆到歷史記錄裡</t>
  </si>
  <si>
    <t>技巧：不管是點“新增存入”或“新增支取”，在歷史記錄中選擇類型更改</t>
  </si>
  <si>
    <t>新增入庫取貨、新增會員將可用</t>
  </si>
  <si>
    <t>重設工作表新增商品、入庫取貨、新增會員裡錯誤訊息、即時校驗等</t>
  </si>
  <si>
    <t>自動新增“熱鍵、清除熱鍵”，重設：錯誤、即時校驗等</t>
  </si>
  <si>
    <t>設定首選員工後，自動填入所有員工列表</t>
  </si>
  <si>
    <t>新增「商品入庫取貨」、「新增會員」後，自動插入公式與資料校驗，初始化功能。</t>
  </si>
  <si>
    <t>Ctrl+Shift + M：取得目前日期和時間後，插入或更新至「時間」行（入庫取貨、會員詳細資料、歷史記錄有效）</t>
  </si>
  <si>
    <t>Ctrl+Shift + A：歷史記錄 - 新增，自動填入（僅在會員詳細資料有效）</t>
  </si>
  <si>
    <t>Ctrl+Shift + Q：歷史記錄 - 新增，自動填支取（僅在會員詳細資料有效）</t>
  </si>
  <si>
    <t>歷史記錄</t>
  </si>
  <si>
    <t>打開表</t>
  </si>
  <si>
    <t>選擇表</t>
  </si>
  <si>
    <t>快速鍵</t>
  </si>
  <si>
    <t>使用須知</t>
  </si>
  <si>
    <t>所有密碼為空</t>
  </si>
  <si>
    <t>建議你定期下載最新版，以保持到最新</t>
  </si>
  <si>
    <t>前往 https://github.com/ilikeyi/Office 或開啟 https://fengyi.tel/go/storage 下載後，</t>
  </si>
  <si>
    <t>點選檔案右鍵，選擇屬性，解除檔案鎖定</t>
  </si>
  <si>
    <t>啟用內容</t>
  </si>
  <si>
    <t>啟用 VBA 巨集功能</t>
  </si>
  <si>
    <t>選擇文件、選項、信任中心、信任中心設置，選擇：</t>
  </si>
  <si>
    <t>啟用 VBA 巨集、啟用 VBA 巨集時啟用 Excel 4.0 巨集、信任對 VBA 工程物件範本的訪問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</si>
  <si>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</si>
  <si>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</si>
  <si>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</si>
  <si>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</si>
  <si>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</si>
  <si>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</si>
  <si>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</si>
  <si>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</si>
  <si>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</si>
  <si>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</si>
  <si>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</si>
  <si>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</si>
  <si>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</si>
  <si>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</si>
  <si>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</si>
  <si>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</si>
  <si>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</si>
  <si>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</si>
  <si>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</si>
  <si>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</si>
  <si>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</si>
  <si>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</si>
  <si>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</si>
  <si>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</si>
  <si>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</si>
  <si>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新增入庫取貨_x000D_
必須填單位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</si>
  <si>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</si>
  <si>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</si>
  <si>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</si>
  <si>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</si>
  <si>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</si>
  <si>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</si>
  <si>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</si>
  <si>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</si>
  <si>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</si>
  <si>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</si>
  <si>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</si>
  <si>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</si>
  <si>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</si>
  <si>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</si>
  <si>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</si>
  <si>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</si>
  <si>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</si>
  <si>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</si>
  <si>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</si>
  <si>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</si>
  <si>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</si>
  <si>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</si>
  <si>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</si>
  <si>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</si>
  <si>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</si>
  <si>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</si>
  <si>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</si>
  <si>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</si>
  <si>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</si>
  <si>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</si>
  <si>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</si>
  <si>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</si>
  <si>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</si>
  <si>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</si>
  <si>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</si>
  <si>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</si>
  <si>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</si>
  <si>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</si>
  <si>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</si>
  <si>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</si>
  <si>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</si>
  <si>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</si>
  <si>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</si>
  <si>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</si>
  <si>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</si>
  <si>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</si>
  <si>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</si>
  <si>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</si>
  <si>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</si>
  <si>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</si>
  <si>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</si>
  <si>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</si>
  <si>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</si>
  <si>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</si>
  <si>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</si>
  <si>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</si>
  <si>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</si>
  <si>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</si>
  <si>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</si>
  <si>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</si>
  <si>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</si>
  <si>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</si>
  <si>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</si>
  <si>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</si>
  <si>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馮毅 | 男 | 9955</t>
  </si>
  <si>
    <t>初始保留此行是為新增新行時繼承上一行公式
新增後請刪除此行</t>
  </si>
  <si>
    <t>時間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</si>
</sst>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971550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1085850</xdr:colOff>
          <xdr:row>5</xdr:row>
          <xdr:rowOff>95250</xdr:rowOff>
        </xdr:from>
        <xdr:to>
          <xdr:col>2</xdr:col>
          <xdr:colOff>1952625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識別碼" dataDxfId="385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84"/>
    <tableColumn id="2" xr3:uid="{C28244F3-482D-4CFC-B629-A29496B98C0B}" name="商品名稱" dataDxfId="383"/>
    <tableColumn id="11" xr3:uid="{71958388-9C14-426E-8457-DCEA92BC0E87}" name="負差" dataDxfId="382">
      <calculatedColumnFormula>SUM(Store_Setting[[#This Row],[庫存負差]],Store_Setting[[#This Row],[已存入]])-Store_Setting[[#This Row],[已支取]]</calculatedColumnFormula>
    </tableColumn>
    <tableColumn id="4" xr3:uid="{3C821CA6-CD17-432C-AF90-A003188028FF}" name="存取負差" dataDxfId="381">
      <calculatedColumnFormula>SUM(UserInfo[1 - 剩餘])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庫存負差" dataDxfId="378">
      <calculatedColumnFormula>Store_Setting[[#This Row],[入庫小計]]-Store_Setting[[#This Row],[取貨小計]]</calculatedColumnFormula>
    </tableColumn>
    <tableColumn id="9" xr3:uid="{7DA9A308-8441-49E3-B1B4-6AF7A14784F7}" name="入庫小計" dataDxfId="377">
      <calculatedColumnFormula>SUMIFS(Store_History[数量],Store_History[唯一識別碼],Store_Setting[[#This Row],[唯一識別碼]],Store_History[類型],"入库")</calculatedColumnFormula>
    </tableColumn>
    <tableColumn id="8" xr3:uid="{43D402E1-A683-4B65-923F-EB29ABFA8F93}" name="取貨小計" dataDxfId="376">
      <calculatedColumnFormula>SUMIFS(Store_History[数量],Store_History[唯一識別碼],Store_Setting[[#This Row],[唯一識別碼]],Store_History[類型],"取货")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號" dataDxfId="371">
      <calculatedColumnFormula array="1">SNGKI</calculatedColumnFormula>
    </tableColumn>
    <tableColumn id="2" xr3:uid="{BE286F67-B0FA-40D9-BDA1-B2CFCEBCEB36}" name="唯一識別碼" dataDxfId="370"/>
    <tableColumn id="4" xr3:uid="{9CF218BF-31BE-437E-9285-7CE338B0180C}" name="類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號" totalsRowLabel="Total" dataDxfId="358" totalsRowDxfId="357">
      <calculatedColumnFormula array="1">SN</calculatedColumnFormula>
    </tableColumn>
    <tableColumn id="5" xr3:uid="{35BA10B8-A444-4F80-8F55-6146540C5A57}" name="唯一識別碼" dataDxfId="356" totalsRowDxfId="355">
      <calculatedColumnFormula array="1">GUID</calculatedColumnFormula>
    </tableColumn>
    <tableColumn id="6" xr3:uid="{8A3791BE-D142-4B77-980F-0E769FF1CE0E}" name="1 - 剩餘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餘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餘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餘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餘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餘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餘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餘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餘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餘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餘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餘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餘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餘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餘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餘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餘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餘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餘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餘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餘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餘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餘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餘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餘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餘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餘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餘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餘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餘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餘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餘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餘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餘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餘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餘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餘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餘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餘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餘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別" dataDxfId="112" totalsRowDxfId="111"/>
    <tableColumn id="23" xr3:uid="{AABD28F8-91AC-4EA0-915D-2F3C990C193D}" name="身分證號碼" dataDxfId="110" totalsRowDxfId="109"/>
    <tableColumn id="24" xr3:uid="{14505223-157D-4FB0-A334-A4E4687523F8}" name="年齡" dataDxfId="108" totalsRowDxfId="107"/>
    <tableColumn id="4" xr3:uid="{B39F2860-CADF-40CB-832A-CCDE8501D7E3}" name="電話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新增會員時間" dataDxfId="101" totalsRowDxfId="100"/>
    <tableColumn id="22" xr3:uid="{8DAD451D-44A8-40A3-A244-DDF540273F95}" name="工號" dataDxfId="99" totalsRowDxfId="98"/>
    <tableColumn id="12" xr3:uid="{A8D286B9-575E-4C05-8F77-63C322A43E3C}" name="備註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號" dataDxfId="91" totalsRowDxfId="90">
      <calculatedColumnFormula array="1">SN</calculatedColumnFormula>
    </tableColumn>
    <tableColumn id="2" xr3:uid="{B2493920-5E1A-4FDC-9855-B9542A099E48}" name="唯一識別碼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類型" dataDxfId="7" totalsRowDxfId="6"/>
    <tableColumn id="3" xr3:uid="{2DB9E3FB-FAB2-4AAE-92D3-3923415905C1}" name="時間" dataDxfId="5" totalsRowDxfId="4"/>
    <tableColumn id="7" xr3:uid="{09F84C56-CC9A-4AF7-B58F-B7114DD50367}" name="工號" dataDxfId="3" totalsRowDxfId="2"/>
    <tableColumn id="8" xr3:uid="{56756BBB-4B3E-40A7-A199-808B905113E1}" name="備註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6" width="2.7109375" style="17" customWidth="1"/>
    <col min="17" max="17" width="0" style="17" hidden="1" customWidth="1"/>
    <col min="18" max="16384" width="9.140625" style="17" hidden="1"/>
  </cols>
  <sheetData>
    <row r="1" spans="1:16" s="3" customFormat="1" ht="6" customHeight="1" x14ac:dyDescent="0.25"/>
    <row r="2" spans="1:16" s="22" customFormat="1" ht="9.9499999999999993" customHeight="1" x14ac:dyDescent="0.25"/>
    <row r="3" spans="1:16" s="1" customFormat="1" ht="39.950000000000003" customHeight="1" x14ac:dyDescent="0.25">
      <c r="A3" s="74"/>
      <c r="B3" s="74"/>
      <c r="C3" s="74"/>
      <c r="D3" s="139" t="s">
        <v>179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s="1" customFormat="1" ht="8.1" customHeight="1" x14ac:dyDescent="0.25">
      <c r="A4" s="74"/>
      <c r="B4" s="74"/>
      <c r="C4" s="74"/>
      <c r="D4" s="140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s="1" customFormat="1" ht="39.950000000000003" customHeight="1" x14ac:dyDescent="0.25">
      <c r="A5" s="74"/>
      <c r="B5" s="74"/>
      <c r="C5" s="74"/>
      <c r="D5" s="141" t="s">
        <v>180</v>
      </c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1:16" ht="16.5" customHeight="1" x14ac:dyDescent="0.25"/>
    <row r="7" spans="1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" customHeight="1" thickBot="1" x14ac:dyDescent="0.3">
      <c r="B8" s="1"/>
      <c r="C8" s="50"/>
      <c r="D8" s="50" t="s">
        <v>181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" customHeight="1" thickTop="1" x14ac:dyDescent="0.25">
      <c r="B9" s="1"/>
      <c r="C9" s="1">
        <v>1</v>
      </c>
      <c r="D9" s="46" t="s">
        <v>182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" customHeight="1" x14ac:dyDescent="0.25">
      <c r="B10" s="1"/>
      <c r="C10" s="1">
        <v>1</v>
      </c>
      <c r="D10" s="46" t="s">
        <v>183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" customHeight="1" x14ac:dyDescent="0.25">
      <c r="B11" s="1"/>
      <c r="C11" s="1">
        <v>1</v>
      </c>
      <c r="D11" s="46" t="s">
        <v>184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" customHeight="1" x14ac:dyDescent="0.25">
      <c r="B12" s="1"/>
      <c r="C12" s="1">
        <v>-1</v>
      </c>
      <c r="D12" s="46" t="s">
        <v>185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" customHeight="1" x14ac:dyDescent="0.25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" customHeight="1" thickBot="1" x14ac:dyDescent="0.3">
      <c r="B14" s="1"/>
      <c r="C14" s="50"/>
      <c r="D14" s="50" t="s">
        <v>87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" customHeight="1" thickTop="1" x14ac:dyDescent="0.25">
      <c r="B15" s="1"/>
      <c r="C15" s="1">
        <v>1</v>
      </c>
      <c r="D15" s="1" t="s">
        <v>88</v>
      </c>
      <c r="E15" s="21" t="s">
        <v>186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" customHeight="1" x14ac:dyDescent="0.25">
      <c r="B16" s="1"/>
      <c r="C16" s="1"/>
      <c r="D16" s="1"/>
      <c r="E16" s="21" t="s">
        <v>187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" customHeight="1" x14ac:dyDescent="0.25">
      <c r="B17" s="1"/>
      <c r="C17" s="1"/>
      <c r="D17" s="1"/>
      <c r="E17" s="21" t="s">
        <v>188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25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" customHeight="1" x14ac:dyDescent="0.25">
      <c r="B19" s="1"/>
      <c r="C19" s="1">
        <v>1</v>
      </c>
      <c r="D19" s="1" t="s">
        <v>194</v>
      </c>
      <c r="E19" s="21" t="s">
        <v>189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" customHeight="1" x14ac:dyDescent="0.25">
      <c r="B20" s="1"/>
      <c r="C20" s="1"/>
      <c r="D20" s="1"/>
      <c r="E20" s="21" t="s">
        <v>190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" customHeight="1" x14ac:dyDescent="0.25">
      <c r="B21" s="1"/>
      <c r="C21" s="1"/>
      <c r="D21" s="1"/>
      <c r="E21" s="21" t="s">
        <v>191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25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" customHeight="1" x14ac:dyDescent="0.25">
      <c r="B23" s="1"/>
      <c r="C23" s="1">
        <v>1</v>
      </c>
      <c r="D23" s="1" t="s">
        <v>195</v>
      </c>
      <c r="E23" s="21" t="s">
        <v>192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" customHeight="1" x14ac:dyDescent="0.25">
      <c r="B24" s="1"/>
      <c r="C24" s="1">
        <v>1</v>
      </c>
      <c r="D24" s="1" t="s">
        <v>196</v>
      </c>
      <c r="E24" s="21" t="s">
        <v>193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" customHeight="1" x14ac:dyDescent="0.25">
      <c r="B25" s="1"/>
      <c r="C25" s="1">
        <v>1</v>
      </c>
      <c r="D25" s="1" t="s">
        <v>197</v>
      </c>
      <c r="E25" s="84">
        <v>1</v>
      </c>
      <c r="F25" s="85" t="s">
        <v>198</v>
      </c>
      <c r="G25" s="1"/>
      <c r="H25" s="84">
        <v>1</v>
      </c>
      <c r="I25" s="85" t="s">
        <v>200</v>
      </c>
      <c r="J25" s="1"/>
      <c r="K25" s="1"/>
      <c r="L25" s="1"/>
      <c r="M25" s="1"/>
      <c r="N25" s="1"/>
      <c r="O25" s="1"/>
    </row>
    <row r="26" spans="2:15" ht="35.1" customHeight="1" x14ac:dyDescent="0.25">
      <c r="B26" s="1"/>
      <c r="C26" s="1"/>
      <c r="D26" s="1"/>
      <c r="E26" s="84">
        <v>0</v>
      </c>
      <c r="F26" s="85" t="s">
        <v>57</v>
      </c>
      <c r="G26" s="1"/>
      <c r="H26" s="84">
        <v>-0.01</v>
      </c>
      <c r="I26" s="85" t="s">
        <v>201</v>
      </c>
      <c r="J26" s="1"/>
      <c r="K26" s="1"/>
      <c r="L26" s="1"/>
      <c r="M26" s="1"/>
      <c r="N26" s="1"/>
      <c r="O26" s="1"/>
    </row>
    <row r="27" spans="2:15" ht="35.1" customHeight="1" x14ac:dyDescent="0.25">
      <c r="B27" s="1"/>
      <c r="C27" s="1"/>
      <c r="D27" s="1"/>
      <c r="E27" s="84">
        <v>-0.01</v>
      </c>
      <c r="F27" s="85" t="s">
        <v>199</v>
      </c>
      <c r="G27" s="1"/>
      <c r="H27" s="84"/>
      <c r="I27" s="116"/>
      <c r="J27" s="1"/>
      <c r="K27" s="1"/>
      <c r="L27" s="1"/>
      <c r="M27" s="1"/>
      <c r="N27" s="1"/>
      <c r="O27" s="1"/>
    </row>
    <row r="28" spans="2:15" ht="35.1" customHeight="1" x14ac:dyDescent="0.25">
      <c r="B28" s="1"/>
      <c r="C28" s="1"/>
      <c r="D28" s="1"/>
      <c r="E28" s="84"/>
      <c r="F28" s="85"/>
      <c r="G28" s="1"/>
      <c r="H28" s="84"/>
      <c r="I28" s="116"/>
      <c r="J28" s="1"/>
      <c r="K28" s="1"/>
      <c r="L28" s="1"/>
      <c r="M28" s="1"/>
      <c r="N28" s="1"/>
      <c r="O28" s="1"/>
    </row>
    <row r="29" spans="2:15" ht="35.1" customHeight="1" thickBot="1" x14ac:dyDescent="0.3">
      <c r="B29" s="1"/>
      <c r="C29" s="50">
        <v>1</v>
      </c>
      <c r="D29" s="138" t="s">
        <v>207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" customHeight="1" thickTop="1" x14ac:dyDescent="0.25">
      <c r="B30" s="1"/>
      <c r="C30" s="1">
        <v>1</v>
      </c>
      <c r="D30" s="1" t="s">
        <v>208</v>
      </c>
      <c r="E30" s="21" t="s">
        <v>202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" customHeight="1" x14ac:dyDescent="0.25">
      <c r="B31" s="1"/>
      <c r="C31" s="1"/>
      <c r="D31" s="1"/>
      <c r="E31" s="21" t="s">
        <v>203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" customHeight="1" x14ac:dyDescent="0.25">
      <c r="B33" s="1"/>
      <c r="C33" s="1">
        <v>1</v>
      </c>
      <c r="D33" s="1" t="s">
        <v>209</v>
      </c>
      <c r="E33" s="21" t="s">
        <v>204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" customHeight="1" x14ac:dyDescent="0.25">
      <c r="B34" s="1"/>
      <c r="C34" s="1"/>
      <c r="D34" s="1"/>
      <c r="E34" s="21" t="s">
        <v>205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" customHeight="1" x14ac:dyDescent="0.25">
      <c r="B35" s="1"/>
      <c r="C35" s="1"/>
      <c r="D35" s="1"/>
      <c r="E35" s="21" t="s">
        <v>206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25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" customHeight="1" x14ac:dyDescent="0.25">
      <c r="B37" s="1"/>
      <c r="C37" s="1">
        <v>1</v>
      </c>
      <c r="D37" s="1" t="s">
        <v>220</v>
      </c>
      <c r="E37" s="21" t="s">
        <v>210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" customHeight="1" x14ac:dyDescent="0.25">
      <c r="B38" s="1"/>
      <c r="C38" s="1"/>
      <c r="D38" s="1"/>
      <c r="E38" s="21" t="s">
        <v>211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25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" customHeight="1" x14ac:dyDescent="0.25">
      <c r="B40" s="1"/>
      <c r="C40" s="1">
        <v>1</v>
      </c>
      <c r="D40" s="1" t="s">
        <v>176</v>
      </c>
      <c r="E40" s="21" t="s">
        <v>212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" customHeight="1" x14ac:dyDescent="0.25">
      <c r="B41" s="1"/>
      <c r="C41" s="1">
        <v>1</v>
      </c>
      <c r="D41" s="1" t="s">
        <v>221</v>
      </c>
      <c r="E41" s="21" t="s">
        <v>213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" customHeight="1" x14ac:dyDescent="0.25">
      <c r="B42" s="1"/>
      <c r="C42" s="1">
        <v>1</v>
      </c>
      <c r="D42" s="1" t="s">
        <v>222</v>
      </c>
      <c r="E42" s="21" t="s">
        <v>214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" customHeight="1" x14ac:dyDescent="0.25">
      <c r="B43" s="1"/>
      <c r="C43" s="1">
        <v>1</v>
      </c>
      <c r="D43" s="1" t="s">
        <v>175</v>
      </c>
      <c r="E43" s="21" t="s">
        <v>215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" customHeight="1" x14ac:dyDescent="0.25">
      <c r="B44" s="1"/>
      <c r="C44" s="1">
        <v>1</v>
      </c>
      <c r="D44" s="1" t="s">
        <v>157</v>
      </c>
      <c r="E44" s="21" t="s">
        <v>216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" customHeight="1" x14ac:dyDescent="0.25">
      <c r="B45" s="1"/>
      <c r="C45" s="1">
        <v>1</v>
      </c>
      <c r="D45" s="1" t="s">
        <v>223</v>
      </c>
      <c r="E45" s="21" t="s">
        <v>217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" customHeight="1" x14ac:dyDescent="0.25">
      <c r="B46" s="1"/>
      <c r="C46" s="1"/>
      <c r="D46" s="1"/>
      <c r="E46" s="21" t="s">
        <v>218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" customHeight="1" x14ac:dyDescent="0.25">
      <c r="B47" s="1"/>
      <c r="C47" s="1"/>
      <c r="D47" s="1"/>
      <c r="E47" s="21" t="s">
        <v>219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" customHeight="1" x14ac:dyDescent="0.25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" customHeight="1" thickBot="1" x14ac:dyDescent="0.3">
      <c r="B49" s="1"/>
      <c r="C49" s="50"/>
      <c r="D49" s="51" t="s">
        <v>224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" customHeight="1" thickTop="1" x14ac:dyDescent="0.25">
      <c r="B50" s="1"/>
      <c r="C50" s="118">
        <v>1</v>
      </c>
      <c r="D50" s="46" t="s">
        <v>225</v>
      </c>
      <c r="E50" s="118"/>
      <c r="F50" s="117"/>
      <c r="G50" s="118"/>
      <c r="H50" s="118"/>
      <c r="I50" s="118"/>
      <c r="J50" s="118"/>
      <c r="K50" s="118"/>
      <c r="L50" s="118"/>
      <c r="M50" s="118"/>
      <c r="N50" s="118"/>
      <c r="O50" s="1"/>
    </row>
    <row r="51" spans="2:15" ht="35.1" customHeight="1" x14ac:dyDescent="0.25">
      <c r="B51" s="1"/>
      <c r="C51" s="118">
        <v>1</v>
      </c>
      <c r="D51" s="46" t="s">
        <v>226</v>
      </c>
      <c r="E51" s="118"/>
      <c r="F51" s="117"/>
      <c r="G51" s="118"/>
      <c r="H51" s="118"/>
      <c r="I51" s="118"/>
      <c r="J51" s="118"/>
      <c r="K51" s="118"/>
      <c r="L51" s="118"/>
      <c r="M51" s="118"/>
      <c r="N51" s="118"/>
      <c r="O51" s="1"/>
    </row>
    <row r="52" spans="2:15" ht="35.1" customHeight="1" x14ac:dyDescent="0.25">
      <c r="B52" s="1"/>
      <c r="C52" s="1">
        <v>0</v>
      </c>
      <c r="D52" s="46" t="s">
        <v>227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" customHeight="1" thickBot="1" x14ac:dyDescent="0.3">
      <c r="B53" s="1"/>
      <c r="C53" s="1"/>
      <c r="D53" s="53" t="s">
        <v>228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" customHeight="1" thickBot="1" x14ac:dyDescent="0.3">
      <c r="B56" s="1"/>
      <c r="C56" s="1"/>
      <c r="D56" s="53" t="s">
        <v>156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25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" customHeight="1" thickBot="1" x14ac:dyDescent="0.3">
      <c r="B59" s="1"/>
      <c r="C59" s="1"/>
      <c r="D59" s="53" t="s">
        <v>229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25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" customHeight="1" thickBot="1" x14ac:dyDescent="0.3">
      <c r="B62" s="1"/>
      <c r="C62" s="1"/>
      <c r="D62" s="53" t="s">
        <v>230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25">
      <c r="B63" s="1"/>
      <c r="C63" s="1"/>
      <c r="D63" s="47" t="s">
        <v>231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" customHeight="1" x14ac:dyDescent="0.25">
      <c r="B64" s="1"/>
      <c r="C64" s="1"/>
      <c r="D64" s="47" t="s">
        <v>232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25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" customHeight="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" customHeight="1" x14ac:dyDescent="0.25"/>
    <row r="68" spans="2:15" ht="39.950000000000003" hidden="1" customHeight="1" x14ac:dyDescent="0.25"/>
    <row r="69" spans="2:1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0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37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208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233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9</v>
      </c>
      <c r="C7" s="27" t="s">
        <v>234</v>
      </c>
      <c r="D7" s="124" t="s">
        <v>13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10</v>
      </c>
      <c r="C9" s="27" t="s">
        <v>235</v>
      </c>
      <c r="D9" s="27"/>
      <c r="E9" s="27"/>
      <c r="F9" s="27"/>
      <c r="G9" s="111" t="s">
        <v>244</v>
      </c>
      <c r="H9" s="160" t="s">
        <v>245</v>
      </c>
      <c r="I9" s="160"/>
      <c r="J9" s="160"/>
      <c r="K9" s="161" t="s">
        <v>246</v>
      </c>
      <c r="L9" s="161"/>
      <c r="M9" s="161"/>
    </row>
    <row r="10" spans="2:13" ht="39.950000000000003" customHeight="1" x14ac:dyDescent="0.25">
      <c r="B10" s="26"/>
      <c r="C10" s="27"/>
      <c r="D10" s="28" t="s">
        <v>236</v>
      </c>
      <c r="E10" s="28" t="s">
        <v>237</v>
      </c>
      <c r="F10" s="28" t="s">
        <v>238</v>
      </c>
      <c r="G10" s="112" t="s">
        <v>239</v>
      </c>
      <c r="H10" s="28" t="s">
        <v>240</v>
      </c>
      <c r="I10" s="28" t="s">
        <v>158</v>
      </c>
      <c r="J10" s="28" t="s">
        <v>159</v>
      </c>
      <c r="K10" s="28" t="s">
        <v>241</v>
      </c>
      <c r="L10" s="28" t="s">
        <v>242</v>
      </c>
      <c r="M10" s="28" t="s">
        <v>243</v>
      </c>
    </row>
    <row r="11" spans="2:13" ht="39.950000000000003" customHeight="1" x14ac:dyDescent="0.25">
      <c r="B11" s="26"/>
      <c r="C11" s="27"/>
      <c r="D11" s="38" t="str">
        <f>CONCATENATE(Store_Setting[[#This Row],[商品序號]], " | ", Store_Setting[[#This Row],[商品名稱]])</f>
        <v>1 | 1</v>
      </c>
      <c r="E11" s="17">
        <v>1</v>
      </c>
      <c r="F11" s="123">
        <v>1</v>
      </c>
      <c r="G11" s="113">
        <f>SUM(Store_Setting[[#This Row],[庫存負差]],Store_Setting[[#This Row],[已存入]])-Store_Setting[[#This Row],[已支取]]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Row],[唯一識別碼]],Store_History[類型],"入库")</f>
        <v>0</v>
      </c>
      <c r="M11" s="18">
        <f>SUMIFS(Store_History[数量],Store_History[唯一識別碼],Store_Setting[[#This Row],[唯一識別碼]],Store_History[類型],"取货")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Row],[商品序號]], " | ", Store_Setting[[#This Row],[商品名稱]])</f>
        <v>2 | 2</v>
      </c>
      <c r="E12" s="17">
        <v>2</v>
      </c>
      <c r="F12" s="123">
        <v>2</v>
      </c>
      <c r="G12" s="113">
        <f>SUM(Store_Setting[[#This Row],[庫存負差]],Store_Setting[[#This Row],[已存入]])-Store_Setting[[#This Row],[已支取]]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Row],[唯一識別碼]],Store_History[類型],"入库")</f>
        <v>0</v>
      </c>
      <c r="M12" s="18">
        <f>SUMIFS(Store_History[数量],Store_History[唯一識別碼],Store_Setting[[#This Row],[唯一識別碼]],Store_History[類型],"取货")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Row],[商品序號]], " | ", Store_Setting[[#This Row],[商品名稱]])</f>
        <v>3 | 3</v>
      </c>
      <c r="E13" s="17">
        <v>3</v>
      </c>
      <c r="F13" s="123">
        <v>3</v>
      </c>
      <c r="G13" s="113">
        <f>SUM(Store_Setting[[#This Row],[庫存負差]],Store_Setting[[#This Row],[已存入]])-Store_Setting[[#This Row],[已支取]]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Row],[唯一識別碼]],Store_History[類型],"入库")</f>
        <v>0</v>
      </c>
      <c r="M13" s="18">
        <f>SUMIFS(Store_History[数量],Store_History[唯一識別碼],Store_Setting[[#This Row],[唯一識別碼]],Store_History[類型],"取货")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Row],[商品序號]], " | ", Store_Setting[[#This Row],[商品名稱]])</f>
        <v>4 | 4</v>
      </c>
      <c r="E14" s="17">
        <v>4</v>
      </c>
      <c r="F14" s="123">
        <v>4</v>
      </c>
      <c r="G14" s="113">
        <f>SUM(Store_Setting[[#This Row],[庫存負差]],Store_Setting[[#This Row],[已存入]])-Store_Setting[[#This Row],[已支取]]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Row],[唯一識別碼]],Store_History[類型],"入库")</f>
        <v>0</v>
      </c>
      <c r="M14" s="18">
        <f>SUMIFS(Store_History[数量],Store_History[唯一識別碼],Store_Setting[[#This Row],[唯一識別碼]],Store_History[類型],"取货")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Row],[商品序號]], " | ", Store_Setting[[#This Row],[商品名稱]])</f>
        <v>5 | 5</v>
      </c>
      <c r="E15" s="17">
        <v>5</v>
      </c>
      <c r="F15" s="123">
        <v>5</v>
      </c>
      <c r="G15" s="113">
        <f>SUM(Store_Setting[[#This Row],[庫存負差]],Store_Setting[[#This Row],[已存入]])-Store_Setting[[#This Row],[已支取]]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Row],[唯一識別碼]],Store_History[類型],"入库")</f>
        <v>0</v>
      </c>
      <c r="M15" s="18">
        <f>SUMIFS(Store_History[数量],Store_History[唯一識別碼],Store_Setting[[#This Row],[唯一識別碼]],Store_History[類型],"取货")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Row],[商品序號]], " | ", Store_Setting[[#This Row],[商品名稱]])</f>
        <v>6 | 6</v>
      </c>
      <c r="E16" s="17">
        <v>6</v>
      </c>
      <c r="F16" s="123">
        <v>6</v>
      </c>
      <c r="G16" s="113">
        <f>SUM(Store_Setting[[#This Row],[庫存負差]],Store_Setting[[#This Row],[已存入]])-Store_Setting[[#This Row],[已支取]]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Row],[唯一識別碼]],Store_History[類型],"入库")</f>
        <v>0</v>
      </c>
      <c r="M16" s="18">
        <f>SUMIFS(Store_History[数量],Store_History[唯一識別碼],Store_Setting[[#This Row],[唯一識別碼]],Store_History[類型],"取货")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Row],[商品序號]], " | ", Store_Setting[[#This Row],[商品名稱]])</f>
        <v>7 | 7</v>
      </c>
      <c r="E17" s="17">
        <v>7</v>
      </c>
      <c r="F17" s="123">
        <v>7</v>
      </c>
      <c r="G17" s="113">
        <f>SUM(Store_Setting[[#This Row],[庫存負差]],Store_Setting[[#This Row],[已存入]])-Store_Setting[[#This Row],[已支取]]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Row],[唯一識別碼]],Store_History[類型],"入库")</f>
        <v>0</v>
      </c>
      <c r="M17" s="18">
        <f>SUMIFS(Store_History[数量],Store_History[唯一識別碼],Store_Setting[[#This Row],[唯一識別碼]],Store_History[類型],"取货")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Row],[商品序號]], " | ", Store_Setting[[#This Row],[商品名稱]])</f>
        <v>8 | 8</v>
      </c>
      <c r="E18" s="17">
        <v>8</v>
      </c>
      <c r="F18" s="123">
        <v>8</v>
      </c>
      <c r="G18" s="113">
        <f>SUM(Store_Setting[[#This Row],[庫存負差]],Store_Setting[[#This Row],[已存入]])-Store_Setting[[#This Row],[已支取]]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Row],[唯一識別碼]],Store_History[類型],"入库")</f>
        <v>0</v>
      </c>
      <c r="M18" s="18">
        <f>SUMIFS(Store_History[数量],Store_History[唯一識別碼],Store_Setting[[#This Row],[唯一識別碼]],Store_History[類型],"取货")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Row],[商品序號]], " | ", Store_Setting[[#This Row],[商品名稱]])</f>
        <v>9 | 9</v>
      </c>
      <c r="E19" s="17">
        <v>9</v>
      </c>
      <c r="F19" s="123">
        <v>9</v>
      </c>
      <c r="G19" s="113">
        <f>SUM(Store_Setting[[#This Row],[庫存負差]],Store_Setting[[#This Row],[已存入]])-Store_Setting[[#This Row],[已支取]]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Row],[唯一識別碼]],Store_History[類型],"入库")</f>
        <v>0</v>
      </c>
      <c r="M19" s="18">
        <f>SUMIFS(Store_History[数量],Store_History[唯一識別碼],Store_Setting[[#This Row],[唯一識別碼]],Store_History[類型],"取货")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Row],[商品序號]], " | ", Store_Setting[[#This Row],[商品名稱]])</f>
        <v>10 | 10</v>
      </c>
      <c r="E20" s="17">
        <v>10</v>
      </c>
      <c r="F20" s="123">
        <v>10</v>
      </c>
      <c r="G20" s="113">
        <f>SUM(Store_Setting[[#This Row],[庫存負差]],Store_Setting[[#This Row],[已存入]])-Store_Setting[[#This Row],[已支取]]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Row],[唯一識別碼]],Store_History[類型],"入库")</f>
        <v>0</v>
      </c>
      <c r="M20" s="18">
        <f>SUMIFS(Store_History[数量],Store_History[唯一識別碼],Store_Setting[[#This Row],[唯一識別碼]],Store_History[類型],"取货")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Row],[商品序號]], " | ", Store_Setting[[#This Row],[商品名稱]])</f>
        <v>11 | 11</v>
      </c>
      <c r="E21" s="17">
        <v>11</v>
      </c>
      <c r="F21" s="123">
        <v>11</v>
      </c>
      <c r="G21" s="113">
        <f>SUM(Store_Setting[[#This Row],[庫存負差]],Store_Setting[[#This Row],[已存入]])-Store_Setting[[#This Row],[已支取]]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Row],[唯一識別碼]],Store_History[類型],"入库")</f>
        <v>0</v>
      </c>
      <c r="M21" s="18">
        <f>SUMIFS(Store_History[数量],Store_History[唯一識別碼],Store_Setting[[#This Row],[唯一識別碼]],Store_History[類型],"取货")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Row],[商品序號]], " | ", Store_Setting[[#This Row],[商品名稱]])</f>
        <v>12 | 12</v>
      </c>
      <c r="E22" s="17">
        <v>12</v>
      </c>
      <c r="F22" s="123">
        <v>12</v>
      </c>
      <c r="G22" s="113">
        <f>SUM(Store_Setting[[#This Row],[庫存負差]],Store_Setting[[#This Row],[已存入]])-Store_Setting[[#This Row],[已支取]]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Row],[唯一識別碼]],Store_History[類型],"入库")</f>
        <v>0</v>
      </c>
      <c r="M22" s="18">
        <f>SUMIFS(Store_History[数量],Store_History[唯一識別碼],Store_Setting[[#This Row],[唯一識別碼]],Store_History[類型],"取货")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Row],[商品序號]], " | ", Store_Setting[[#This Row],[商品名稱]])</f>
        <v>13 | 13</v>
      </c>
      <c r="E23" s="17">
        <v>13</v>
      </c>
      <c r="F23" s="123">
        <v>13</v>
      </c>
      <c r="G23" s="113">
        <f>SUM(Store_Setting[[#This Row],[庫存負差]],Store_Setting[[#This Row],[已存入]])-Store_Setting[[#This Row],[已支取]]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Row],[唯一識別碼]],Store_History[類型],"入库")</f>
        <v>0</v>
      </c>
      <c r="M23" s="18">
        <f>SUMIFS(Store_History[数量],Store_History[唯一識別碼],Store_Setting[[#This Row],[唯一識別碼]],Store_History[類型],"取货")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Row],[商品序號]], " | ", Store_Setting[[#This Row],[商品名稱]])</f>
        <v>14 | 14</v>
      </c>
      <c r="E24" s="17">
        <v>14</v>
      </c>
      <c r="F24" s="123">
        <v>14</v>
      </c>
      <c r="G24" s="113">
        <f>SUM(Store_Setting[[#This Row],[庫存負差]],Store_Setting[[#This Row],[已存入]])-Store_Setting[[#This Row],[已支取]]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Row],[唯一識別碼]],Store_History[類型],"入库")</f>
        <v>0</v>
      </c>
      <c r="M24" s="18">
        <f>SUMIFS(Store_History[数量],Store_History[唯一識別碼],Store_Setting[[#This Row],[唯一識別碼]],Store_History[類型],"取货")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Row],[商品序號]], " | ", Store_Setting[[#This Row],[商品名稱]])</f>
        <v>15 | 15</v>
      </c>
      <c r="E25" s="17">
        <v>15</v>
      </c>
      <c r="F25" s="123">
        <v>15</v>
      </c>
      <c r="G25" s="113">
        <f>SUM(Store_Setting[[#This Row],[庫存負差]],Store_Setting[[#This Row],[已存入]])-Store_Setting[[#This Row],[已支取]]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Row],[唯一識別碼]],Store_History[類型],"入库")</f>
        <v>0</v>
      </c>
      <c r="M25" s="18">
        <f>SUMIFS(Store_History[数量],Store_History[唯一識別碼],Store_Setting[[#This Row],[唯一識別碼]],Store_History[類型],"取货")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Row],[商品序號]], " | ", Store_Setting[[#This Row],[商品名稱]])</f>
        <v>16 | 16</v>
      </c>
      <c r="E26" s="17">
        <v>16</v>
      </c>
      <c r="F26" s="123">
        <v>16</v>
      </c>
      <c r="G26" s="113">
        <f>SUM(Store_Setting[[#This Row],[庫存負差]],Store_Setting[[#This Row],[已存入]])-Store_Setting[[#This Row],[已支取]]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Row],[唯一識別碼]],Store_History[類型],"入库")</f>
        <v>0</v>
      </c>
      <c r="M26" s="18">
        <f>SUMIFS(Store_History[数量],Store_History[唯一識別碼],Store_Setting[[#This Row],[唯一識別碼]],Store_History[類型],"取货")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Row],[商品序號]], " | ", Store_Setting[[#This Row],[商品名稱]])</f>
        <v>17 | 17</v>
      </c>
      <c r="E27" s="17">
        <v>17</v>
      </c>
      <c r="F27" s="123">
        <v>17</v>
      </c>
      <c r="G27" s="113">
        <f>SUM(Store_Setting[[#This Row],[庫存負差]],Store_Setting[[#This Row],[已存入]])-Store_Setting[[#This Row],[已支取]]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Row],[唯一識別碼]],Store_History[類型],"入库")</f>
        <v>0</v>
      </c>
      <c r="M27" s="18">
        <f>SUMIFS(Store_History[数量],Store_History[唯一識別碼],Store_Setting[[#This Row],[唯一識別碼]],Store_History[類型],"取货")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Row],[商品序號]], " | ", Store_Setting[[#This Row],[商品名稱]])</f>
        <v>18 | 18</v>
      </c>
      <c r="E28" s="17">
        <v>18</v>
      </c>
      <c r="F28" s="123">
        <v>18</v>
      </c>
      <c r="G28" s="113">
        <f>SUM(Store_Setting[[#This Row],[庫存負差]],Store_Setting[[#This Row],[已存入]])-Store_Setting[[#This Row],[已支取]]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Row],[唯一識別碼]],Store_History[類型],"入库")</f>
        <v>0</v>
      </c>
      <c r="M28" s="18">
        <f>SUMIFS(Store_History[数量],Store_History[唯一識別碼],Store_Setting[[#This Row],[唯一識別碼]],Store_History[類型],"取货")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Row],[商品序號]], " | ", Store_Setting[[#This Row],[商品名稱]])</f>
        <v>19 | 19</v>
      </c>
      <c r="E29" s="17">
        <v>19</v>
      </c>
      <c r="F29" s="123">
        <v>19</v>
      </c>
      <c r="G29" s="113">
        <f>SUM(Store_Setting[[#This Row],[庫存負差]],Store_Setting[[#This Row],[已存入]])-Store_Setting[[#This Row],[已支取]]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Row],[唯一識別碼]],Store_History[類型],"入库")</f>
        <v>0</v>
      </c>
      <c r="M29" s="18">
        <f>SUMIFS(Store_History[数量],Store_History[唯一識別碼],Store_Setting[[#This Row],[唯一識別碼]],Store_History[類型],"取货")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Row],[商品序號]], " | ", Store_Setting[[#This Row],[商品名稱]])</f>
        <v>20 | 20</v>
      </c>
      <c r="E30" s="17">
        <v>20</v>
      </c>
      <c r="F30" s="123">
        <v>20</v>
      </c>
      <c r="G30" s="113">
        <f>SUM(Store_Setting[[#This Row],[庫存負差]],Store_Setting[[#This Row],[已存入]])-Store_Setting[[#This Row],[已支取]]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Row],[唯一識別碼]],Store_History[類型],"入库")</f>
        <v>0</v>
      </c>
      <c r="M30" s="18">
        <f>SUMIFS(Store_History[数量],Store_History[唯一識別碼],Store_Setting[[#This Row],[唯一識別碼]],Store_History[類型],"取货")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Row],[商品序號]], " | ", Store_Setting[[#This Row],[商品名稱]])</f>
        <v>21 | 21</v>
      </c>
      <c r="E31" s="17">
        <v>21</v>
      </c>
      <c r="F31" s="123">
        <v>21</v>
      </c>
      <c r="G31" s="113">
        <f>SUM(Store_Setting[[#This Row],[庫存負差]],Store_Setting[[#This Row],[已存入]])-Store_Setting[[#This Row],[已支取]]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Row],[唯一識別碼]],Store_History[類型],"入库")</f>
        <v>0</v>
      </c>
      <c r="M31" s="18">
        <f>SUMIFS(Store_History[数量],Store_History[唯一識別碼],Store_Setting[[#This Row],[唯一識別碼]],Store_History[類型],"取货")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Row],[商品序號]], " | ", Store_Setting[[#This Row],[商品名稱]])</f>
        <v>22 | 22</v>
      </c>
      <c r="E32" s="17">
        <v>22</v>
      </c>
      <c r="F32" s="123">
        <v>22</v>
      </c>
      <c r="G32" s="113">
        <f>SUM(Store_Setting[[#This Row],[庫存負差]],Store_Setting[[#This Row],[已存入]])-Store_Setting[[#This Row],[已支取]]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Row],[唯一識別碼]],Store_History[類型],"入库")</f>
        <v>0</v>
      </c>
      <c r="M32" s="18">
        <f>SUMIFS(Store_History[数量],Store_History[唯一識別碼],Store_Setting[[#This Row],[唯一識別碼]],Store_History[類型],"取货")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Row],[商品序號]], " | ", Store_Setting[[#This Row],[商品名稱]])</f>
        <v>23 | 23</v>
      </c>
      <c r="E33" s="17">
        <v>23</v>
      </c>
      <c r="F33" s="123">
        <v>23</v>
      </c>
      <c r="G33" s="113">
        <f>SUM(Store_Setting[[#This Row],[庫存負差]],Store_Setting[[#This Row],[已存入]])-Store_Setting[[#This Row],[已支取]]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Row],[唯一識別碼]],Store_History[類型],"入库")</f>
        <v>0</v>
      </c>
      <c r="M33" s="18">
        <f>SUMIFS(Store_History[数量],Store_History[唯一識別碼],Store_Setting[[#This Row],[唯一識別碼]],Store_History[類型],"取货")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Row],[商品序號]], " | ", Store_Setting[[#This Row],[商品名稱]])</f>
        <v>24 | 24</v>
      </c>
      <c r="E34" s="17">
        <v>24</v>
      </c>
      <c r="F34" s="123">
        <v>24</v>
      </c>
      <c r="G34" s="113">
        <f>SUM(Store_Setting[[#This Row],[庫存負差]],Store_Setting[[#This Row],[已存入]])-Store_Setting[[#This Row],[已支取]]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Row],[唯一識別碼]],Store_History[類型],"入库")</f>
        <v>0</v>
      </c>
      <c r="M34" s="18">
        <f>SUMIFS(Store_History[数量],Store_History[唯一識別碼],Store_Setting[[#This Row],[唯一識別碼]],Store_History[類型],"取货")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Row],[商品序號]], " | ", Store_Setting[[#This Row],[商品名稱]])</f>
        <v>25 | 25</v>
      </c>
      <c r="E35" s="17">
        <v>25</v>
      </c>
      <c r="F35" s="123">
        <v>25</v>
      </c>
      <c r="G35" s="113">
        <f>SUM(Store_Setting[[#This Row],[庫存負差]],Store_Setting[[#This Row],[已存入]])-Store_Setting[[#This Row],[已支取]]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Row],[唯一識別碼]],Store_History[類型],"入库")</f>
        <v>0</v>
      </c>
      <c r="M35" s="18">
        <f>SUMIFS(Store_History[数量],Store_History[唯一識別碼],Store_Setting[[#This Row],[唯一識別碼]],Store_History[類型],"取货")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Row],[商品序號]], " | ", Store_Setting[[#This Row],[商品名稱]])</f>
        <v>26 | 26</v>
      </c>
      <c r="E36" s="17">
        <v>26</v>
      </c>
      <c r="F36" s="123">
        <v>26</v>
      </c>
      <c r="G36" s="113">
        <f>SUM(Store_Setting[[#This Row],[庫存負差]],Store_Setting[[#This Row],[已存入]])-Store_Setting[[#This Row],[已支取]]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Row],[唯一識別碼]],Store_History[類型],"入库")</f>
        <v>0</v>
      </c>
      <c r="M36" s="18">
        <f>SUMIFS(Store_History[数量],Store_History[唯一識別碼],Store_Setting[[#This Row],[唯一識別碼]],Store_History[類型],"取货")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Row],[商品序號]], " | ", Store_Setting[[#This Row],[商品名稱]])</f>
        <v>27 | 27</v>
      </c>
      <c r="E37" s="17">
        <v>27</v>
      </c>
      <c r="F37" s="123">
        <v>27</v>
      </c>
      <c r="G37" s="113">
        <f>SUM(Store_Setting[[#This Row],[庫存負差]],Store_Setting[[#This Row],[已存入]])-Store_Setting[[#This Row],[已支取]]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Row],[唯一識別碼]],Store_History[類型],"入库")</f>
        <v>0</v>
      </c>
      <c r="M37" s="18">
        <f>SUMIFS(Store_History[数量],Store_History[唯一識別碼],Store_Setting[[#This Row],[唯一識別碼]],Store_History[類型],"取货")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Row],[商品序號]], " | ", Store_Setting[[#This Row],[商品名稱]])</f>
        <v>28 | 28</v>
      </c>
      <c r="E38" s="17">
        <v>28</v>
      </c>
      <c r="F38" s="123">
        <v>28</v>
      </c>
      <c r="G38" s="113">
        <f>SUM(Store_Setting[[#This Row],[庫存負差]],Store_Setting[[#This Row],[已存入]])-Store_Setting[[#This Row],[已支取]]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Row],[唯一識別碼]],Store_History[類型],"入库")</f>
        <v>0</v>
      </c>
      <c r="M38" s="18">
        <f>SUMIFS(Store_History[数量],Store_History[唯一識別碼],Store_Setting[[#This Row],[唯一識別碼]],Store_History[類型],"取货")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Row],[商品序號]], " | ", Store_Setting[[#This Row],[商品名稱]])</f>
        <v>29 | 29</v>
      </c>
      <c r="E39" s="17">
        <v>29</v>
      </c>
      <c r="F39" s="123">
        <v>29</v>
      </c>
      <c r="G39" s="113">
        <f>SUM(Store_Setting[[#This Row],[庫存負差]],Store_Setting[[#This Row],[已存入]])-Store_Setting[[#This Row],[已支取]]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Row],[唯一識別碼]],Store_History[類型],"入库")</f>
        <v>0</v>
      </c>
      <c r="M39" s="18">
        <f>SUMIFS(Store_History[数量],Store_History[唯一識別碼],Store_Setting[[#This Row],[唯一識別碼]],Store_History[類型],"取货")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Row],[商品序號]], " | ", Store_Setting[[#This Row],[商品名稱]])</f>
        <v>30 | 30</v>
      </c>
      <c r="E40" s="17">
        <v>30</v>
      </c>
      <c r="F40" s="123">
        <v>30</v>
      </c>
      <c r="G40" s="113">
        <f>SUM(Store_Setting[[#This Row],[庫存負差]],Store_Setting[[#This Row],[已存入]])-Store_Setting[[#This Row],[已支取]]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Row],[唯一識別碼]],Store_History[類型],"入库")</f>
        <v>0</v>
      </c>
      <c r="M40" s="18">
        <f>SUMIFS(Store_History[数量],Store_History[唯一識別碼],Store_Setting[[#This Row],[唯一識別碼]],Store_History[類型],"取货")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Row],[商品序號]], " | ", Store_Setting[[#This Row],[商品名稱]])</f>
        <v>31 | 31</v>
      </c>
      <c r="E41" s="17">
        <v>31</v>
      </c>
      <c r="F41" s="123">
        <v>31</v>
      </c>
      <c r="G41" s="113">
        <f>SUM(Store_Setting[[#This Row],[庫存負差]],Store_Setting[[#This Row],[已存入]])-Store_Setting[[#This Row],[已支取]]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Row],[唯一識別碼]],Store_History[類型],"入库")</f>
        <v>0</v>
      </c>
      <c r="M41" s="18">
        <f>SUMIFS(Store_History[数量],Store_History[唯一識別碼],Store_Setting[[#This Row],[唯一識別碼]],Store_History[類型],"取货")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Row],[商品序號]], " | ", Store_Setting[[#This Row],[商品名稱]])</f>
        <v>32 | 32</v>
      </c>
      <c r="E42" s="17">
        <v>32</v>
      </c>
      <c r="F42" s="123">
        <v>32</v>
      </c>
      <c r="G42" s="113">
        <f>SUM(Store_Setting[[#This Row],[庫存負差]],Store_Setting[[#This Row],[已存入]])-Store_Setting[[#This Row],[已支取]]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Row],[唯一識別碼]],Store_History[類型],"入库")</f>
        <v>0</v>
      </c>
      <c r="M42" s="18">
        <f>SUMIFS(Store_History[数量],Store_History[唯一識別碼],Store_Setting[[#This Row],[唯一識別碼]],Store_History[類型],"取货")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Row],[商品序號]], " | ", Store_Setting[[#This Row],[商品名稱]])</f>
        <v>33 | 33</v>
      </c>
      <c r="E43" s="17">
        <v>33</v>
      </c>
      <c r="F43" s="123">
        <v>33</v>
      </c>
      <c r="G43" s="113">
        <f>SUM(Store_Setting[[#This Row],[庫存負差]],Store_Setting[[#This Row],[已存入]])-Store_Setting[[#This Row],[已支取]]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Row],[唯一識別碼]],Store_History[類型],"入库")</f>
        <v>0</v>
      </c>
      <c r="M43" s="18">
        <f>SUMIFS(Store_History[数量],Store_History[唯一識別碼],Store_Setting[[#This Row],[唯一識別碼]],Store_History[類型],"取货")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Row],[商品序號]], " | ", Store_Setting[[#This Row],[商品名稱]])</f>
        <v>34 | 34</v>
      </c>
      <c r="E44" s="17">
        <v>34</v>
      </c>
      <c r="F44" s="123">
        <v>34</v>
      </c>
      <c r="G44" s="113">
        <f>SUM(Store_Setting[[#This Row],[庫存負差]],Store_Setting[[#This Row],[已存入]])-Store_Setting[[#This Row],[已支取]]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Row],[唯一識別碼]],Store_History[類型],"入库")</f>
        <v>0</v>
      </c>
      <c r="M44" s="18">
        <f>SUMIFS(Store_History[数量],Store_History[唯一識別碼],Store_Setting[[#This Row],[唯一識別碼]],Store_History[類型],"取货")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Row],[商品序號]], " | ", Store_Setting[[#This Row],[商品名稱]])</f>
        <v>35 | 35</v>
      </c>
      <c r="E45" s="17">
        <v>35</v>
      </c>
      <c r="F45" s="123">
        <v>35</v>
      </c>
      <c r="G45" s="113">
        <f>SUM(Store_Setting[[#This Row],[庫存負差]],Store_Setting[[#This Row],[已存入]])-Store_Setting[[#This Row],[已支取]]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Row],[唯一識別碼]],Store_History[類型],"入库")</f>
        <v>0</v>
      </c>
      <c r="M45" s="18">
        <f>SUMIFS(Store_History[数量],Store_History[唯一識別碼],Store_Setting[[#This Row],[唯一識別碼]],Store_History[類型],"取货")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Row],[商品序號]], " | ", Store_Setting[[#This Row],[商品名稱]])</f>
        <v>36 | 36</v>
      </c>
      <c r="E46" s="17">
        <v>36</v>
      </c>
      <c r="F46" s="123">
        <v>36</v>
      </c>
      <c r="G46" s="113">
        <f>SUM(Store_Setting[[#This Row],[庫存負差]],Store_Setting[[#This Row],[已存入]])-Store_Setting[[#This Row],[已支取]]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Row],[唯一識別碼]],Store_History[類型],"入库")</f>
        <v>0</v>
      </c>
      <c r="M46" s="18">
        <f>SUMIFS(Store_History[数量],Store_History[唯一識別碼],Store_Setting[[#This Row],[唯一識別碼]],Store_History[類型],"取货")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Row],[商品序號]], " | ", Store_Setting[[#This Row],[商品名稱]])</f>
        <v>37 | 37</v>
      </c>
      <c r="E47" s="17">
        <v>37</v>
      </c>
      <c r="F47" s="123">
        <v>37</v>
      </c>
      <c r="G47" s="113">
        <f>SUM(Store_Setting[[#This Row],[庫存負差]],Store_Setting[[#This Row],[已存入]])-Store_Setting[[#This Row],[已支取]]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Row],[唯一識別碼]],Store_History[類型],"入库")</f>
        <v>0</v>
      </c>
      <c r="M47" s="18">
        <f>SUMIFS(Store_History[数量],Store_History[唯一識別碼],Store_Setting[[#This Row],[唯一識別碼]],Store_History[類型],"取货")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Row],[商品序號]], " | ", Store_Setting[[#This Row],[商品名稱]])</f>
        <v>38 | 38</v>
      </c>
      <c r="E48" s="17">
        <v>38</v>
      </c>
      <c r="F48" s="123">
        <v>38</v>
      </c>
      <c r="G48" s="113">
        <f>SUM(Store_Setting[[#This Row],[庫存負差]],Store_Setting[[#This Row],[已存入]])-Store_Setting[[#This Row],[已支取]]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Row],[唯一識別碼]],Store_History[類型],"入库")</f>
        <v>0</v>
      </c>
      <c r="M48" s="18">
        <f>SUMIFS(Store_History[数量],Store_History[唯一識別碼],Store_Setting[[#This Row],[唯一識別碼]],Store_History[類型],"取货")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Row],[商品序號]], " | ", Store_Setting[[#This Row],[商品名稱]])</f>
        <v>39 | 39</v>
      </c>
      <c r="E49" s="17">
        <v>39</v>
      </c>
      <c r="F49" s="123">
        <v>39</v>
      </c>
      <c r="G49" s="113">
        <f>SUM(Store_Setting[[#This Row],[庫存負差]],Store_Setting[[#This Row],[已存入]])-Store_Setting[[#This Row],[已支取]]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Row],[唯一識別碼]],Store_History[類型],"入库")</f>
        <v>0</v>
      </c>
      <c r="M49" s="18">
        <f>SUMIFS(Store_History[数量],Store_History[唯一識別碼],Store_Setting[[#This Row],[唯一識別碼]],Store_History[類型],"取货")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Row],[商品序號]], " | ", Store_Setting[[#This Row],[商品名稱]])</f>
        <v>40 | 40</v>
      </c>
      <c r="E50" s="17">
        <v>40</v>
      </c>
      <c r="F50" s="123">
        <v>40</v>
      </c>
      <c r="G50" s="113">
        <f>SUM(Store_Setting[[#This Row],[庫存負差]],Store_Setting[[#This Row],[已存入]])-Store_Setting[[#This Row],[已支取]]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Row],[唯一識別碼]],Store_History[類型],"入库")</f>
        <v>0</v>
      </c>
      <c r="M50" s="18">
        <f>SUMIFS(Store_History[数量],Store_History[唯一識別碼],Store_Setting[[#This Row],[唯一識別碼]],Store_History[類型],"取货")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11</v>
      </c>
      <c r="C52" s="27" t="s">
        <v>247</v>
      </c>
      <c r="D52" s="125" t="s">
        <v>169</v>
      </c>
      <c r="E52" s="73"/>
      <c r="F52" s="73"/>
      <c r="G52" s="73"/>
      <c r="H52" s="73"/>
      <c r="I52" s="73"/>
      <c r="J52" s="73"/>
      <c r="K52" s="73"/>
      <c r="L52" s="73"/>
      <c r="M52" s="73"/>
    </row>
    <row r="53" spans="2:13" ht="39.950000000000003" customHeight="1" x14ac:dyDescent="0.25">
      <c r="B53" s="26"/>
      <c r="C53" s="27" t="s">
        <v>248</v>
      </c>
      <c r="D53" s="126" t="s">
        <v>266</v>
      </c>
      <c r="E53" s="126" t="s">
        <v>169</v>
      </c>
      <c r="F53" s="126"/>
      <c r="G53" s="127"/>
      <c r="H53" s="127"/>
      <c r="I53" s="127"/>
      <c r="J53" s="127"/>
      <c r="K53" s="127"/>
      <c r="L53" s="127"/>
      <c r="M53" s="127"/>
    </row>
    <row r="54" spans="2:13" ht="39.950000000000003" customHeight="1" x14ac:dyDescent="0.25">
      <c r="B54" s="26"/>
      <c r="C54" s="27" t="s">
        <v>249</v>
      </c>
      <c r="D54" s="126"/>
      <c r="E54" s="126"/>
      <c r="F54" s="126"/>
      <c r="G54" s="127"/>
      <c r="H54" s="127"/>
      <c r="I54" s="127"/>
      <c r="J54" s="127"/>
      <c r="K54" s="127"/>
      <c r="L54" s="127"/>
      <c r="M54" s="127"/>
    </row>
    <row r="55" spans="2:13" ht="8.1" customHeight="1" x14ac:dyDescent="0.25">
      <c r="B55" s="109"/>
      <c r="D55" s="110"/>
      <c r="E55" s="110"/>
      <c r="F55" s="110"/>
      <c r="G55" s="110"/>
      <c r="H55" s="110"/>
      <c r="I55" s="110"/>
      <c r="J55" s="110"/>
      <c r="K55" s="110"/>
      <c r="L55" s="110"/>
      <c r="M55" s="110"/>
    </row>
    <row r="56" spans="2:13" ht="39.950000000000003" customHeight="1" x14ac:dyDescent="0.25">
      <c r="B56" s="26" t="s">
        <v>12</v>
      </c>
      <c r="C56" s="27" t="s">
        <v>261</v>
      </c>
      <c r="D56" s="29" t="s">
        <v>19</v>
      </c>
      <c r="E56" s="12" t="s">
        <v>263</v>
      </c>
      <c r="F56" s="12" t="s">
        <v>264</v>
      </c>
      <c r="G56" s="30" t="s">
        <v>265</v>
      </c>
      <c r="H56" s="30" t="s">
        <v>15</v>
      </c>
      <c r="I56" s="30" t="s">
        <v>16</v>
      </c>
      <c r="J56" s="152"/>
      <c r="K56" s="152"/>
      <c r="L56" s="152"/>
      <c r="M56" s="152"/>
    </row>
    <row r="57" spans="2:13" ht="39.950000000000003" customHeight="1" x14ac:dyDescent="0.25">
      <c r="B57" s="26"/>
      <c r="C57" s="27"/>
      <c r="D57" s="65" t="s">
        <v>83</v>
      </c>
      <c r="E57" s="65" t="s">
        <v>84</v>
      </c>
      <c r="F57" s="65" t="s">
        <v>84</v>
      </c>
      <c r="G57" s="65" t="s">
        <v>84</v>
      </c>
      <c r="H57" s="65" t="s">
        <v>84</v>
      </c>
      <c r="I57" s="65" t="s">
        <v>84</v>
      </c>
      <c r="J57" s="152"/>
      <c r="K57" s="152"/>
      <c r="L57" s="152"/>
      <c r="M57" s="152"/>
    </row>
    <row r="58" spans="2:13" ht="39.950000000000003" customHeight="1" x14ac:dyDescent="0.25">
      <c r="B58" s="26"/>
      <c r="C58" s="73" t="s">
        <v>262</v>
      </c>
      <c r="D58" s="65" t="s">
        <v>84</v>
      </c>
      <c r="E58" s="153" t="s">
        <v>260</v>
      </c>
      <c r="F58" s="152"/>
      <c r="G58" s="152"/>
      <c r="H58" s="152"/>
      <c r="I58" s="152"/>
      <c r="J58" s="152"/>
      <c r="K58" s="152"/>
      <c r="L58" s="152"/>
      <c r="M58" s="152"/>
    </row>
    <row r="59" spans="2:13" ht="8.1" customHeight="1" x14ac:dyDescent="0.25">
      <c r="B59" s="109"/>
      <c r="D59" s="110"/>
      <c r="E59" s="110"/>
      <c r="F59" s="110"/>
      <c r="G59" s="110"/>
      <c r="H59" s="110"/>
      <c r="I59" s="110"/>
      <c r="J59" s="110"/>
      <c r="K59" s="110"/>
      <c r="L59" s="110"/>
      <c r="M59" s="110"/>
    </row>
    <row r="60" spans="2:13" ht="39.950000000000003" customHeight="1" x14ac:dyDescent="0.25">
      <c r="B60" s="26" t="s">
        <v>17</v>
      </c>
      <c r="C60" s="27" t="s">
        <v>251</v>
      </c>
      <c r="D60" s="125" t="s">
        <v>152</v>
      </c>
      <c r="E60" s="125" t="s">
        <v>257</v>
      </c>
      <c r="F60" s="125" t="s">
        <v>153</v>
      </c>
      <c r="G60" s="125" t="s">
        <v>161</v>
      </c>
      <c r="H60" s="125" t="s">
        <v>162</v>
      </c>
      <c r="I60" s="125" t="s">
        <v>163</v>
      </c>
      <c r="J60" s="125" t="s">
        <v>164</v>
      </c>
      <c r="K60" s="125"/>
      <c r="L60" s="125"/>
      <c r="M60" s="125"/>
    </row>
    <row r="61" spans="2:13" ht="39.950000000000003" customHeight="1" x14ac:dyDescent="0.25">
      <c r="B61" s="26"/>
      <c r="C61" s="73" t="s">
        <v>258</v>
      </c>
      <c r="D61" s="65" t="s">
        <v>83</v>
      </c>
      <c r="E61" s="153" t="s">
        <v>259</v>
      </c>
      <c r="F61" s="27"/>
      <c r="G61" s="27"/>
      <c r="H61" s="27"/>
      <c r="I61" s="27"/>
      <c r="J61" s="27"/>
      <c r="K61" s="27"/>
      <c r="L61" s="27"/>
      <c r="M61" s="27"/>
    </row>
    <row r="62" spans="2:13" ht="8.1" customHeight="1" x14ac:dyDescent="0.25"/>
    <row r="63" spans="2:13" ht="39.950000000000003" customHeight="1" x14ac:dyDescent="0.25">
      <c r="B63" s="142" t="s">
        <v>149</v>
      </c>
      <c r="C63" s="27" t="s">
        <v>2</v>
      </c>
      <c r="D63" s="150" t="s">
        <v>5</v>
      </c>
      <c r="E63" s="150" t="s">
        <v>6</v>
      </c>
      <c r="F63" s="151"/>
      <c r="G63" s="151"/>
      <c r="H63" s="151"/>
      <c r="I63" s="151"/>
      <c r="J63" s="151"/>
      <c r="K63" s="151"/>
      <c r="L63" s="151"/>
      <c r="M63" s="151"/>
    </row>
    <row r="64" spans="2:13" ht="8.1" customHeight="1" x14ac:dyDescent="0.25">
      <c r="B64" s="109"/>
      <c r="D64" s="110"/>
      <c r="E64" s="110"/>
      <c r="F64" s="110"/>
      <c r="G64" s="110"/>
      <c r="H64" s="110"/>
      <c r="I64" s="110"/>
      <c r="J64" s="110"/>
      <c r="K64" s="110"/>
      <c r="L64" s="110"/>
      <c r="M64" s="110"/>
    </row>
    <row r="65" spans="2:13" ht="39.950000000000003" customHeight="1" x14ac:dyDescent="0.25">
      <c r="B65" s="142" t="s">
        <v>160</v>
      </c>
      <c r="C65" s="27" t="s">
        <v>177</v>
      </c>
      <c r="D65" s="150" t="s">
        <v>252</v>
      </c>
      <c r="E65" s="150" t="s">
        <v>253</v>
      </c>
      <c r="F65" s="151"/>
      <c r="G65" s="151"/>
      <c r="H65" s="151"/>
      <c r="I65" s="151"/>
      <c r="J65" s="151"/>
      <c r="K65" s="151"/>
      <c r="L65" s="151"/>
      <c r="M65" s="151"/>
    </row>
    <row r="66" spans="2:13" ht="8.1" customHeight="1" x14ac:dyDescent="0.25">
      <c r="B66" s="109"/>
      <c r="D66" s="110"/>
      <c r="E66" s="110"/>
      <c r="F66" s="110"/>
      <c r="G66" s="110"/>
      <c r="H66" s="110"/>
      <c r="I66" s="110"/>
      <c r="J66" s="110"/>
      <c r="K66" s="110"/>
      <c r="L66" s="110"/>
      <c r="M66" s="110"/>
    </row>
    <row r="67" spans="2:13" ht="39.950000000000003" customHeight="1" x14ac:dyDescent="0.25">
      <c r="B67" s="142" t="s">
        <v>166</v>
      </c>
      <c r="C67" s="27" t="s">
        <v>0</v>
      </c>
      <c r="D67" s="150" t="s">
        <v>7</v>
      </c>
      <c r="E67" s="150" t="s">
        <v>8</v>
      </c>
      <c r="F67" s="151"/>
      <c r="G67" s="151"/>
      <c r="H67" s="151"/>
      <c r="I67" s="151"/>
      <c r="J67" s="151"/>
      <c r="K67" s="151"/>
      <c r="L67" s="151"/>
      <c r="M67" s="151"/>
    </row>
    <row r="68" spans="2:13" ht="8.1" customHeight="1" x14ac:dyDescent="0.25">
      <c r="B68" s="109"/>
      <c r="D68" s="110"/>
      <c r="E68" s="110"/>
      <c r="F68" s="110"/>
      <c r="G68" s="110"/>
      <c r="H68" s="110"/>
      <c r="I68" s="110"/>
      <c r="J68" s="110"/>
      <c r="K68" s="110"/>
      <c r="L68" s="110"/>
      <c r="M68" s="110"/>
    </row>
    <row r="69" spans="2:13" ht="39.950000000000003" customHeight="1" x14ac:dyDescent="0.25">
      <c r="B69" s="142" t="s">
        <v>244</v>
      </c>
      <c r="C69" s="156" t="s">
        <v>195</v>
      </c>
      <c r="D69" s="157" t="str">
        <f>_xlfn.CONCAT("共有 ", COUNT(UserInfo[序號]), " 人", "，男佔 ", COUNTIF(UserInfo[性別],"男")," 人", "，女佔 ", COUNTIF(UserInfo[性別],"女")," 人")</f>
        <v>共有 2 人，男佔 1 人，女佔 1 人</v>
      </c>
      <c r="E69" s="152"/>
      <c r="F69" s="27"/>
      <c r="G69" s="27"/>
      <c r="H69" s="27"/>
      <c r="I69" s="27"/>
      <c r="J69" s="27"/>
      <c r="K69" s="27"/>
      <c r="L69" s="27"/>
      <c r="M69" s="27"/>
    </row>
    <row r="70" spans="2:13" ht="39.950000000000003" customHeight="1" x14ac:dyDescent="0.25">
      <c r="B70" s="142"/>
      <c r="C70" s="156" t="s">
        <v>250</v>
      </c>
      <c r="D70" s="157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0" s="152"/>
      <c r="F70" s="27"/>
      <c r="G70" s="27"/>
      <c r="H70" s="27"/>
      <c r="I70" s="27"/>
      <c r="J70" s="27"/>
      <c r="K70" s="27"/>
      <c r="L70" s="27"/>
      <c r="M70" s="27"/>
    </row>
    <row r="71" spans="2:13" ht="39.950000000000003" customHeight="1" x14ac:dyDescent="0.25">
      <c r="B71" s="142"/>
      <c r="C71" s="156" t="s">
        <v>220</v>
      </c>
      <c r="D71" s="157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71" s="152"/>
      <c r="F71" s="27"/>
      <c r="G71" s="158"/>
      <c r="H71" s="27"/>
      <c r="I71" s="27"/>
      <c r="J71" s="27"/>
      <c r="K71" s="27"/>
      <c r="L71" s="27"/>
      <c r="M71" s="27"/>
    </row>
    <row r="72" spans="2:13" ht="39.950000000000003" customHeight="1" x14ac:dyDescent="0.25">
      <c r="B72" s="142"/>
      <c r="C72" s="156" t="s">
        <v>196</v>
      </c>
      <c r="D72" s="157" t="str">
        <f>_xlfn.CONCAT("共有 ", COUNTA(Get_Staff_Member)," 位元員工")</f>
        <v>共有 2 位元員工</v>
      </c>
      <c r="E72" s="152"/>
      <c r="F72" s="27"/>
      <c r="G72" s="27"/>
      <c r="H72" s="27"/>
      <c r="I72" s="27"/>
      <c r="J72" s="27"/>
      <c r="K72" s="27"/>
      <c r="L72" s="27"/>
      <c r="M72" s="27"/>
    </row>
    <row r="73" spans="2:13" ht="39.950000000000003" customHeight="1" x14ac:dyDescent="0.25">
      <c r="B73" s="142"/>
      <c r="C73" s="156" t="s">
        <v>251</v>
      </c>
      <c r="D73" s="157" t="str">
        <f>_xlfn.CONCAT("已設定 ", COUNTA(Get_Work_Unit)," 個單位")</f>
        <v>已設定 7 個單位</v>
      </c>
      <c r="E73" s="152"/>
      <c r="F73" s="27"/>
      <c r="G73" s="27"/>
      <c r="H73" s="27"/>
      <c r="I73" s="27"/>
      <c r="J73" s="27"/>
      <c r="K73" s="27"/>
      <c r="L73" s="27"/>
      <c r="M73" s="27"/>
    </row>
    <row r="74" spans="2:13" ht="15.95" customHeight="1" x14ac:dyDescent="0.25"/>
    <row r="75" spans="2:13" ht="39.950000000000003" customHeight="1" x14ac:dyDescent="0.25">
      <c r="B75" s="44" t="s">
        <v>256</v>
      </c>
      <c r="C75" s="44"/>
      <c r="D75" s="44"/>
      <c r="E75" s="44"/>
    </row>
    <row r="76" spans="2:13" ht="39.950000000000003" customHeight="1" x14ac:dyDescent="0.25">
      <c r="B76" s="31" t="s">
        <v>254</v>
      </c>
      <c r="C76" s="36" t="s">
        <v>86</v>
      </c>
      <c r="D76" s="45"/>
      <c r="E76" s="45"/>
    </row>
    <row r="77" spans="2:13" ht="39.950000000000003" customHeight="1" x14ac:dyDescent="0.25">
      <c r="B77" s="31" t="s">
        <v>14</v>
      </c>
      <c r="C77" s="40" t="s">
        <v>13</v>
      </c>
      <c r="D77" s="43"/>
      <c r="E77" s="43"/>
    </row>
    <row r="78" spans="2:13" ht="39.950000000000003" customHeight="1" x14ac:dyDescent="0.25">
      <c r="B78" s="31" t="s">
        <v>255</v>
      </c>
      <c r="C78" s="36" t="s">
        <v>85</v>
      </c>
      <c r="D78" s="45"/>
      <c r="E78" s="45"/>
    </row>
    <row r="79" spans="2:13" ht="39.950000000000003" customHeight="1" x14ac:dyDescent="0.25">
      <c r="B79" s="31" t="s">
        <v>82</v>
      </c>
      <c r="C79" s="36" t="s">
        <v>178</v>
      </c>
      <c r="D79" s="36"/>
      <c r="E79" s="36"/>
    </row>
    <row r="80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 D61 D57:I57" xr:uid="{74448FB4-19CD-48A8-B0C3-0146D7793234}">
      <formula1>"是, 否"</formula1>
    </dataValidation>
  </dataValidations>
  <hyperlinks>
    <hyperlink ref="C78" r:id="rId1" xr:uid="{4E14B09B-F407-4922-ABB2-323A16485ECB}"/>
    <hyperlink ref="C7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29" customWidth="1"/>
    <col min="3" max="3" width="14.7109375" style="129" customWidth="1"/>
    <col min="4" max="4" width="15.7109375" style="129" customWidth="1"/>
    <col min="5" max="5" width="44.7109375" style="129" customWidth="1"/>
    <col min="6" max="6" width="5.7109375" style="130" customWidth="1"/>
    <col min="7" max="8" width="2.7109375" style="129" customWidth="1"/>
    <col min="9" max="16384" width="9.140625" style="129" hidden="1"/>
  </cols>
  <sheetData>
    <row r="1" spans="1:8" s="154" customFormat="1" ht="6" customHeight="1" x14ac:dyDescent="0.25">
      <c r="F1" s="155"/>
    </row>
    <row r="2" spans="1:8" ht="54.95" customHeight="1" x14ac:dyDescent="0.25">
      <c r="A2" s="2"/>
      <c r="B2" s="4" t="str">
        <f>設定!D7 &amp;" - 新增入庫取貨"</f>
        <v>Yi - 新增入庫取貨</v>
      </c>
      <c r="C2" s="4"/>
      <c r="D2" s="4"/>
      <c r="E2" s="2"/>
      <c r="F2" s="80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1"/>
      <c r="G4" s="1"/>
    </row>
    <row r="5" spans="1:8" ht="35.1" customHeight="1" x14ac:dyDescent="0.25">
      <c r="B5" s="1"/>
      <c r="C5" s="9" t="s">
        <v>267</v>
      </c>
      <c r="D5" s="8"/>
      <c r="E5" s="10"/>
      <c r="F5" s="82"/>
      <c r="G5" s="1"/>
    </row>
    <row r="6" spans="1:8" ht="14.1" customHeight="1" x14ac:dyDescent="0.25">
      <c r="B6" s="1"/>
      <c r="C6" s="1"/>
      <c r="D6" s="1"/>
      <c r="E6" s="1"/>
      <c r="F6" s="81"/>
      <c r="G6" s="1"/>
    </row>
    <row r="7" spans="1:8" ht="35.1" customHeight="1" x14ac:dyDescent="0.25">
      <c r="B7" s="1"/>
      <c r="C7" s="1" t="s">
        <v>235</v>
      </c>
      <c r="D7" s="11" t="s">
        <v>236</v>
      </c>
      <c r="E7" s="34"/>
      <c r="F7" s="114">
        <v>-1</v>
      </c>
      <c r="G7" s="60"/>
    </row>
    <row r="8" spans="1:8" ht="35.1" customHeight="1" x14ac:dyDescent="0.25">
      <c r="B8" s="1"/>
      <c r="C8" s="1"/>
      <c r="D8" s="35" t="s">
        <v>274</v>
      </c>
      <c r="E8" s="32" t="str">
        <f>IFERROR(VLOOKUP(E7,Store_Setting[[唯一識別碼]:[取貨小計]],2,0)&amp;"","")</f>
        <v/>
      </c>
      <c r="F8" s="77"/>
      <c r="G8" s="60"/>
    </row>
    <row r="9" spans="1:8" ht="35.1" customHeight="1" x14ac:dyDescent="0.25">
      <c r="B9" s="1"/>
      <c r="C9" s="1"/>
      <c r="D9" s="35" t="s">
        <v>238</v>
      </c>
      <c r="E9" s="32" t="str">
        <f>IFERROR(VLOOKUP(E7,Store_Setting[[唯一識別碼]:[取貨小計]],3,0)&amp;"","")</f>
        <v/>
      </c>
      <c r="F9" s="77"/>
      <c r="G9" s="60"/>
    </row>
    <row r="10" spans="1:8" ht="15" customHeight="1" x14ac:dyDescent="0.25">
      <c r="B10" s="1"/>
      <c r="C10" s="1"/>
      <c r="D10" s="1"/>
      <c r="E10" s="1"/>
      <c r="F10" s="77"/>
      <c r="G10" s="60"/>
    </row>
    <row r="11" spans="1:8" ht="35.1" customHeight="1" x14ac:dyDescent="0.25">
      <c r="B11" s="1"/>
      <c r="C11" s="1" t="s">
        <v>155</v>
      </c>
      <c r="D11" s="11" t="s">
        <v>275</v>
      </c>
      <c r="E11" s="33"/>
      <c r="F11" s="115">
        <v>-1</v>
      </c>
      <c r="G11" s="60"/>
    </row>
    <row r="12" spans="1:8" ht="35.1" customHeight="1" x14ac:dyDescent="0.25">
      <c r="B12" s="1"/>
      <c r="C12" s="1"/>
      <c r="D12" s="11" t="s">
        <v>276</v>
      </c>
      <c r="E12" s="64"/>
      <c r="F12" s="115">
        <v>-1</v>
      </c>
      <c r="G12" s="60"/>
    </row>
    <row r="13" spans="1:8" ht="35.1" customHeight="1" x14ac:dyDescent="0.25">
      <c r="B13" s="1"/>
      <c r="C13" s="1"/>
      <c r="D13" s="11" t="s">
        <v>251</v>
      </c>
      <c r="E13" s="34"/>
      <c r="F13" s="114">
        <v>-1</v>
      </c>
      <c r="G13" s="60"/>
    </row>
    <row r="14" spans="1:8" ht="15" customHeight="1" x14ac:dyDescent="0.25">
      <c r="B14" s="1"/>
      <c r="C14" s="1"/>
      <c r="D14" s="1"/>
      <c r="E14" s="1"/>
      <c r="F14" s="77"/>
      <c r="G14" s="60"/>
    </row>
    <row r="15" spans="1:8" ht="35.1" customHeight="1" x14ac:dyDescent="0.25">
      <c r="B15" s="1"/>
      <c r="C15" s="1"/>
      <c r="D15" s="11" t="s">
        <v>272</v>
      </c>
      <c r="E15" s="14"/>
      <c r="F15" s="78"/>
      <c r="G15" s="60"/>
    </row>
    <row r="16" spans="1:8" ht="15" customHeight="1" x14ac:dyDescent="0.25">
      <c r="B16" s="1"/>
      <c r="C16" s="1"/>
      <c r="D16" s="1"/>
      <c r="E16" s="1"/>
      <c r="F16" s="77"/>
      <c r="G16" s="60"/>
    </row>
    <row r="17" spans="2:12" ht="35.1" customHeight="1" x14ac:dyDescent="0.25">
      <c r="B17" s="1"/>
      <c r="C17" s="1" t="s">
        <v>270</v>
      </c>
      <c r="D17" s="11" t="s">
        <v>273</v>
      </c>
      <c r="E17" s="33" t="s">
        <v>169</v>
      </c>
      <c r="F17" s="77"/>
      <c r="G17" s="60"/>
    </row>
    <row r="18" spans="2:12" ht="14.1" customHeight="1" x14ac:dyDescent="0.25">
      <c r="B18" s="1"/>
      <c r="C18" s="1"/>
      <c r="D18" s="1"/>
      <c r="E18" s="1"/>
      <c r="F18" s="81"/>
      <c r="G18" s="1"/>
    </row>
    <row r="19" spans="2:12" ht="14.1" customHeight="1" x14ac:dyDescent="0.25"/>
    <row r="20" spans="2:12" ht="39.950000000000003" hidden="1" customHeight="1" x14ac:dyDescent="0.25">
      <c r="L20" s="12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8" customWidth="1"/>
    <col min="4" max="4" width="12.7109375" style="87" customWidth="1"/>
    <col min="5" max="5" width="12.7109375" style="90" customWidth="1"/>
    <col min="6" max="6" width="12.7109375" style="87" customWidth="1"/>
    <col min="7" max="7" width="26.7109375" style="88" customWidth="1"/>
    <col min="8" max="8" width="12.7109375" style="87" customWidth="1"/>
    <col min="9" max="9" width="44.7109375" style="134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54" customFormat="1" ht="6" customHeight="1" x14ac:dyDescent="0.25"/>
    <row r="2" spans="2:9" s="2" customFormat="1" ht="54.95" customHeight="1" x14ac:dyDescent="0.25">
      <c r="B2" s="4" t="str">
        <f>設定!D7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274</v>
      </c>
      <c r="C6" s="6" t="s">
        <v>236</v>
      </c>
      <c r="D6" s="6" t="s">
        <v>275</v>
      </c>
      <c r="E6" s="6" t="s">
        <v>150</v>
      </c>
      <c r="F6" s="6" t="s">
        <v>151</v>
      </c>
      <c r="G6" s="6" t="s">
        <v>1</v>
      </c>
      <c r="H6" s="6" t="s">
        <v>3</v>
      </c>
      <c r="I6" s="6" t="s">
        <v>4</v>
      </c>
    </row>
    <row r="7" spans="2:9" ht="39.950000000000003" customHeight="1" x14ac:dyDescent="0.25">
      <c r="B7" s="54" cm="1">
        <f t="array" ref="B7">SNGKI</f>
        <v>1</v>
      </c>
      <c r="C7" s="121" t="s">
        <v>170</v>
      </c>
      <c r="D7" s="55" t="s">
        <v>252</v>
      </c>
      <c r="E7" s="16"/>
      <c r="F7" s="19"/>
      <c r="G7" s="86">
        <v>45268.505555555559</v>
      </c>
      <c r="H7" s="55" t="s">
        <v>169</v>
      </c>
      <c r="I7" s="131" t="s">
        <v>174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3" customWidth="1"/>
    <col min="3" max="3" width="14.7109375" style="133" customWidth="1"/>
    <col min="4" max="4" width="15.7109375" style="133" customWidth="1"/>
    <col min="5" max="5" width="44.7109375" style="133" customWidth="1"/>
    <col min="6" max="6" width="5.7109375" style="132" customWidth="1"/>
    <col min="7" max="8" width="2.7109375" style="132" customWidth="1"/>
    <col min="9" max="16384" width="9.140625" style="132" hidden="1"/>
  </cols>
  <sheetData>
    <row r="1" spans="1:8" ht="6" customHeight="1" x14ac:dyDescent="0.25">
      <c r="A1" s="57"/>
      <c r="B1" s="57"/>
      <c r="C1" s="57"/>
      <c r="D1" s="57"/>
      <c r="E1" s="57"/>
      <c r="F1" s="75"/>
      <c r="G1" s="75"/>
      <c r="H1" s="75"/>
    </row>
    <row r="2" spans="1:8" ht="54.95" customHeight="1" x14ac:dyDescent="0.25">
      <c r="A2" s="59"/>
      <c r="B2" s="58" t="str">
        <f>設定!D7 &amp;" - 新增會員"</f>
        <v>Yi - 新增會員</v>
      </c>
      <c r="C2" s="58"/>
      <c r="D2" s="58"/>
      <c r="E2" s="59"/>
      <c r="F2" s="76"/>
      <c r="G2" s="76"/>
      <c r="H2" s="76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267</v>
      </c>
      <c r="D5" s="8"/>
      <c r="E5" s="62"/>
      <c r="F5" s="83"/>
      <c r="G5" s="77"/>
    </row>
    <row r="6" spans="1:8" ht="14.1" customHeight="1" x14ac:dyDescent="0.25">
      <c r="B6" s="60"/>
      <c r="C6" s="60"/>
      <c r="D6" s="60"/>
      <c r="E6" s="60"/>
      <c r="F6" s="77"/>
      <c r="G6" s="77"/>
    </row>
    <row r="7" spans="1:8" ht="35.1" customHeight="1" x14ac:dyDescent="0.25">
      <c r="B7" s="60"/>
      <c r="C7" s="60" t="s">
        <v>268</v>
      </c>
      <c r="D7" s="144" t="s">
        <v>236</v>
      </c>
      <c r="E7" s="148" t="str">
        <f>CONCATENATE(IF(E8="","", _xlfn.CONCAT(E8)), IF(E9="","", _xlfn.CONCAT(E9)), IF(E10="","", _xlfn.CONCAT(" | ",E10)), IF(E14="","", _xlfn.CONCAT(" | ",E14)))</f>
        <v/>
      </c>
      <c r="F7" s="77"/>
      <c r="G7" s="77"/>
    </row>
    <row r="8" spans="1:8" ht="35.1" customHeight="1" x14ac:dyDescent="0.25">
      <c r="B8" s="60"/>
      <c r="C8" s="60"/>
      <c r="D8" s="63" t="s">
        <v>18</v>
      </c>
      <c r="E8" s="14"/>
      <c r="F8" s="114">
        <v>-1</v>
      </c>
      <c r="G8" s="77"/>
    </row>
    <row r="9" spans="1:8" ht="35.1" customHeight="1" x14ac:dyDescent="0.25">
      <c r="B9" s="60"/>
      <c r="C9" s="60"/>
      <c r="D9" s="63" t="s">
        <v>19</v>
      </c>
      <c r="E9" s="7"/>
      <c r="F9" s="115">
        <v>-1</v>
      </c>
      <c r="G9" s="77"/>
    </row>
    <row r="10" spans="1:8" ht="35.1" customHeight="1" x14ac:dyDescent="0.25">
      <c r="B10" s="60"/>
      <c r="C10" s="60"/>
      <c r="D10" s="63" t="s">
        <v>263</v>
      </c>
      <c r="E10" s="7"/>
      <c r="F10" s="115"/>
      <c r="G10" s="77"/>
    </row>
    <row r="11" spans="1:8" ht="35.1" customHeight="1" x14ac:dyDescent="0.25">
      <c r="B11" s="60"/>
      <c r="C11" s="60"/>
      <c r="D11" s="63" t="s">
        <v>264</v>
      </c>
      <c r="E11" s="124"/>
      <c r="F11" s="115"/>
      <c r="G11" s="77"/>
    </row>
    <row r="12" spans="1:8" ht="35.1" customHeight="1" x14ac:dyDescent="0.25">
      <c r="B12" s="60"/>
      <c r="C12" s="60"/>
      <c r="D12" s="63" t="s">
        <v>265</v>
      </c>
      <c r="E12" s="149"/>
      <c r="F12" s="115"/>
      <c r="G12" s="77"/>
    </row>
    <row r="13" spans="1:8" ht="15" customHeight="1" x14ac:dyDescent="0.25">
      <c r="B13" s="60"/>
      <c r="C13" s="60"/>
      <c r="D13" s="60"/>
      <c r="E13" s="60"/>
      <c r="F13" s="77"/>
      <c r="G13" s="77"/>
    </row>
    <row r="14" spans="1:8" ht="35.1" customHeight="1" x14ac:dyDescent="0.25">
      <c r="B14" s="60"/>
      <c r="C14" s="60" t="s">
        <v>269</v>
      </c>
      <c r="D14" s="63" t="s">
        <v>271</v>
      </c>
      <c r="E14" s="7"/>
      <c r="F14" s="115">
        <v>-1</v>
      </c>
      <c r="G14" s="77"/>
    </row>
    <row r="15" spans="1:8" ht="35.1" customHeight="1" x14ac:dyDescent="0.25">
      <c r="B15" s="60"/>
      <c r="C15" s="60"/>
      <c r="D15" s="63" t="s">
        <v>15</v>
      </c>
      <c r="E15" s="7"/>
      <c r="F15" s="115"/>
      <c r="G15" s="77"/>
    </row>
    <row r="16" spans="1:8" ht="35.1" customHeight="1" x14ac:dyDescent="0.25">
      <c r="B16" s="60"/>
      <c r="C16" s="60"/>
      <c r="D16" s="63" t="s">
        <v>16</v>
      </c>
      <c r="E16" s="14"/>
      <c r="F16" s="114"/>
      <c r="G16" s="77"/>
    </row>
    <row r="17" spans="2:7" ht="15" customHeight="1" x14ac:dyDescent="0.25">
      <c r="B17" s="60"/>
      <c r="C17" s="60"/>
      <c r="D17" s="60"/>
      <c r="E17" s="60"/>
      <c r="F17" s="77"/>
      <c r="G17" s="77"/>
    </row>
    <row r="18" spans="2:7" ht="35.1" customHeight="1" x14ac:dyDescent="0.25">
      <c r="B18" s="60"/>
      <c r="C18" s="60"/>
      <c r="D18" s="63" t="s">
        <v>272</v>
      </c>
      <c r="E18" s="14"/>
      <c r="F18" s="78"/>
      <c r="G18" s="77"/>
    </row>
    <row r="19" spans="2:7" ht="15" customHeight="1" x14ac:dyDescent="0.25">
      <c r="B19" s="60"/>
      <c r="C19" s="60"/>
      <c r="D19" s="60"/>
      <c r="E19" s="60"/>
      <c r="F19" s="77"/>
      <c r="G19" s="77"/>
    </row>
    <row r="20" spans="2:7" ht="35.1" customHeight="1" x14ac:dyDescent="0.25">
      <c r="B20" s="60"/>
      <c r="C20" s="60" t="s">
        <v>270</v>
      </c>
      <c r="D20" s="63" t="s">
        <v>273</v>
      </c>
      <c r="E20" s="7" t="s">
        <v>169</v>
      </c>
      <c r="F20" s="77"/>
      <c r="G20" s="77"/>
    </row>
    <row r="21" spans="2:7" ht="14.1" customHeight="1" x14ac:dyDescent="0.25">
      <c r="B21" s="60"/>
      <c r="C21" s="60"/>
      <c r="D21" s="60"/>
      <c r="E21" s="60"/>
      <c r="F21" s="77"/>
      <c r="G21" s="77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5" customWidth="1"/>
    <col min="4" max="123" width="12.7109375" style="146" customWidth="1"/>
    <col min="124" max="124" width="8.7109375" style="135" customWidth="1"/>
    <col min="125" max="125" width="14.7109375" style="136" customWidth="1"/>
    <col min="126" max="126" width="8.7109375" style="87" customWidth="1"/>
    <col min="127" max="127" width="24.7109375" style="100" customWidth="1"/>
    <col min="128" max="128" width="12.7109375" style="87" customWidth="1"/>
    <col min="129" max="129" width="20.7109375" style="100" customWidth="1"/>
    <col min="130" max="130" width="28.7109375" style="100" customWidth="1"/>
    <col min="131" max="131" width="44.7109375" style="100" customWidth="1"/>
    <col min="132" max="132" width="26.7109375" style="88" customWidth="1"/>
    <col min="133" max="133" width="18.7109375" style="79" customWidth="1"/>
    <col min="134" max="134" width="44.7109375" style="134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5"/>
      <c r="EA1" s="75"/>
      <c r="EB1" s="57"/>
      <c r="EC1" s="75"/>
      <c r="ED1" s="75"/>
      <c r="EE1" s="57"/>
    </row>
    <row r="2" spans="1:135" s="66" customFormat="1" ht="54.95" customHeight="1" x14ac:dyDescent="0.2">
      <c r="A2" s="59"/>
      <c r="B2" s="58" t="str">
        <f>設定!D7 &amp;" - 會員詳細資訊"</f>
        <v>Yi - 會員詳細資訊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6"/>
      <c r="DX2" s="59"/>
      <c r="DY2" s="59"/>
      <c r="DZ2" s="76"/>
      <c r="EA2" s="76"/>
      <c r="EB2" s="59"/>
      <c r="EC2" s="76"/>
      <c r="ED2" s="76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7"/>
      <c r="EA3" s="77"/>
      <c r="EB3" s="60"/>
      <c r="EC3" s="77"/>
      <c r="ED3" s="77"/>
      <c r="EE3" s="96"/>
    </row>
    <row r="4" spans="1:135" ht="6" customHeight="1" x14ac:dyDescent="0.2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101"/>
      <c r="DU4" s="101"/>
      <c r="DV4" s="101"/>
      <c r="DW4" s="101"/>
      <c r="DX4" s="101"/>
      <c r="DY4" s="101"/>
      <c r="DZ4" s="105"/>
      <c r="EA4" s="105"/>
      <c r="EB4" s="101"/>
      <c r="EC4" s="105"/>
      <c r="ED4" s="105"/>
      <c r="EE4" s="96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7"/>
      <c r="EA5" s="77"/>
      <c r="EB5" s="60"/>
      <c r="EC5" s="77"/>
      <c r="ED5" s="77"/>
      <c r="EE5" s="96"/>
    </row>
    <row r="6" spans="1:135" ht="39.950000000000003" customHeight="1" x14ac:dyDescent="0.2">
      <c r="C6" s="143"/>
      <c r="D6" s="93">
        <f>設定!F11</f>
        <v>1</v>
      </c>
      <c r="E6" s="164" t="str">
        <f>設定!F11 &amp;" - 歷史記錄"</f>
        <v>1 - 歷史記錄</v>
      </c>
      <c r="F6" s="164"/>
      <c r="G6" s="94">
        <f>設定!F12</f>
        <v>2</v>
      </c>
      <c r="H6" s="162" t="str">
        <f>設定!F12 &amp;" - 歷史記錄"</f>
        <v>2 - 歷史記錄</v>
      </c>
      <c r="I6" s="162"/>
      <c r="J6" s="93">
        <f>設定!F13</f>
        <v>3</v>
      </c>
      <c r="K6" s="164" t="str">
        <f>設定!F13 &amp;" - 歷史記錄"</f>
        <v>3 - 歷史記錄</v>
      </c>
      <c r="L6" s="164"/>
      <c r="M6" s="94">
        <f>設定!F14</f>
        <v>4</v>
      </c>
      <c r="N6" s="162" t="str">
        <f>設定!F14 &amp;" - 歷史記錄"</f>
        <v>4 - 歷史記錄</v>
      </c>
      <c r="O6" s="162"/>
      <c r="P6" s="93">
        <f>設定!F15</f>
        <v>5</v>
      </c>
      <c r="Q6" s="164" t="str">
        <f>設定!F15 &amp;" - 歷史記錄"</f>
        <v>5 - 歷史記錄</v>
      </c>
      <c r="R6" s="164"/>
      <c r="S6" s="94">
        <f>設定!F16</f>
        <v>6</v>
      </c>
      <c r="T6" s="162" t="str">
        <f>設定!F16 &amp;" - 歷史記錄"</f>
        <v>6 - 歷史記錄</v>
      </c>
      <c r="U6" s="162"/>
      <c r="V6" s="93">
        <f>設定!F17</f>
        <v>7</v>
      </c>
      <c r="W6" s="164" t="str">
        <f>設定!F17 &amp;" - 歷史記錄"</f>
        <v>7 - 歷史記錄</v>
      </c>
      <c r="X6" s="164"/>
      <c r="Y6" s="94">
        <f>設定!F18</f>
        <v>8</v>
      </c>
      <c r="Z6" s="162" t="str">
        <f>設定!F18 &amp;" - 歷史記錄"</f>
        <v>8 - 歷史記錄</v>
      </c>
      <c r="AA6" s="162"/>
      <c r="AB6" s="93">
        <f>設定!F19</f>
        <v>9</v>
      </c>
      <c r="AC6" s="164" t="str">
        <f>設定!F19 &amp;" - 歷史記錄"</f>
        <v>9 - 歷史記錄</v>
      </c>
      <c r="AD6" s="164"/>
      <c r="AE6" s="94">
        <f>設定!F20</f>
        <v>10</v>
      </c>
      <c r="AF6" s="162" t="str">
        <f>設定!F20 &amp;" - 歷史記錄"</f>
        <v>10 - 歷史記錄</v>
      </c>
      <c r="AG6" s="162"/>
      <c r="AH6" s="93">
        <f>設定!F21</f>
        <v>11</v>
      </c>
      <c r="AI6" s="164" t="str">
        <f>設定!F21 &amp;" - 歷史記錄"</f>
        <v>11 - 歷史記錄</v>
      </c>
      <c r="AJ6" s="164"/>
      <c r="AK6" s="94">
        <f>設定!F22</f>
        <v>12</v>
      </c>
      <c r="AL6" s="162" t="str">
        <f>設定!F22 &amp;" - 歷史記錄"</f>
        <v>12 - 歷史記錄</v>
      </c>
      <c r="AM6" s="162"/>
      <c r="AN6" s="93">
        <f>設定!F23</f>
        <v>13</v>
      </c>
      <c r="AO6" s="164" t="str">
        <f>設定!F23 &amp;" - 歷史記錄"</f>
        <v>13 - 歷史記錄</v>
      </c>
      <c r="AP6" s="164"/>
      <c r="AQ6" s="94">
        <f>設定!F24</f>
        <v>14</v>
      </c>
      <c r="AR6" s="162" t="str">
        <f>設定!F24 &amp;" - 歷史記錄"</f>
        <v>14 - 歷史記錄</v>
      </c>
      <c r="AS6" s="162"/>
      <c r="AT6" s="93">
        <f>設定!F25</f>
        <v>15</v>
      </c>
      <c r="AU6" s="164" t="str">
        <f>設定!F25 &amp;" - 歷史記錄"</f>
        <v>15 - 歷史記錄</v>
      </c>
      <c r="AV6" s="164"/>
      <c r="AW6" s="94">
        <f>設定!F26</f>
        <v>16</v>
      </c>
      <c r="AX6" s="162" t="str">
        <f>設定!F26 &amp;" - 歷史記錄"</f>
        <v>16 - 歷史記錄</v>
      </c>
      <c r="AY6" s="162"/>
      <c r="AZ6" s="93">
        <f>設定!F27</f>
        <v>17</v>
      </c>
      <c r="BA6" s="164" t="str">
        <f>設定!F27 &amp;" - 歷史記錄"</f>
        <v>17 - 歷史記錄</v>
      </c>
      <c r="BB6" s="164"/>
      <c r="BC6" s="94">
        <f>設定!F28</f>
        <v>18</v>
      </c>
      <c r="BD6" s="162" t="str">
        <f>設定!F28 &amp;" - 歷史記錄"</f>
        <v>18 - 歷史記錄</v>
      </c>
      <c r="BE6" s="162"/>
      <c r="BF6" s="93">
        <f>設定!F29</f>
        <v>19</v>
      </c>
      <c r="BG6" s="164" t="str">
        <f>設定!F29 &amp;" - 歷史記錄"</f>
        <v>19 - 歷史記錄</v>
      </c>
      <c r="BH6" s="164"/>
      <c r="BI6" s="94">
        <f>設定!F30</f>
        <v>20</v>
      </c>
      <c r="BJ6" s="162" t="str">
        <f>設定!F30 &amp;" - 歷史記錄"</f>
        <v>20 - 歷史記錄</v>
      </c>
      <c r="BK6" s="162"/>
      <c r="BL6" s="95">
        <f>設定!F31</f>
        <v>21</v>
      </c>
      <c r="BM6" s="163" t="str">
        <f>設定!F31 &amp;" - 歷史記錄"</f>
        <v>21 - 歷史記錄</v>
      </c>
      <c r="BN6" s="163"/>
      <c r="BO6" s="94">
        <f>設定!F32</f>
        <v>22</v>
      </c>
      <c r="BP6" s="162" t="str">
        <f>設定!F32 &amp;" - 歷史記錄"</f>
        <v>22 - 歷史記錄</v>
      </c>
      <c r="BQ6" s="162"/>
      <c r="BR6" s="159">
        <f>設定!F33</f>
        <v>23</v>
      </c>
      <c r="BS6" s="163" t="str">
        <f>設定!F33 &amp;" - 歷史記錄"</f>
        <v>23 - 歷史記錄</v>
      </c>
      <c r="BT6" s="163"/>
      <c r="BU6" s="94">
        <f>設定!F34</f>
        <v>24</v>
      </c>
      <c r="BV6" s="162" t="str">
        <f>設定!F34 &amp;" - 歷史記錄"</f>
        <v>24 - 歷史記錄</v>
      </c>
      <c r="BW6" s="162"/>
      <c r="BX6" s="95">
        <f>設定!F35</f>
        <v>25</v>
      </c>
      <c r="BY6" s="163" t="str">
        <f>設定!F35 &amp;" - 歷史記錄"</f>
        <v>25 - 歷史記錄</v>
      </c>
      <c r="BZ6" s="163"/>
      <c r="CA6" s="94">
        <f>設定!F36</f>
        <v>26</v>
      </c>
      <c r="CB6" s="162" t="str">
        <f>設定!F36 &amp;" - 歷史記錄"</f>
        <v>26 - 歷史記錄</v>
      </c>
      <c r="CC6" s="162"/>
      <c r="CD6" s="95">
        <f>設定!F37</f>
        <v>27</v>
      </c>
      <c r="CE6" s="163" t="str">
        <f>設定!F37 &amp;" - 歷史記錄"</f>
        <v>27 - 歷史記錄</v>
      </c>
      <c r="CF6" s="163"/>
      <c r="CG6" s="94">
        <f>設定!F38</f>
        <v>28</v>
      </c>
      <c r="CH6" s="162" t="str">
        <f>設定!F38 &amp;" - 歷史記錄"</f>
        <v>28 - 歷史記錄</v>
      </c>
      <c r="CI6" s="162"/>
      <c r="CJ6" s="95">
        <f>設定!F39</f>
        <v>29</v>
      </c>
      <c r="CK6" s="163" t="str">
        <f>設定!F39 &amp;" - 歷史記錄"</f>
        <v>29 - 歷史記錄</v>
      </c>
      <c r="CL6" s="163"/>
      <c r="CM6" s="94">
        <f>設定!F40</f>
        <v>30</v>
      </c>
      <c r="CN6" s="162" t="str">
        <f>設定!F40 &amp;" - 歷史記錄"</f>
        <v>30 - 歷史記錄</v>
      </c>
      <c r="CO6" s="162"/>
      <c r="CP6" s="95">
        <f>設定!F41</f>
        <v>31</v>
      </c>
      <c r="CQ6" s="163" t="str">
        <f>設定!F41 &amp;" - 歷史記錄"</f>
        <v>31 - 歷史記錄</v>
      </c>
      <c r="CR6" s="163"/>
      <c r="CS6" s="94">
        <f>設定!F42</f>
        <v>32</v>
      </c>
      <c r="CT6" s="162" t="str">
        <f>設定!F42 &amp;" - 歷史記錄"</f>
        <v>32 - 歷史記錄</v>
      </c>
      <c r="CU6" s="162"/>
      <c r="CV6" s="95">
        <f>設定!F43</f>
        <v>33</v>
      </c>
      <c r="CW6" s="163" t="str">
        <f>設定!F43 &amp;" - 歷史記錄"</f>
        <v>33 - 歷史記錄</v>
      </c>
      <c r="CX6" s="163"/>
      <c r="CY6" s="94">
        <f>設定!F44</f>
        <v>34</v>
      </c>
      <c r="CZ6" s="162" t="str">
        <f>設定!F44 &amp;" - 歷史記錄"</f>
        <v>34 - 歷史記錄</v>
      </c>
      <c r="DA6" s="162"/>
      <c r="DB6" s="95">
        <f>設定!F45</f>
        <v>35</v>
      </c>
      <c r="DC6" s="163" t="str">
        <f>設定!F45 &amp;" - 歷史記錄"</f>
        <v>35 - 歷史記錄</v>
      </c>
      <c r="DD6" s="163"/>
      <c r="DE6" s="94">
        <f>設定!F46</f>
        <v>36</v>
      </c>
      <c r="DF6" s="162" t="str">
        <f>設定!F46 &amp;" - 歷史記錄"</f>
        <v>36 - 歷史記錄</v>
      </c>
      <c r="DG6" s="162"/>
      <c r="DH6" s="95">
        <f>設定!F47</f>
        <v>37</v>
      </c>
      <c r="DI6" s="163" t="str">
        <f>設定!F47 &amp;" - 歷史記錄"</f>
        <v>37 - 歷史記錄</v>
      </c>
      <c r="DJ6" s="163"/>
      <c r="DK6" s="94">
        <f>設定!F48</f>
        <v>38</v>
      </c>
      <c r="DL6" s="162" t="str">
        <f>設定!F48 &amp;" - 歷史記錄"</f>
        <v>38 - 歷史記錄</v>
      </c>
      <c r="DM6" s="162"/>
      <c r="DN6" s="95">
        <f>設定!F49</f>
        <v>39</v>
      </c>
      <c r="DO6" s="163" t="str">
        <f>設定!F49 &amp;" - 歷史記錄"</f>
        <v>39 - 歷史記錄</v>
      </c>
      <c r="DP6" s="163"/>
      <c r="DQ6" s="94">
        <f>設定!F50</f>
        <v>40</v>
      </c>
      <c r="DR6" s="162" t="str">
        <f>設定!F50 &amp;" - 歷史記錄"</f>
        <v>40 - 歷史記錄</v>
      </c>
      <c r="DS6" s="162"/>
      <c r="DT6" s="164" t="s">
        <v>279</v>
      </c>
      <c r="DU6" s="164"/>
      <c r="DV6" s="164"/>
      <c r="DW6" s="164"/>
      <c r="DX6" s="164"/>
      <c r="DY6" s="164" t="s">
        <v>278</v>
      </c>
      <c r="DZ6" s="164"/>
      <c r="EA6" s="164"/>
      <c r="EB6" s="164" t="s">
        <v>277</v>
      </c>
      <c r="EC6" s="164"/>
      <c r="ED6" s="108"/>
      <c r="EE6" s="96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7"/>
      <c r="EA7" s="77"/>
      <c r="EB7" s="60"/>
      <c r="EC7" s="77"/>
      <c r="ED7" s="77"/>
      <c r="EE7" s="96"/>
    </row>
    <row r="8" spans="1:135" ht="39.950000000000003" customHeight="1" x14ac:dyDescent="0.2">
      <c r="A8" s="96"/>
      <c r="B8" s="97" t="s">
        <v>274</v>
      </c>
      <c r="C8" s="97" t="s">
        <v>236</v>
      </c>
      <c r="D8" s="97" t="s">
        <v>281</v>
      </c>
      <c r="E8" s="97" t="s">
        <v>55</v>
      </c>
      <c r="F8" s="97" t="s">
        <v>54</v>
      </c>
      <c r="G8" s="97" t="s">
        <v>282</v>
      </c>
      <c r="H8" s="97" t="s">
        <v>53</v>
      </c>
      <c r="I8" s="97" t="s">
        <v>52</v>
      </c>
      <c r="J8" s="97" t="s">
        <v>283</v>
      </c>
      <c r="K8" s="97" t="s">
        <v>30</v>
      </c>
      <c r="L8" s="97" t="s">
        <v>51</v>
      </c>
      <c r="M8" s="97" t="s">
        <v>284</v>
      </c>
      <c r="N8" s="97" t="s">
        <v>31</v>
      </c>
      <c r="O8" s="97" t="s">
        <v>50</v>
      </c>
      <c r="P8" s="97" t="s">
        <v>285</v>
      </c>
      <c r="Q8" s="97" t="s">
        <v>32</v>
      </c>
      <c r="R8" s="97" t="s">
        <v>49</v>
      </c>
      <c r="S8" s="97" t="s">
        <v>286</v>
      </c>
      <c r="T8" s="97" t="s">
        <v>33</v>
      </c>
      <c r="U8" s="97" t="s">
        <v>46</v>
      </c>
      <c r="V8" s="97" t="s">
        <v>287</v>
      </c>
      <c r="W8" s="97" t="s">
        <v>34</v>
      </c>
      <c r="X8" s="97" t="s">
        <v>39</v>
      </c>
      <c r="Y8" s="97" t="s">
        <v>288</v>
      </c>
      <c r="Z8" s="97" t="s">
        <v>35</v>
      </c>
      <c r="AA8" s="97" t="s">
        <v>40</v>
      </c>
      <c r="AB8" s="97" t="s">
        <v>289</v>
      </c>
      <c r="AC8" s="97" t="s">
        <v>36</v>
      </c>
      <c r="AD8" s="97" t="s">
        <v>41</v>
      </c>
      <c r="AE8" s="97" t="s">
        <v>290</v>
      </c>
      <c r="AF8" s="97" t="s">
        <v>37</v>
      </c>
      <c r="AG8" s="97" t="s">
        <v>42</v>
      </c>
      <c r="AH8" s="97" t="s">
        <v>291</v>
      </c>
      <c r="AI8" s="97" t="s">
        <v>38</v>
      </c>
      <c r="AJ8" s="97" t="s">
        <v>43</v>
      </c>
      <c r="AK8" s="97" t="s">
        <v>292</v>
      </c>
      <c r="AL8" s="97" t="s">
        <v>44</v>
      </c>
      <c r="AM8" s="97" t="s">
        <v>45</v>
      </c>
      <c r="AN8" s="97" t="s">
        <v>293</v>
      </c>
      <c r="AO8" s="97" t="s">
        <v>67</v>
      </c>
      <c r="AP8" s="97" t="s">
        <v>66</v>
      </c>
      <c r="AQ8" s="97" t="s">
        <v>294</v>
      </c>
      <c r="AR8" s="97" t="s">
        <v>69</v>
      </c>
      <c r="AS8" s="97" t="s">
        <v>68</v>
      </c>
      <c r="AT8" s="97" t="s">
        <v>295</v>
      </c>
      <c r="AU8" s="97" t="s">
        <v>73</v>
      </c>
      <c r="AV8" s="97" t="s">
        <v>71</v>
      </c>
      <c r="AW8" s="97" t="s">
        <v>296</v>
      </c>
      <c r="AX8" s="97" t="s">
        <v>70</v>
      </c>
      <c r="AY8" s="97" t="s">
        <v>72</v>
      </c>
      <c r="AZ8" s="97" t="s">
        <v>297</v>
      </c>
      <c r="BA8" s="97" t="s">
        <v>75</v>
      </c>
      <c r="BB8" s="97" t="s">
        <v>74</v>
      </c>
      <c r="BC8" s="97" t="s">
        <v>298</v>
      </c>
      <c r="BD8" s="97" t="s">
        <v>76</v>
      </c>
      <c r="BE8" s="97" t="s">
        <v>77</v>
      </c>
      <c r="BF8" s="97" t="s">
        <v>299</v>
      </c>
      <c r="BG8" s="97" t="s">
        <v>78</v>
      </c>
      <c r="BH8" s="97" t="s">
        <v>79</v>
      </c>
      <c r="BI8" s="97" t="s">
        <v>300</v>
      </c>
      <c r="BJ8" s="97" t="s">
        <v>80</v>
      </c>
      <c r="BK8" s="97" t="s">
        <v>81</v>
      </c>
      <c r="BL8" s="97" t="s">
        <v>301</v>
      </c>
      <c r="BM8" s="97" t="s">
        <v>110</v>
      </c>
      <c r="BN8" s="97" t="s">
        <v>109</v>
      </c>
      <c r="BO8" s="97" t="s">
        <v>302</v>
      </c>
      <c r="BP8" s="97" t="s">
        <v>111</v>
      </c>
      <c r="BQ8" s="97" t="s">
        <v>112</v>
      </c>
      <c r="BR8" s="97" t="s">
        <v>303</v>
      </c>
      <c r="BS8" s="97" t="s">
        <v>113</v>
      </c>
      <c r="BT8" s="97" t="s">
        <v>114</v>
      </c>
      <c r="BU8" s="97" t="s">
        <v>304</v>
      </c>
      <c r="BV8" s="97" t="s">
        <v>115</v>
      </c>
      <c r="BW8" s="97" t="s">
        <v>116</v>
      </c>
      <c r="BX8" s="97" t="s">
        <v>305</v>
      </c>
      <c r="BY8" s="97" t="s">
        <v>117</v>
      </c>
      <c r="BZ8" s="97" t="s">
        <v>118</v>
      </c>
      <c r="CA8" s="97" t="s">
        <v>306</v>
      </c>
      <c r="CB8" s="97" t="s">
        <v>119</v>
      </c>
      <c r="CC8" s="97" t="s">
        <v>120</v>
      </c>
      <c r="CD8" s="97" t="s">
        <v>307</v>
      </c>
      <c r="CE8" s="97" t="s">
        <v>121</v>
      </c>
      <c r="CF8" s="97" t="s">
        <v>122</v>
      </c>
      <c r="CG8" s="97" t="s">
        <v>308</v>
      </c>
      <c r="CH8" s="97" t="s">
        <v>123</v>
      </c>
      <c r="CI8" s="97" t="s">
        <v>124</v>
      </c>
      <c r="CJ8" s="97" t="s">
        <v>309</v>
      </c>
      <c r="CK8" s="97" t="s">
        <v>125</v>
      </c>
      <c r="CL8" s="97" t="s">
        <v>126</v>
      </c>
      <c r="CM8" s="97" t="s">
        <v>310</v>
      </c>
      <c r="CN8" s="97" t="s">
        <v>127</v>
      </c>
      <c r="CO8" s="97" t="s">
        <v>128</v>
      </c>
      <c r="CP8" s="97" t="s">
        <v>311</v>
      </c>
      <c r="CQ8" s="97" t="s">
        <v>129</v>
      </c>
      <c r="CR8" s="97" t="s">
        <v>130</v>
      </c>
      <c r="CS8" s="97" t="s">
        <v>312</v>
      </c>
      <c r="CT8" s="97" t="s">
        <v>131</v>
      </c>
      <c r="CU8" s="97" t="s">
        <v>132</v>
      </c>
      <c r="CV8" s="97" t="s">
        <v>313</v>
      </c>
      <c r="CW8" s="97" t="s">
        <v>133</v>
      </c>
      <c r="CX8" s="97" t="s">
        <v>134</v>
      </c>
      <c r="CY8" s="97" t="s">
        <v>314</v>
      </c>
      <c r="CZ8" s="97" t="s">
        <v>135</v>
      </c>
      <c r="DA8" s="97" t="s">
        <v>136</v>
      </c>
      <c r="DB8" s="97" t="s">
        <v>315</v>
      </c>
      <c r="DC8" s="97" t="s">
        <v>137</v>
      </c>
      <c r="DD8" s="97" t="s">
        <v>138</v>
      </c>
      <c r="DE8" s="97" t="s">
        <v>316</v>
      </c>
      <c r="DF8" s="97" t="s">
        <v>139</v>
      </c>
      <c r="DG8" s="97" t="s">
        <v>140</v>
      </c>
      <c r="DH8" s="97" t="s">
        <v>317</v>
      </c>
      <c r="DI8" s="97" t="s">
        <v>142</v>
      </c>
      <c r="DJ8" s="97" t="s">
        <v>141</v>
      </c>
      <c r="DK8" s="97" t="s">
        <v>318</v>
      </c>
      <c r="DL8" s="97" t="s">
        <v>143</v>
      </c>
      <c r="DM8" s="97" t="s">
        <v>144</v>
      </c>
      <c r="DN8" s="97" t="s">
        <v>319</v>
      </c>
      <c r="DO8" s="97" t="s">
        <v>145</v>
      </c>
      <c r="DP8" s="97" t="s">
        <v>146</v>
      </c>
      <c r="DQ8" s="97" t="s">
        <v>320</v>
      </c>
      <c r="DR8" s="97" t="s">
        <v>147</v>
      </c>
      <c r="DS8" s="97" t="s">
        <v>148</v>
      </c>
      <c r="DT8" s="97" t="s">
        <v>18</v>
      </c>
      <c r="DU8" s="97" t="s">
        <v>19</v>
      </c>
      <c r="DV8" s="97" t="s">
        <v>263</v>
      </c>
      <c r="DW8" s="97" t="s">
        <v>264</v>
      </c>
      <c r="DX8" s="97" t="s">
        <v>265</v>
      </c>
      <c r="DY8" s="97" t="s">
        <v>271</v>
      </c>
      <c r="DZ8" s="106" t="s">
        <v>15</v>
      </c>
      <c r="EA8" s="106" t="s">
        <v>16</v>
      </c>
      <c r="EB8" s="102" t="s">
        <v>280</v>
      </c>
      <c r="EC8" s="106" t="s">
        <v>273</v>
      </c>
      <c r="ED8" s="106" t="s">
        <v>272</v>
      </c>
      <c r="EE8" s="96"/>
    </row>
    <row r="9" spans="1:135" ht="39.950000000000003" customHeight="1" x14ac:dyDescent="0.2">
      <c r="B9" s="56" cm="1">
        <f t="array" ref="B9">SN</f>
        <v>1</v>
      </c>
      <c r="C9" s="98" t="str" cm="1">
        <f t="array" ref="C9">GUID</f>
        <v>馮毅 | 男 | 9955</v>
      </c>
      <c r="D9" s="99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99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99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99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99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99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99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99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99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99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99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99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99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99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99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99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99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99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99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99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321</v>
      </c>
      <c r="DU9" s="69" t="s">
        <v>154</v>
      </c>
      <c r="DV9" s="70" t="s">
        <v>7</v>
      </c>
      <c r="DW9" s="70"/>
      <c r="DX9" s="55"/>
      <c r="DY9" s="70" t="s">
        <v>171</v>
      </c>
      <c r="DZ9" s="70" t="s">
        <v>165</v>
      </c>
      <c r="EA9" s="70"/>
      <c r="EB9" s="86">
        <v>45268.505555555559</v>
      </c>
      <c r="EC9" s="107" t="s">
        <v>169</v>
      </c>
      <c r="ED9" s="131" t="s">
        <v>322</v>
      </c>
      <c r="EE9" s="13"/>
    </row>
    <row r="10" spans="1:135" ht="39.950000000000003" customHeight="1" x14ac:dyDescent="0.2">
      <c r="B10" s="54" cm="1">
        <f t="array" ref="B10">SN</f>
        <v>2</v>
      </c>
      <c r="C10" s="119" t="str" cm="1">
        <f t="array" ref="C10">GUID</f>
        <v>李怡 | 女 | 7551</v>
      </c>
      <c r="D10" s="120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0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0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0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0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0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0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0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0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0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0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0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0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0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0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0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0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0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0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0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167</v>
      </c>
      <c r="DU10" s="69" t="s">
        <v>168</v>
      </c>
      <c r="DV10" s="70" t="s">
        <v>8</v>
      </c>
      <c r="DW10" s="70"/>
      <c r="DX10" s="55"/>
      <c r="DY10" s="70" t="s">
        <v>172</v>
      </c>
      <c r="DZ10" s="70"/>
      <c r="EA10" s="70"/>
      <c r="EB10" s="86">
        <v>45268.505555555559</v>
      </c>
      <c r="EC10" s="107" t="s">
        <v>169</v>
      </c>
      <c r="ED10" s="131" t="s">
        <v>322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7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971550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1085850</xdr:colOff>
                    <xdr:row>5</xdr:row>
                    <xdr:rowOff>95250</xdr:rowOff>
                  </from>
                  <to>
                    <xdr:col>2</xdr:col>
                    <xdr:colOff>1952625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89" customWidth="1"/>
    <col min="4" max="43" width="12.7109375" style="90" customWidth="1"/>
    <col min="44" max="44" width="12.7109375" style="87" customWidth="1"/>
    <col min="45" max="45" width="26.7109375" style="88" customWidth="1"/>
    <col min="46" max="46" width="18.7109375" style="87" customWidth="1"/>
    <col min="47" max="47" width="44.7109375" style="122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3" customFormat="1" ht="6" customHeight="1" x14ac:dyDescent="0.25"/>
    <row r="2" spans="2:47" s="59" customFormat="1" ht="54.95" customHeight="1" x14ac:dyDescent="0.25">
      <c r="B2" s="58" t="str">
        <f>設定!D7 &amp;" - 歷史記錄"</f>
        <v>Yi - 歷史記錄</v>
      </c>
      <c r="D2" s="104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6" customFormat="1" ht="6" customHeight="1" x14ac:dyDescent="0.2">
      <c r="B4" s="92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6" customFormat="1" ht="39.950000000000003" customHeight="1" x14ac:dyDescent="0.2">
      <c r="B6" s="60"/>
      <c r="C6" s="147"/>
      <c r="D6" s="93">
        <f>設定!F11</f>
        <v>1</v>
      </c>
      <c r="E6" s="94">
        <f>設定!F12</f>
        <v>2</v>
      </c>
      <c r="F6" s="93">
        <f>設定!F13</f>
        <v>3</v>
      </c>
      <c r="G6" s="94">
        <f>設定!F14</f>
        <v>4</v>
      </c>
      <c r="H6" s="93">
        <f>設定!F15</f>
        <v>5</v>
      </c>
      <c r="I6" s="94">
        <f>設定!F16</f>
        <v>6</v>
      </c>
      <c r="J6" s="93">
        <f>設定!F17</f>
        <v>7</v>
      </c>
      <c r="K6" s="94">
        <f>設定!F18</f>
        <v>8</v>
      </c>
      <c r="L6" s="93">
        <f>設定!F19</f>
        <v>9</v>
      </c>
      <c r="M6" s="94">
        <f>設定!F20</f>
        <v>10</v>
      </c>
      <c r="N6" s="93">
        <f>設定!F21</f>
        <v>11</v>
      </c>
      <c r="O6" s="94">
        <f>設定!F22</f>
        <v>12</v>
      </c>
      <c r="P6" s="93">
        <f>設定!F23</f>
        <v>13</v>
      </c>
      <c r="Q6" s="94">
        <f>設定!F24</f>
        <v>14</v>
      </c>
      <c r="R6" s="93">
        <f>設定!F25</f>
        <v>15</v>
      </c>
      <c r="S6" s="94">
        <f>設定!F26</f>
        <v>16</v>
      </c>
      <c r="T6" s="93">
        <f>設定!F27</f>
        <v>17</v>
      </c>
      <c r="U6" s="94">
        <f>設定!F28</f>
        <v>18</v>
      </c>
      <c r="V6" s="93">
        <f>設定!F29</f>
        <v>19</v>
      </c>
      <c r="W6" s="94">
        <f>設定!F30</f>
        <v>20</v>
      </c>
      <c r="X6" s="93">
        <f>設定!F31</f>
        <v>21</v>
      </c>
      <c r="Y6" s="94">
        <f>設定!F32</f>
        <v>22</v>
      </c>
      <c r="Z6" s="93">
        <f>設定!F33</f>
        <v>23</v>
      </c>
      <c r="AA6" s="94">
        <f>設定!F34</f>
        <v>24</v>
      </c>
      <c r="AB6" s="93">
        <f>設定!F35</f>
        <v>25</v>
      </c>
      <c r="AC6" s="94">
        <f>設定!F36</f>
        <v>26</v>
      </c>
      <c r="AD6" s="93">
        <f>設定!F37</f>
        <v>27</v>
      </c>
      <c r="AE6" s="94">
        <f>設定!F38</f>
        <v>28</v>
      </c>
      <c r="AF6" s="93">
        <f>設定!F39</f>
        <v>29</v>
      </c>
      <c r="AG6" s="94">
        <f>設定!F40</f>
        <v>30</v>
      </c>
      <c r="AH6" s="93">
        <f>設定!F41</f>
        <v>31</v>
      </c>
      <c r="AI6" s="94">
        <f>設定!F42</f>
        <v>32</v>
      </c>
      <c r="AJ6" s="93">
        <f>設定!F43</f>
        <v>33</v>
      </c>
      <c r="AK6" s="94">
        <f>設定!F44</f>
        <v>34</v>
      </c>
      <c r="AL6" s="93">
        <f>設定!F45</f>
        <v>35</v>
      </c>
      <c r="AM6" s="94">
        <f>設定!F46</f>
        <v>36</v>
      </c>
      <c r="AN6" s="93">
        <f>設定!F47</f>
        <v>37</v>
      </c>
      <c r="AO6" s="94">
        <f>設定!F48</f>
        <v>38</v>
      </c>
      <c r="AP6" s="93">
        <f>設定!F49</f>
        <v>39</v>
      </c>
      <c r="AQ6" s="94">
        <f>設定!F50</f>
        <v>40</v>
      </c>
      <c r="AR6" s="164" t="s">
        <v>56</v>
      </c>
      <c r="AS6" s="164"/>
      <c r="AT6" s="164"/>
      <c r="AU6" s="164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7" t="s">
        <v>274</v>
      </c>
      <c r="C8" s="97" t="s">
        <v>236</v>
      </c>
      <c r="D8" s="97" t="s">
        <v>47</v>
      </c>
      <c r="E8" s="97" t="s">
        <v>48</v>
      </c>
      <c r="F8" s="97" t="s">
        <v>20</v>
      </c>
      <c r="G8" s="97" t="s">
        <v>21</v>
      </c>
      <c r="H8" s="97" t="s">
        <v>22</v>
      </c>
      <c r="I8" s="97" t="s">
        <v>23</v>
      </c>
      <c r="J8" s="97" t="s">
        <v>24</v>
      </c>
      <c r="K8" s="97" t="s">
        <v>25</v>
      </c>
      <c r="L8" s="97" t="s">
        <v>26</v>
      </c>
      <c r="M8" s="97" t="s">
        <v>28</v>
      </c>
      <c r="N8" s="97" t="s">
        <v>27</v>
      </c>
      <c r="O8" s="97" t="s">
        <v>29</v>
      </c>
      <c r="P8" s="97" t="s">
        <v>58</v>
      </c>
      <c r="Q8" s="97" t="s">
        <v>59</v>
      </c>
      <c r="R8" s="97" t="s">
        <v>60</v>
      </c>
      <c r="S8" s="97" t="s">
        <v>61</v>
      </c>
      <c r="T8" s="97" t="s">
        <v>62</v>
      </c>
      <c r="U8" s="97" t="s">
        <v>63</v>
      </c>
      <c r="V8" s="97" t="s">
        <v>64</v>
      </c>
      <c r="W8" s="97" t="s">
        <v>65</v>
      </c>
      <c r="X8" s="97" t="s">
        <v>90</v>
      </c>
      <c r="Y8" s="97" t="s">
        <v>91</v>
      </c>
      <c r="Z8" s="97" t="s">
        <v>92</v>
      </c>
      <c r="AA8" s="97" t="s">
        <v>93</v>
      </c>
      <c r="AB8" s="97" t="s">
        <v>94</v>
      </c>
      <c r="AC8" s="97" t="s">
        <v>95</v>
      </c>
      <c r="AD8" s="97" t="s">
        <v>96</v>
      </c>
      <c r="AE8" s="97" t="s">
        <v>97</v>
      </c>
      <c r="AF8" s="97" t="s">
        <v>98</v>
      </c>
      <c r="AG8" s="97" t="s">
        <v>99</v>
      </c>
      <c r="AH8" s="97" t="s">
        <v>89</v>
      </c>
      <c r="AI8" s="97" t="s">
        <v>100</v>
      </c>
      <c r="AJ8" s="97" t="s">
        <v>101</v>
      </c>
      <c r="AK8" s="97" t="s">
        <v>102</v>
      </c>
      <c r="AL8" s="97" t="s">
        <v>103</v>
      </c>
      <c r="AM8" s="97" t="s">
        <v>104</v>
      </c>
      <c r="AN8" s="97" t="s">
        <v>105</v>
      </c>
      <c r="AO8" s="97" t="s">
        <v>106</v>
      </c>
      <c r="AP8" s="97" t="s">
        <v>107</v>
      </c>
      <c r="AQ8" s="97" t="s">
        <v>108</v>
      </c>
      <c r="AR8" s="97" t="s">
        <v>275</v>
      </c>
      <c r="AS8" s="97" t="s">
        <v>325</v>
      </c>
      <c r="AT8" s="97" t="s">
        <v>273</v>
      </c>
      <c r="AU8" s="97" t="s">
        <v>272</v>
      </c>
    </row>
    <row r="9" spans="2:47" ht="39.75" customHeight="1" x14ac:dyDescent="0.25">
      <c r="B9" s="56" cm="1">
        <f t="array" ref="B9">SN</f>
        <v>1</v>
      </c>
      <c r="C9" s="71" t="s">
        <v>323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5</v>
      </c>
      <c r="AS9" s="86">
        <v>45268.505555555559</v>
      </c>
      <c r="AT9" s="55" t="s">
        <v>169</v>
      </c>
      <c r="AU9" s="91" t="s">
        <v>324</v>
      </c>
    </row>
    <row r="10" spans="2:47" ht="39.950000000000003" customHeight="1" x14ac:dyDescent="0.25">
      <c r="B10" s="54" cm="1">
        <f t="array" ref="B10">SN</f>
        <v>2</v>
      </c>
      <c r="C10" s="121" t="s">
        <v>173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5</v>
      </c>
      <c r="AS10" s="86">
        <v>45268.505555555559</v>
      </c>
      <c r="AT10" s="55" t="s">
        <v>169</v>
      </c>
      <c r="AU10" s="91" t="s">
        <v>324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歡迎</vt:lpstr>
      <vt:lpstr>設定</vt:lpstr>
      <vt:lpstr>新增入庫取貨</vt:lpstr>
      <vt:lpstr>入库取货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2023-12-27T09:39:49Z</dcterms:modified>
</cp:coreProperties>
</file>