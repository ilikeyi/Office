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85239FF-E263-4F6C-B975-A88844FA687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T9" i="6" l="1" a="1"/>
  <c r="DT9" i="6" s="1"/>
  <c r="DT10" i="6" a="1"/>
  <c r="DT10" i="6" s="1"/>
  <c r="DU9" i="6" a="1"/>
  <c r="DU9" i="6" s="1"/>
  <c r="DU10" i="6" a="1"/>
  <c r="DU10" i="6" s="1"/>
  <c r="DV9" i="6" a="1"/>
  <c r="DV9" i="6" s="1"/>
  <c r="DV10" i="6" a="1"/>
  <c r="DV10" i="6" s="1"/>
  <c r="E7" i="4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20" i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<sst xmlns="http://schemas.openxmlformats.org/spreadsheetml/2006/main" count="405" uniqueCount="338">
  <si>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</si>
  <si>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</si>
  <si>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</si>
  <si>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</si>
  <si>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</si>
  <si>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</si>
  <si>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</si>
  <si>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</si>
  <si>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</si>
  <si>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</si>
  <si>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</si>
  <si>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</si>
  <si>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</si>
  <si>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</si>
  <si>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</si>
  <si>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</si>
  <si>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</si>
  <si>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</si>
  <si>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</si>
  <si>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</si>
  <si>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</si>
  <si>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</si>
  <si>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</si>
  <si>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</si>
  <si>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</si>
  <si>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</si>
  <si>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</si>
  <si>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</si>
  <si>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</si>
  <si>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</si>
  <si>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</si>
  <si>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</si>
  <si>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</si>
  <si>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</si>
  <si>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</si>
  <si>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</si>
  <si>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</si>
  <si>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</si>
  <si>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</si>
  <si>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</si>
  <si>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</si>
  <si>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</si>
  <si>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</si>
  <si>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</si>
  <si>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</si>
  <si>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</si>
  <si>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</si>
  <si>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</si>
  <si>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</si>
  <si>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</si>
  <si>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</si>
  <si>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</si>
  <si>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</si>
  <si>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</si>
  <si>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</si>
  <si>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</si>
  <si>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</si>
  <si>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</si>
  <si>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</si>
  <si>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</si>
  <si>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</si>
  <si>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</si>
  <si>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</si>
  <si>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</si>
  <si>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</si>
  <si>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</si>
  <si>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</si>
  <si>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</si>
  <si>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</si>
  <si>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</si>
  <si>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</si>
  <si>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</si>
  <si>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</si>
  <si>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</si>
  <si>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</si>
  <si>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</si>
  <si>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</si>
  <si>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</si>
  <si>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</si>
  <si>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</si>
  <si>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</si>
  <si>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</si>
  <si>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</si>
  <si>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</si>
  <si>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</si>
  <si>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</si>
  <si>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</si>
  <si>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</si>
  <si>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</si>
  <si>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</si>
  <si>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</si>
  <si>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</si>
  <si>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</si>
  <si>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</si>
  <si>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</si>
  <si>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</si>
  <si>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</si>
  <si>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</si>
  <si>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</si>
  <si>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</si>
  <si>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</si>
  <si>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</si>
  <si>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</si>
  <si>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</si>
  <si>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</si>
  <si>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</si>
  <si>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</si>
  <si>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</si>
  <si>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</si>
  <si>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</si>
  <si>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</si>
  <si>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</si>
  <si>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</si>
  <si>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</si>
  <si>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</si>
  <si>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</si>
  <si>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</si>
  <si>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</si>
  <si>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</si>
  <si>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</si>
  <si>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</si>
  <si>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</si>
  <si>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</si>
  <si>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</si>
  <si>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</si>
  <si>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</si>
  <si>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</si>
  <si>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</si>
  <si>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</si>
  <si>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</si>
  <si>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</si>
  <si>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</si>
  <si>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</si>
  <si>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</si>
  <si>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</si>
  <si>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</si>
  <si>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</si>
  <si>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</si>
  <si>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</si>
  <si>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</si>
  <si>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</si>
  <si>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</si>
  <si>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</si>
  <si>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</si>
  <si>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</si>
  <si>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</si>
  <si>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</si>
  <si>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</si>
  <si>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</si>
  <si>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</si>
  <si>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</si>
  <si>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</si>
  <si>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</si>
  <si>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</si>
  <si>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</si>
  <si>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</si>
  <si>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</si>
  <si>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</si>
  <si>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</si>
  <si>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</si>
  <si>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</si>
  <si>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</si>
  <si>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</si>
  <si>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</si>
  <si>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</si>
  <si>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</si>
  <si>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</si>
  <si>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</si>
  <si>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</si>
  <si>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</si>
  <si>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</si>
  <si>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</si>
  <si>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</si>
  <si>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</si>
  <si>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</si>
  <si>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</si>
  <si>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</si>
  <si>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</si>
  <si>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</si>
  <si>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</si>
  <si>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</si>
  <si>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</si>
  <si>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</si>
  <si>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</si>
  <si>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</si>
  <si>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</si>
  <si>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</si>
  <si>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</si>
  <si>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</si>
  <si>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</si>
  <si>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</si>
  <si>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</si>
  <si>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</si>
  <si>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</si>
  <si>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</si>
  <si>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</si>
  <si>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</si>
  <si>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</si>
  <si>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</si>
  <si>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</si>
  <si>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</si>
  <si>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</si>
  <si>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</si>
  <si>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</si>
  <si>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</si>
  <si>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</si>
  <si>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</si>
  <si>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</si>
  <si>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</si>
  <si>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</si>
  <si>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</si>
  <si>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</si>
  <si>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</si>
  <si>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</si>
  <si>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</si>
  <si>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</si>
  <si>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</si>
  <si>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</si>
  <si>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</si>
  <si>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</si>
  <si>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</si>
  <si>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</si>
  <si>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</si>
  <si>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</si>
  <si>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</si>
  <si>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</si>
  <si>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</si>
  <si>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</si>
  <si>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</si>
  <si>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</si>
  <si>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</si>
  <si>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</si>
  <si>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</si>
  <si>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</si>
  <si>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</si>
  <si>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</si>
  <si>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</si>
  <si>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</si>
  <si>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</si>
  <si>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</si>
  <si>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</si>
  <si>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</si>
  <si>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</si>
  <si>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</si>
  <si>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</si>
  <si>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</si>
  <si>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</si>
  <si>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</si>
  <si>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</si>
  <si>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</si>
  <si>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</si>
  <si>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</si>
  <si>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</si>
  <si>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</si>
  <si>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</si>
  <si>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</si>
  <si>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</si>
  <si>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</si>
  <si>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</si>
  <si>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</si>
  <si>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</si>
  <si>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</si>
  <si>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</si>
  <si>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</si>
  <si>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</si>
  <si>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</si>
  <si>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</si>
  <si>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</si>
  <si>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</si>
  <si>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</si>
  <si>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</si>
  <si>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</si>
  <si>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</si>
  <si>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</si>
  <si>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</si>
  <si>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</si>
  <si>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</si>
  <si>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</si>
  <si>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</si>
  <si>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</si>
  <si>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</si>
  <si>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</si>
  <si>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</si>
  <si>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</si>
  <si>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</si>
  <si>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</si>
  <si>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</si>
  <si>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</si>
  <si>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</si>
  <si>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</si>
  <si>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</si>
  <si>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</si>
  <si>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</si>
  <si>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</si>
  <si>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</si>
  <si>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</si>
  <si>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</si>
  <si>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</si>
  <si>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</si>
  <si>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</si>
  <si>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</si>
  <si>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</si>
  <si>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</si>
  <si>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</si>
  <si>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</si>
  <si>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</si>
  <si>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</si>
  <si>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</si>
  <si>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</si>
  <si>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</si>
  <si>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</si>
  <si>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</si>
  <si>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</si>
  <si>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</si>
  <si>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</si>
  <si>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</si>
  <si>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</si>
  <si>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</si>
  <si>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</si>
  <si>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</si>
  <si>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</si>
  <si>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</si>
  <si>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</si>
  <si>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</si>
  <si>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</si>
  <si>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</si>
  <si>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</si>
  <si>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</si>
  <si>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</si>
  <si>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</si>
  <si>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</si>
  <si>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已关联</t>
  </si>
  <si>
    <t>已关联存入</t>
  </si>
  <si>
    <t>已关联支取</t>
  </si>
  <si>
    <t>关联历史记录</t>
  </si>
  <si>
    <t>馮毅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</si>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</sst>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9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0"/>
    <tableColumn id="2" xr3:uid="{C28244F3-482D-4CFC-B629-A29496B98C0B}" name="商品名稱" dataDxfId="389"/>
    <tableColumn id="11" xr3:uid="{71958388-9C14-426E-8457-DCEA92BC0E87}" name="負差" dataDxfId="38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7">
      <calculatedColumnFormula>SUM(UserInfo[1 - 剩餘])</calculatedColumnFormula>
    </tableColumn>
    <tableColumn id="7" xr3:uid="{75829BDD-5513-4744-8184-35AE3788771C}" name="已存入" dataDxfId="386">
      <calculatedColumnFormula>SUM(UserInfo[1 - 存入])</calculatedColumnFormula>
    </tableColumn>
    <tableColumn id="6" xr3:uid="{B71F91EB-0024-4EC1-8035-3636C31B3740}" name="已支取" dataDxfId="385">
      <calculatedColumnFormula>SUM(UserInfo[1 - 支取])</calculatedColumnFormula>
    </tableColumn>
    <tableColumn id="5" xr3:uid="{6E4E3255-2204-43C6-A50C-EEAF08580A14}" name="庫存負差" dataDxfId="384">
      <calculatedColumnFormula>Store_Setting[[#This Row],[入庫小計]]-Store_Setting[[#This Row],[取貨小計]]</calculatedColumnFormula>
    </tableColumn>
    <tableColumn id="9" xr3:uid="{7DA9A308-8441-49E3-B1B4-6AF7A14784F7}" name="入庫小計" dataDxfId="383">
      <calculatedColumnFormula>SUMIFS(Store_History[数量],Store_History[唯一識別碼],Store_Setting[[#This Row],[唯一識別碼]],Store_History[類型],"入库")</calculatedColumnFormula>
    </tableColumn>
    <tableColumn id="8" xr3:uid="{43D402E1-A683-4B65-923F-EB29ABFA8F93}" name="取貨小計" dataDxfId="382">
      <calculatedColumnFormula>SUMIFS(Store_History[数量],Store_History[唯一識別碼],Store_Setting[[#This Row],[唯一識別碼]],Store_History[類型],"取货")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136" xr3:uid="{5747BBBE-EF1C-40A5-9228-1BA56469674B}" name="已关联" dataDxfId="122" totalsRowDxfId="121">
      <calculatedColumnFormula array="1">History_Total</calculatedColumnFormula>
    </tableColumn>
    <tableColumn id="135" xr3:uid="{BEB8C947-44DF-4F98-84A6-C4EEECDED105}" name="已关联存入" dataDxfId="120" totalsRowDxfId="119">
      <calculatedColumnFormula array="1">History_Saved</calculatedColumnFormula>
    </tableColumn>
    <tableColumn id="131" xr3:uid="{37CB046B-0E39-4C5D-AB50-FFCC73FD9A09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別" dataDxfId="112" totalsRowDxfId="111"/>
    <tableColumn id="23" xr3:uid="{AABD28F8-91AC-4EA0-915D-2F3C990C193D}" name="身分證號碼" dataDxfId="110" totalsRowDxfId="109"/>
    <tableColumn id="24" xr3:uid="{14505223-157D-4FB0-A334-A4E4687523F8}" name="年齡" dataDxfId="108" totalsRowDxfId="107"/>
    <tableColumn id="4" xr3:uid="{B39F2860-CADF-40CB-832A-CCDE8501D7E3}" name="電話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新增會員時間" dataDxfId="101" totalsRowDxfId="100"/>
    <tableColumn id="22" xr3:uid="{8DAD451D-44A8-40A3-A244-DDF540273F95}" name="工號" dataDxfId="99" totalsRowDxfId="98"/>
    <tableColumn id="12" xr3:uid="{A8D286B9-575E-4C05-8F77-63C322A43E3C}" name="備註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206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231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1" t="s">
        <v>243</v>
      </c>
      <c r="I9" s="161"/>
      <c r="J9" s="161"/>
      <c r="K9" s="162" t="s">
        <v>244</v>
      </c>
      <c r="L9" s="162"/>
      <c r="M9" s="162"/>
    </row>
    <row r="10" spans="2:13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</row>
    <row r="11" spans="2:13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Row],[唯一識別碼]],Store_History[類型],"入库")</f>
        <v>0</v>
      </c>
      <c r="M11" s="18">
        <f>SUMIFS(Store_History[数量],Store_History[唯一識別碼],Store_Setting[[#This Row],[唯一識別碼]],Store_History[類型],"取货")</f>
        <v>0</v>
      </c>
    </row>
    <row r="12" spans="2:13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Row],[唯一識別碼]],Store_History[類型],"入库")</f>
        <v>0</v>
      </c>
      <c r="M12" s="18">
        <f>SUMIFS(Store_History[数量],Store_History[唯一識別碼],Store_Setting[[#This Row],[唯一識別碼]],Store_History[類型],"取货")</f>
        <v>0</v>
      </c>
    </row>
    <row r="13" spans="2:13" ht="40" customHeight="1" x14ac:dyDescent="0.4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0">
        <v>3</v>
      </c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Row],[唯一識別碼]],Store_History[類型],"入库")</f>
        <v>0</v>
      </c>
      <c r="M13" s="18">
        <f>SUMIFS(Store_History[数量],Store_History[唯一識別碼],Store_Setting[[#This Row],[唯一識別碼]],Store_History[類型],"取货")</f>
        <v>0</v>
      </c>
    </row>
    <row r="14" spans="2:13" ht="40" customHeight="1" x14ac:dyDescent="0.4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0">
        <v>4</v>
      </c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Row],[唯一識別碼]],Store_History[類型],"入库")</f>
        <v>0</v>
      </c>
      <c r="M14" s="18">
        <f>SUMIFS(Store_History[数量],Store_History[唯一識別碼],Store_Setting[[#This Row],[唯一識別碼]],Store_History[類型],"取货")</f>
        <v>0</v>
      </c>
    </row>
    <row r="15" spans="2:13" ht="40" customHeight="1" x14ac:dyDescent="0.4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0">
        <v>5</v>
      </c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Row],[唯一識別碼]],Store_History[類型],"入库")</f>
        <v>0</v>
      </c>
      <c r="M15" s="18">
        <f>SUMIFS(Store_History[数量],Store_History[唯一識別碼],Store_Setting[[#This Row],[唯一識別碼]],Store_History[類型],"取货")</f>
        <v>0</v>
      </c>
    </row>
    <row r="16" spans="2:13" ht="40" customHeight="1" x14ac:dyDescent="0.4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0">
        <v>6</v>
      </c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Row],[唯一識別碼]],Store_History[類型],"入库")</f>
        <v>0</v>
      </c>
      <c r="M16" s="18">
        <f>SUMIFS(Store_History[数量],Store_History[唯一識別碼],Store_Setting[[#This Row],[唯一識別碼]],Store_History[類型],"取货")</f>
        <v>0</v>
      </c>
    </row>
    <row r="17" spans="2:13" ht="40" customHeight="1" x14ac:dyDescent="0.4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0">
        <v>7</v>
      </c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Row],[唯一識別碼]],Store_History[類型],"入库")</f>
        <v>0</v>
      </c>
      <c r="M17" s="18">
        <f>SUMIFS(Store_History[数量],Store_History[唯一識別碼],Store_Setting[[#This Row],[唯一識別碼]],Store_History[類型],"取货")</f>
        <v>0</v>
      </c>
    </row>
    <row r="18" spans="2:13" ht="40" customHeight="1" x14ac:dyDescent="0.4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0">
        <v>8</v>
      </c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Row],[唯一識別碼]],Store_History[類型],"入库")</f>
        <v>0</v>
      </c>
      <c r="M18" s="18">
        <f>SUMIFS(Store_History[数量],Store_History[唯一識別碼],Store_Setting[[#This Row],[唯一識別碼]],Store_History[類型],"取货")</f>
        <v>0</v>
      </c>
    </row>
    <row r="19" spans="2:13" ht="40" customHeight="1" x14ac:dyDescent="0.4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0">
        <v>9</v>
      </c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Row],[唯一識別碼]],Store_History[類型],"入库")</f>
        <v>0</v>
      </c>
      <c r="M19" s="18">
        <f>SUMIFS(Store_History[数量],Store_History[唯一識別碼],Store_Setting[[#This Row],[唯一識別碼]],Store_History[類型],"取货")</f>
        <v>0</v>
      </c>
    </row>
    <row r="20" spans="2:13" ht="40" customHeight="1" x14ac:dyDescent="0.4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0">
        <v>10</v>
      </c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Row],[唯一識別碼]],Store_History[類型],"入库")</f>
        <v>0</v>
      </c>
      <c r="M20" s="18">
        <f>SUMIFS(Store_History[数量],Store_History[唯一識別碼],Store_Setting[[#This Row],[唯一識別碼]],Store_History[類型],"取货")</f>
        <v>0</v>
      </c>
    </row>
    <row r="21" spans="2:13" ht="40" customHeight="1" x14ac:dyDescent="0.4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0">
        <v>11</v>
      </c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Row],[唯一識別碼]],Store_History[類型],"入库")</f>
        <v>0</v>
      </c>
      <c r="M21" s="18">
        <f>SUMIFS(Store_History[数量],Store_History[唯一識別碼],Store_Setting[[#This Row],[唯一識別碼]],Store_History[類型],"取货")</f>
        <v>0</v>
      </c>
    </row>
    <row r="22" spans="2:13" ht="40" customHeight="1" x14ac:dyDescent="0.4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0">
        <v>12</v>
      </c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Row],[唯一識別碼]],Store_History[類型],"入库")</f>
        <v>0</v>
      </c>
      <c r="M22" s="18">
        <f>SUMIFS(Store_History[数量],Store_History[唯一識別碼],Store_Setting[[#This Row],[唯一識別碼]],Store_History[類型],"取货")</f>
        <v>0</v>
      </c>
    </row>
    <row r="23" spans="2:13" ht="40" customHeight="1" x14ac:dyDescent="0.4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0">
        <v>13</v>
      </c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Row],[唯一識別碼]],Store_History[類型],"入库")</f>
        <v>0</v>
      </c>
      <c r="M23" s="18">
        <f>SUMIFS(Store_History[数量],Store_History[唯一識別碼],Store_Setting[[#This Row],[唯一識別碼]],Store_History[類型],"取货")</f>
        <v>0</v>
      </c>
    </row>
    <row r="24" spans="2:13" ht="40" customHeight="1" x14ac:dyDescent="0.4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0">
        <v>14</v>
      </c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Row],[唯一識別碼]],Store_History[類型],"入库")</f>
        <v>0</v>
      </c>
      <c r="M24" s="18">
        <f>SUMIFS(Store_History[数量],Store_History[唯一識別碼],Store_Setting[[#This Row],[唯一識別碼]],Store_History[類型],"取货")</f>
        <v>0</v>
      </c>
    </row>
    <row r="25" spans="2:13" ht="40" customHeight="1" x14ac:dyDescent="0.4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0">
        <v>15</v>
      </c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Row],[唯一識別碼]],Store_History[類型],"入库")</f>
        <v>0</v>
      </c>
      <c r="M25" s="18">
        <f>SUMIFS(Store_History[数量],Store_History[唯一識別碼],Store_Setting[[#This Row],[唯一識別碼]],Store_History[類型],"取货")</f>
        <v>0</v>
      </c>
    </row>
    <row r="26" spans="2:13" ht="40" customHeight="1" x14ac:dyDescent="0.4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0">
        <v>16</v>
      </c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Row],[唯一識別碼]],Store_History[類型],"入库")</f>
        <v>0</v>
      </c>
      <c r="M26" s="18">
        <f>SUMIFS(Store_History[数量],Store_History[唯一識別碼],Store_Setting[[#This Row],[唯一識別碼]],Store_History[類型],"取货")</f>
        <v>0</v>
      </c>
    </row>
    <row r="27" spans="2:13" ht="40" customHeight="1" x14ac:dyDescent="0.4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0">
        <v>17</v>
      </c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Row],[唯一識別碼]],Store_History[類型],"入库")</f>
        <v>0</v>
      </c>
      <c r="M27" s="18">
        <f>SUMIFS(Store_History[数量],Store_History[唯一識別碼],Store_Setting[[#This Row],[唯一識別碼]],Store_History[類型],"取货")</f>
        <v>0</v>
      </c>
    </row>
    <row r="28" spans="2:13" ht="40" customHeight="1" x14ac:dyDescent="0.4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0">
        <v>18</v>
      </c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Row],[唯一識別碼]],Store_History[類型],"入库")</f>
        <v>0</v>
      </c>
      <c r="M28" s="18">
        <f>SUMIFS(Store_History[数量],Store_History[唯一識別碼],Store_Setting[[#This Row],[唯一識別碼]],Store_History[類型],"取货")</f>
        <v>0</v>
      </c>
    </row>
    <row r="29" spans="2:13" ht="40" customHeight="1" x14ac:dyDescent="0.4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0">
        <v>19</v>
      </c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Row],[唯一識別碼]],Store_History[類型],"入库")</f>
        <v>0</v>
      </c>
      <c r="M29" s="18">
        <f>SUMIFS(Store_History[数量],Store_History[唯一識別碼],Store_Setting[[#This Row],[唯一識別碼]],Store_History[類型],"取货")</f>
        <v>0</v>
      </c>
    </row>
    <row r="30" spans="2:13" ht="40" customHeight="1" x14ac:dyDescent="0.4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0">
        <v>20</v>
      </c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Row],[唯一識別碼]],Store_History[類型],"入库")</f>
        <v>0</v>
      </c>
      <c r="M30" s="18">
        <f>SUMIFS(Store_History[数量],Store_History[唯一識別碼],Store_Setting[[#This Row],[唯一識別碼]],Store_History[類型],"取货")</f>
        <v>0</v>
      </c>
    </row>
    <row r="31" spans="2:13" ht="40" customHeight="1" x14ac:dyDescent="0.4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0">
        <v>21</v>
      </c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Row],[唯一識別碼]],Store_History[類型],"入库")</f>
        <v>0</v>
      </c>
      <c r="M31" s="18">
        <f>SUMIFS(Store_History[数量],Store_History[唯一識別碼],Store_Setting[[#This Row],[唯一識別碼]],Store_History[類型],"取货")</f>
        <v>0</v>
      </c>
    </row>
    <row r="32" spans="2:13" ht="40" customHeight="1" x14ac:dyDescent="0.4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0">
        <v>22</v>
      </c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Row],[唯一識別碼]],Store_History[類型],"入库")</f>
        <v>0</v>
      </c>
      <c r="M32" s="18">
        <f>SUMIFS(Store_History[数量],Store_History[唯一識別碼],Store_Setting[[#This Row],[唯一識別碼]],Store_History[類型],"取货")</f>
        <v>0</v>
      </c>
    </row>
    <row r="33" spans="2:13" ht="40" customHeight="1" x14ac:dyDescent="0.4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0">
        <v>23</v>
      </c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Row],[唯一識別碼]],Store_History[類型],"入库")</f>
        <v>0</v>
      </c>
      <c r="M33" s="18">
        <f>SUMIFS(Store_History[数量],Store_History[唯一識別碼],Store_Setting[[#This Row],[唯一識別碼]],Store_History[類型],"取货")</f>
        <v>0</v>
      </c>
    </row>
    <row r="34" spans="2:13" ht="40" customHeight="1" x14ac:dyDescent="0.4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0">
        <v>24</v>
      </c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Row],[唯一識別碼]],Store_History[類型],"入库")</f>
        <v>0</v>
      </c>
      <c r="M34" s="18">
        <f>SUMIFS(Store_History[数量],Store_History[唯一識別碼],Store_Setting[[#This Row],[唯一識別碼]],Store_History[類型],"取货")</f>
        <v>0</v>
      </c>
    </row>
    <row r="35" spans="2:13" ht="40" customHeight="1" x14ac:dyDescent="0.4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0">
        <v>25</v>
      </c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Row],[唯一識別碼]],Store_History[類型],"入库")</f>
        <v>0</v>
      </c>
      <c r="M35" s="18">
        <f>SUMIFS(Store_History[数量],Store_History[唯一識別碼],Store_Setting[[#This Row],[唯一識別碼]],Store_History[類型],"取货")</f>
        <v>0</v>
      </c>
    </row>
    <row r="36" spans="2:13" ht="40" customHeight="1" x14ac:dyDescent="0.4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0">
        <v>26</v>
      </c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Row],[唯一識別碼]],Store_History[類型],"入库")</f>
        <v>0</v>
      </c>
      <c r="M36" s="18">
        <f>SUMIFS(Store_History[数量],Store_History[唯一識別碼],Store_Setting[[#This Row],[唯一識別碼]],Store_History[類型],"取货")</f>
        <v>0</v>
      </c>
    </row>
    <row r="37" spans="2:13" ht="40" customHeight="1" x14ac:dyDescent="0.4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0">
        <v>27</v>
      </c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Row],[唯一識別碼]],Store_History[類型],"入库")</f>
        <v>0</v>
      </c>
      <c r="M37" s="18">
        <f>SUMIFS(Store_History[数量],Store_History[唯一識別碼],Store_Setting[[#This Row],[唯一識別碼]],Store_History[類型],"取货")</f>
        <v>0</v>
      </c>
    </row>
    <row r="38" spans="2:13" ht="40" customHeight="1" x14ac:dyDescent="0.4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0">
        <v>28</v>
      </c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Row],[唯一識別碼]],Store_History[類型],"入库")</f>
        <v>0</v>
      </c>
      <c r="M38" s="18">
        <f>SUMIFS(Store_History[数量],Store_History[唯一識別碼],Store_Setting[[#This Row],[唯一識別碼]],Store_History[類型],"取货")</f>
        <v>0</v>
      </c>
    </row>
    <row r="39" spans="2:13" ht="40" customHeight="1" x14ac:dyDescent="0.4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0">
        <v>29</v>
      </c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Row],[唯一識別碼]],Store_History[類型],"入库")</f>
        <v>0</v>
      </c>
      <c r="M39" s="18">
        <f>SUMIFS(Store_History[数量],Store_History[唯一識別碼],Store_Setting[[#This Row],[唯一識別碼]],Store_History[類型],"取货")</f>
        <v>0</v>
      </c>
    </row>
    <row r="40" spans="2:13" ht="40" customHeight="1" x14ac:dyDescent="0.4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0">
        <v>30</v>
      </c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Row],[唯一識別碼]],Store_History[類型],"入库")</f>
        <v>0</v>
      </c>
      <c r="M40" s="18">
        <f>SUMIFS(Store_History[数量],Store_History[唯一識別碼],Store_Setting[[#This Row],[唯一識別碼]],Store_History[類型],"取货")</f>
        <v>0</v>
      </c>
    </row>
    <row r="41" spans="2:13" ht="40" customHeight="1" x14ac:dyDescent="0.4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0">
        <v>31</v>
      </c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Row],[唯一識別碼]],Store_History[類型],"入库")</f>
        <v>0</v>
      </c>
      <c r="M41" s="18">
        <f>SUMIFS(Store_History[数量],Store_History[唯一識別碼],Store_Setting[[#This Row],[唯一識別碼]],Store_History[類型],"取货")</f>
        <v>0</v>
      </c>
    </row>
    <row r="42" spans="2:13" ht="40" customHeight="1" x14ac:dyDescent="0.4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0">
        <v>32</v>
      </c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Row],[唯一識別碼]],Store_History[類型],"入库")</f>
        <v>0</v>
      </c>
      <c r="M42" s="18">
        <f>SUMIFS(Store_History[数量],Store_History[唯一識別碼],Store_Setting[[#This Row],[唯一識別碼]],Store_History[類型],"取货")</f>
        <v>0</v>
      </c>
    </row>
    <row r="43" spans="2:13" ht="40" customHeight="1" x14ac:dyDescent="0.4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0">
        <v>33</v>
      </c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Row],[唯一識別碼]],Store_History[類型],"入库")</f>
        <v>0</v>
      </c>
      <c r="M43" s="18">
        <f>SUMIFS(Store_History[数量],Store_History[唯一識別碼],Store_Setting[[#This Row],[唯一識別碼]],Store_History[類型],"取货")</f>
        <v>0</v>
      </c>
    </row>
    <row r="44" spans="2:13" ht="40" customHeight="1" x14ac:dyDescent="0.4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0">
        <v>34</v>
      </c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Row],[唯一識別碼]],Store_History[類型],"入库")</f>
        <v>0</v>
      </c>
      <c r="M44" s="18">
        <f>SUMIFS(Store_History[数量],Store_History[唯一識別碼],Store_Setting[[#This Row],[唯一識別碼]],Store_History[類型],"取货")</f>
        <v>0</v>
      </c>
    </row>
    <row r="45" spans="2:13" ht="40" customHeight="1" x14ac:dyDescent="0.4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0">
        <v>35</v>
      </c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Row],[唯一識別碼]],Store_History[類型],"入库")</f>
        <v>0</v>
      </c>
      <c r="M45" s="18">
        <f>SUMIFS(Store_History[数量],Store_History[唯一識別碼],Store_Setting[[#This Row],[唯一識別碼]],Store_History[類型],"取货")</f>
        <v>0</v>
      </c>
    </row>
    <row r="46" spans="2:13" ht="40" customHeight="1" x14ac:dyDescent="0.4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0">
        <v>36</v>
      </c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Row],[唯一識別碼]],Store_History[類型],"入库")</f>
        <v>0</v>
      </c>
      <c r="M46" s="18">
        <f>SUMIFS(Store_History[数量],Store_History[唯一識別碼],Store_Setting[[#This Row],[唯一識別碼]],Store_History[類型],"取货")</f>
        <v>0</v>
      </c>
    </row>
    <row r="47" spans="2:13" ht="40" customHeight="1" x14ac:dyDescent="0.4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0">
        <v>37</v>
      </c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Row],[唯一識別碼]],Store_History[類型],"入库")</f>
        <v>0</v>
      </c>
      <c r="M47" s="18">
        <f>SUMIFS(Store_History[数量],Store_History[唯一識別碼],Store_Setting[[#This Row],[唯一識別碼]],Store_History[類型],"取货")</f>
        <v>0</v>
      </c>
    </row>
    <row r="48" spans="2:13" ht="40" customHeight="1" x14ac:dyDescent="0.4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0">
        <v>38</v>
      </c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Row],[唯一識別碼]],Store_History[類型],"入库")</f>
        <v>0</v>
      </c>
      <c r="M48" s="18">
        <f>SUMIFS(Store_History[数量],Store_History[唯一識別碼],Store_Setting[[#This Row],[唯一識別碼]],Store_History[類型],"取货")</f>
        <v>0</v>
      </c>
    </row>
    <row r="49" spans="2:13" ht="40" customHeight="1" x14ac:dyDescent="0.4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0">
        <v>39</v>
      </c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Row],[唯一識別碼]],Store_History[類型],"入库")</f>
        <v>0</v>
      </c>
      <c r="M49" s="18">
        <f>SUMIFS(Store_History[数量],Store_History[唯一識別碼],Store_Setting[[#This Row],[唯一識別碼]],Store_History[類型],"取货")</f>
        <v>0</v>
      </c>
    </row>
    <row r="50" spans="2:13" ht="40" customHeight="1" x14ac:dyDescent="0.4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0">
        <v>40</v>
      </c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Row],[唯一識別碼]],Store_History[類型],"入库")</f>
        <v>0</v>
      </c>
      <c r="M50" s="18">
        <f>SUMIFS(Store_History[数量],Store_History[唯一識別碼],Store_Setting[[#This Row],[唯一識別碼]],Store_History[類型],"取货")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</row>
    <row r="63" spans="2:13" ht="40" customHeight="1" x14ac:dyDescent="0.4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254</v>
      </c>
      <c r="C79" s="44"/>
      <c r="D79" s="44"/>
      <c r="E79" s="44"/>
    </row>
    <row r="80" spans="2:13" ht="40" customHeight="1" x14ac:dyDescent="0.4">
      <c r="B80" s="31" t="s">
        <v>252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253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337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 x14ac:dyDescent="0.4">
      <c r="A6" s="60"/>
      <c r="B6" s="60"/>
      <c r="C6" s="140"/>
      <c r="D6" s="159">
        <f>設定!F11</f>
        <v>1</v>
      </c>
      <c r="E6" s="159" t="str">
        <f>設定!F11 &amp;" - 歷史記錄"</f>
        <v>1 - 歷史記錄</v>
      </c>
      <c r="F6" s="159"/>
      <c r="G6" s="157">
        <f>設定!F12</f>
        <v>2</v>
      </c>
      <c r="H6" s="157" t="str">
        <f>設定!F12 &amp;" - 歷史記錄"</f>
        <v>2 - 歷史記錄</v>
      </c>
      <c r="I6" s="157"/>
      <c r="J6" s="159">
        <f>設定!F13</f>
        <v>3</v>
      </c>
      <c r="K6" s="159" t="str">
        <f>設定!F13 &amp;" - 歷史記錄"</f>
        <v>3 - 歷史記錄</v>
      </c>
      <c r="L6" s="159"/>
      <c r="M6" s="157">
        <f>設定!F14</f>
        <v>4</v>
      </c>
      <c r="N6" s="157" t="str">
        <f>設定!F14 &amp;" - 歷史記錄"</f>
        <v>4 - 歷史記錄</v>
      </c>
      <c r="O6" s="157"/>
      <c r="P6" s="159">
        <f>設定!F15</f>
        <v>5</v>
      </c>
      <c r="Q6" s="159" t="str">
        <f>設定!F15 &amp;" - 歷史記錄"</f>
        <v>5 - 歷史記錄</v>
      </c>
      <c r="R6" s="159"/>
      <c r="S6" s="157">
        <f>設定!F16</f>
        <v>6</v>
      </c>
      <c r="T6" s="157" t="str">
        <f>設定!F16 &amp;" - 歷史記錄"</f>
        <v>6 - 歷史記錄</v>
      </c>
      <c r="U6" s="157"/>
      <c r="V6" s="159">
        <f>設定!F17</f>
        <v>7</v>
      </c>
      <c r="W6" s="159" t="str">
        <f>設定!F17 &amp;" - 歷史記錄"</f>
        <v>7 - 歷史記錄</v>
      </c>
      <c r="X6" s="159"/>
      <c r="Y6" s="157">
        <f>設定!F18</f>
        <v>8</v>
      </c>
      <c r="Z6" s="157" t="str">
        <f>設定!F18 &amp;" - 歷史記錄"</f>
        <v>8 - 歷史記錄</v>
      </c>
      <c r="AA6" s="157"/>
      <c r="AB6" s="159">
        <f>設定!F19</f>
        <v>9</v>
      </c>
      <c r="AC6" s="159" t="str">
        <f>設定!F19 &amp;" - 歷史記錄"</f>
        <v>9 - 歷史記錄</v>
      </c>
      <c r="AD6" s="159"/>
      <c r="AE6" s="157">
        <f>設定!F20</f>
        <v>10</v>
      </c>
      <c r="AF6" s="157" t="str">
        <f>設定!F20 &amp;" - 歷史記錄"</f>
        <v>10 - 歷史記錄</v>
      </c>
      <c r="AG6" s="157"/>
      <c r="AH6" s="159">
        <f>設定!F21</f>
        <v>11</v>
      </c>
      <c r="AI6" s="159" t="str">
        <f>設定!F21 &amp;" - 歷史記錄"</f>
        <v>11 - 歷史記錄</v>
      </c>
      <c r="AJ6" s="159"/>
      <c r="AK6" s="157">
        <f>設定!F22</f>
        <v>12</v>
      </c>
      <c r="AL6" s="157" t="str">
        <f>設定!F22 &amp;" - 歷史記錄"</f>
        <v>12 - 歷史記錄</v>
      </c>
      <c r="AM6" s="157"/>
      <c r="AN6" s="159">
        <f>設定!F23</f>
        <v>13</v>
      </c>
      <c r="AO6" s="159" t="str">
        <f>設定!F23 &amp;" - 歷史記錄"</f>
        <v>13 - 歷史記錄</v>
      </c>
      <c r="AP6" s="159"/>
      <c r="AQ6" s="157">
        <f>設定!F24</f>
        <v>14</v>
      </c>
      <c r="AR6" s="157" t="str">
        <f>設定!F24 &amp;" - 歷史記錄"</f>
        <v>14 - 歷史記錄</v>
      </c>
      <c r="AS6" s="157"/>
      <c r="AT6" s="159">
        <f>設定!F25</f>
        <v>15</v>
      </c>
      <c r="AU6" s="159" t="str">
        <f>設定!F25 &amp;" - 歷史記錄"</f>
        <v>15 - 歷史記錄</v>
      </c>
      <c r="AV6" s="159"/>
      <c r="AW6" s="157">
        <f>設定!F26</f>
        <v>16</v>
      </c>
      <c r="AX6" s="157" t="str">
        <f>設定!F26 &amp;" - 歷史記錄"</f>
        <v>16 - 歷史記錄</v>
      </c>
      <c r="AY6" s="157"/>
      <c r="AZ6" s="159">
        <f>設定!F27</f>
        <v>17</v>
      </c>
      <c r="BA6" s="159" t="str">
        <f>設定!F27 &amp;" - 歷史記錄"</f>
        <v>17 - 歷史記錄</v>
      </c>
      <c r="BB6" s="159"/>
      <c r="BC6" s="157">
        <f>設定!F28</f>
        <v>18</v>
      </c>
      <c r="BD6" s="157" t="str">
        <f>設定!F28 &amp;" - 歷史記錄"</f>
        <v>18 - 歷史記錄</v>
      </c>
      <c r="BE6" s="157"/>
      <c r="BF6" s="159">
        <f>設定!F29</f>
        <v>19</v>
      </c>
      <c r="BG6" s="159" t="str">
        <f>設定!F29 &amp;" - 歷史記錄"</f>
        <v>19 - 歷史記錄</v>
      </c>
      <c r="BH6" s="159"/>
      <c r="BI6" s="157">
        <f>設定!F30</f>
        <v>20</v>
      </c>
      <c r="BJ6" s="157" t="str">
        <f>設定!F30 &amp;" - 歷史記錄"</f>
        <v>20 - 歷史記錄</v>
      </c>
      <c r="BK6" s="157"/>
      <c r="BL6" s="158">
        <f>設定!F31</f>
        <v>21</v>
      </c>
      <c r="BM6" s="158" t="str">
        <f>設定!F31 &amp;" - 歷史記錄"</f>
        <v>21 - 歷史記錄</v>
      </c>
      <c r="BN6" s="158"/>
      <c r="BO6" s="157">
        <f>設定!F32</f>
        <v>22</v>
      </c>
      <c r="BP6" s="157" t="str">
        <f>設定!F32 &amp;" - 歷史記錄"</f>
        <v>22 - 歷史記錄</v>
      </c>
      <c r="BQ6" s="157"/>
      <c r="BR6" s="156">
        <f>設定!F33</f>
        <v>23</v>
      </c>
      <c r="BS6" s="158" t="str">
        <f>設定!F33 &amp;" - 歷史記錄"</f>
        <v>23 - 歷史記錄</v>
      </c>
      <c r="BT6" s="158"/>
      <c r="BU6" s="157">
        <f>設定!F34</f>
        <v>24</v>
      </c>
      <c r="BV6" s="157" t="str">
        <f>設定!F34 &amp;" - 歷史記錄"</f>
        <v>24 - 歷史記錄</v>
      </c>
      <c r="BW6" s="157"/>
      <c r="BX6" s="158">
        <f>設定!F35</f>
        <v>25</v>
      </c>
      <c r="BY6" s="158" t="str">
        <f>設定!F35 &amp;" - 歷史記錄"</f>
        <v>25 - 歷史記錄</v>
      </c>
      <c r="BZ6" s="158"/>
      <c r="CA6" s="157">
        <f>設定!F36</f>
        <v>26</v>
      </c>
      <c r="CB6" s="157" t="str">
        <f>設定!F36 &amp;" - 歷史記錄"</f>
        <v>26 - 歷史記錄</v>
      </c>
      <c r="CC6" s="157"/>
      <c r="CD6" s="158">
        <f>設定!F37</f>
        <v>27</v>
      </c>
      <c r="CE6" s="158" t="str">
        <f>設定!F37 &amp;" - 歷史記錄"</f>
        <v>27 - 歷史記錄</v>
      </c>
      <c r="CF6" s="158"/>
      <c r="CG6" s="157">
        <f>設定!F38</f>
        <v>28</v>
      </c>
      <c r="CH6" s="157" t="str">
        <f>設定!F38 &amp;" - 歷史記錄"</f>
        <v>28 - 歷史記錄</v>
      </c>
      <c r="CI6" s="157"/>
      <c r="CJ6" s="158">
        <f>設定!F39</f>
        <v>29</v>
      </c>
      <c r="CK6" s="158" t="str">
        <f>設定!F39 &amp;" - 歷史記錄"</f>
        <v>29 - 歷史記錄</v>
      </c>
      <c r="CL6" s="158"/>
      <c r="CM6" s="157">
        <f>設定!F40</f>
        <v>30</v>
      </c>
      <c r="CN6" s="157" t="str">
        <f>設定!F40 &amp;" - 歷史記錄"</f>
        <v>30 - 歷史記錄</v>
      </c>
      <c r="CO6" s="157"/>
      <c r="CP6" s="158">
        <f>設定!F41</f>
        <v>31</v>
      </c>
      <c r="CQ6" s="158" t="str">
        <f>設定!F41 &amp;" - 歷史記錄"</f>
        <v>31 - 歷史記錄</v>
      </c>
      <c r="CR6" s="158"/>
      <c r="CS6" s="157">
        <f>設定!F42</f>
        <v>32</v>
      </c>
      <c r="CT6" s="157" t="str">
        <f>設定!F42 &amp;" - 歷史記錄"</f>
        <v>32 - 歷史記錄</v>
      </c>
      <c r="CU6" s="157"/>
      <c r="CV6" s="158">
        <f>設定!F43</f>
        <v>33</v>
      </c>
      <c r="CW6" s="158" t="str">
        <f>設定!F43 &amp;" - 歷史記錄"</f>
        <v>33 - 歷史記錄</v>
      </c>
      <c r="CX6" s="158"/>
      <c r="CY6" s="157">
        <f>設定!F44</f>
        <v>34</v>
      </c>
      <c r="CZ6" s="157" t="str">
        <f>設定!F44 &amp;" - 歷史記錄"</f>
        <v>34 - 歷史記錄</v>
      </c>
      <c r="DA6" s="157"/>
      <c r="DB6" s="158">
        <f>設定!F45</f>
        <v>35</v>
      </c>
      <c r="DC6" s="158" t="str">
        <f>設定!F45 &amp;" - 歷史記錄"</f>
        <v>35 - 歷史記錄</v>
      </c>
      <c r="DD6" s="158"/>
      <c r="DE6" s="157">
        <f>設定!F46</f>
        <v>36</v>
      </c>
      <c r="DF6" s="157" t="str">
        <f>設定!F46 &amp;" - 歷史記錄"</f>
        <v>36 - 歷史記錄</v>
      </c>
      <c r="DG6" s="157"/>
      <c r="DH6" s="158">
        <f>設定!F47</f>
        <v>37</v>
      </c>
      <c r="DI6" s="158" t="str">
        <f>設定!F47 &amp;" - 歷史記錄"</f>
        <v>37 - 歷史記錄</v>
      </c>
      <c r="DJ6" s="158"/>
      <c r="DK6" s="157">
        <f>設定!F48</f>
        <v>38</v>
      </c>
      <c r="DL6" s="157" t="str">
        <f>設定!F48 &amp;" - 歷史記錄"</f>
        <v>38 - 歷史記錄</v>
      </c>
      <c r="DM6" s="157"/>
      <c r="DN6" s="158">
        <f>設定!F49</f>
        <v>39</v>
      </c>
      <c r="DO6" s="158" t="str">
        <f>設定!F49 &amp;" - 歷史記錄"</f>
        <v>39 - 歷史記錄</v>
      </c>
      <c r="DP6" s="158"/>
      <c r="DQ6" s="157">
        <f>設定!F50</f>
        <v>40</v>
      </c>
      <c r="DR6" s="157" t="str">
        <f>設定!F50 &amp;" - 歷史記錄"</f>
        <v>40 - 歷史記錄</v>
      </c>
      <c r="DS6" s="157"/>
      <c r="DT6" s="163" t="s">
        <v>334</v>
      </c>
      <c r="DU6" s="163"/>
      <c r="DV6" s="163"/>
      <c r="DW6" s="164" t="s">
        <v>276</v>
      </c>
      <c r="DX6" s="164"/>
      <c r="DY6" s="164"/>
      <c r="DZ6" s="164"/>
      <c r="EA6" s="164"/>
      <c r="EB6" s="164" t="s">
        <v>275</v>
      </c>
      <c r="EC6" s="164"/>
      <c r="ED6" s="164"/>
      <c r="EE6" s="164" t="s">
        <v>274</v>
      </c>
      <c r="EF6" s="164"/>
      <c r="EG6" s="105"/>
      <c r="EH6" s="60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331</v>
      </c>
      <c r="DU8" s="94" t="s">
        <v>332</v>
      </c>
      <c r="DV8" s="94" t="s">
        <v>333</v>
      </c>
      <c r="DW8" s="94" t="s">
        <v>18</v>
      </c>
      <c r="DX8" s="94" t="s">
        <v>19</v>
      </c>
      <c r="DY8" s="94" t="s">
        <v>260</v>
      </c>
      <c r="DZ8" s="94" t="s">
        <v>261</v>
      </c>
      <c r="EA8" s="94" t="s">
        <v>262</v>
      </c>
      <c r="EB8" s="94" t="s">
        <v>268</v>
      </c>
      <c r="EC8" s="103" t="s">
        <v>15</v>
      </c>
      <c r="ED8" s="103" t="s">
        <v>16</v>
      </c>
      <c r="EE8" s="99" t="s">
        <v>277</v>
      </c>
      <c r="EF8" s="103" t="s">
        <v>270</v>
      </c>
      <c r="EG8" s="103" t="s">
        <v>269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318</v>
      </c>
      <c r="DX9" s="67" t="s">
        <v>154</v>
      </c>
      <c r="DY9" s="68" t="s">
        <v>7</v>
      </c>
      <c r="DZ9" s="68"/>
      <c r="EA9" s="55"/>
      <c r="EB9" s="68" t="s">
        <v>171</v>
      </c>
      <c r="EC9" s="68" t="s">
        <v>165</v>
      </c>
      <c r="ED9" s="68"/>
      <c r="EE9" s="84">
        <v>45268.505555555559</v>
      </c>
      <c r="EF9" s="104" t="s">
        <v>169</v>
      </c>
      <c r="EG9" s="128" t="s">
        <v>319</v>
      </c>
      <c r="EH9" s="13"/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167</v>
      </c>
      <c r="DX10" s="67" t="s">
        <v>168</v>
      </c>
      <c r="DY10" s="68" t="s">
        <v>8</v>
      </c>
      <c r="DZ10" s="68"/>
      <c r="EA10" s="55"/>
      <c r="EB10" s="68" t="s">
        <v>172</v>
      </c>
      <c r="EC10" s="68"/>
      <c r="ED10" s="68"/>
      <c r="EE10" s="84">
        <v>45268.505555555559</v>
      </c>
      <c r="EF10" s="104" t="s">
        <v>169</v>
      </c>
      <c r="EG10" s="128" t="s">
        <v>319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設定!F11</f>
        <v>1</v>
      </c>
      <c r="E6" s="92">
        <f>設定!F12</f>
        <v>2</v>
      </c>
      <c r="F6" s="91">
        <f>設定!F13</f>
        <v>3</v>
      </c>
      <c r="G6" s="92">
        <f>設定!F14</f>
        <v>4</v>
      </c>
      <c r="H6" s="91">
        <f>設定!F15</f>
        <v>5</v>
      </c>
      <c r="I6" s="92">
        <f>設定!F16</f>
        <v>6</v>
      </c>
      <c r="J6" s="91">
        <f>設定!F17</f>
        <v>7</v>
      </c>
      <c r="K6" s="92">
        <f>設定!F18</f>
        <v>8</v>
      </c>
      <c r="L6" s="91">
        <f>設定!F19</f>
        <v>9</v>
      </c>
      <c r="M6" s="92">
        <f>設定!F20</f>
        <v>10</v>
      </c>
      <c r="N6" s="91">
        <f>設定!F21</f>
        <v>11</v>
      </c>
      <c r="O6" s="92">
        <f>設定!F22</f>
        <v>12</v>
      </c>
      <c r="P6" s="91">
        <f>設定!F23</f>
        <v>13</v>
      </c>
      <c r="Q6" s="92">
        <f>設定!F24</f>
        <v>14</v>
      </c>
      <c r="R6" s="91">
        <f>設定!F25</f>
        <v>15</v>
      </c>
      <c r="S6" s="92">
        <f>設定!F26</f>
        <v>16</v>
      </c>
      <c r="T6" s="91">
        <f>設定!F27</f>
        <v>17</v>
      </c>
      <c r="U6" s="92">
        <f>設定!F28</f>
        <v>18</v>
      </c>
      <c r="V6" s="91">
        <f>設定!F29</f>
        <v>19</v>
      </c>
      <c r="W6" s="92">
        <f>設定!F30</f>
        <v>20</v>
      </c>
      <c r="X6" s="91">
        <f>設定!F31</f>
        <v>21</v>
      </c>
      <c r="Y6" s="92">
        <f>設定!F32</f>
        <v>22</v>
      </c>
      <c r="Z6" s="91">
        <f>設定!F33</f>
        <v>23</v>
      </c>
      <c r="AA6" s="92">
        <f>設定!F34</f>
        <v>24</v>
      </c>
      <c r="AB6" s="91">
        <f>設定!F35</f>
        <v>25</v>
      </c>
      <c r="AC6" s="92">
        <f>設定!F36</f>
        <v>26</v>
      </c>
      <c r="AD6" s="91">
        <f>設定!F37</f>
        <v>27</v>
      </c>
      <c r="AE6" s="92">
        <f>設定!F38</f>
        <v>28</v>
      </c>
      <c r="AF6" s="91">
        <f>設定!F39</f>
        <v>29</v>
      </c>
      <c r="AG6" s="92">
        <f>設定!F40</f>
        <v>30</v>
      </c>
      <c r="AH6" s="91">
        <f>設定!F41</f>
        <v>31</v>
      </c>
      <c r="AI6" s="92">
        <f>設定!F42</f>
        <v>32</v>
      </c>
      <c r="AJ6" s="91">
        <f>設定!F43</f>
        <v>33</v>
      </c>
      <c r="AK6" s="92">
        <f>設定!F44</f>
        <v>34</v>
      </c>
      <c r="AL6" s="91">
        <f>設定!F45</f>
        <v>35</v>
      </c>
      <c r="AM6" s="92">
        <f>設定!F46</f>
        <v>36</v>
      </c>
      <c r="AN6" s="91">
        <f>設定!F47</f>
        <v>37</v>
      </c>
      <c r="AO6" s="92">
        <f>設定!F48</f>
        <v>38</v>
      </c>
      <c r="AP6" s="91">
        <f>設定!F49</f>
        <v>39</v>
      </c>
      <c r="AQ6" s="92">
        <f>設定!F50</f>
        <v>40</v>
      </c>
      <c r="AR6" s="164" t="s">
        <v>56</v>
      </c>
      <c r="AS6" s="164"/>
      <c r="AT6" s="164"/>
      <c r="AU6" s="164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335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336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2024-02-24T17:13:47Z</dcterms:modified>
</cp:coreProperties>
</file>