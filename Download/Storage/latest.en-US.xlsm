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DCBA84E-8F05-4BFD-815E-071B84DD7AB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Setting!$D$73:$E$73</definedName>
    <definedName name="Get_GUID">UserInfo[Unique identifier]</definedName>
    <definedName name="Get_Keep_inventory">Setting!$D$71:$E$71</definedName>
    <definedName name="Get_Staff_Member">Setting!$D$53:$O$53</definedName>
    <definedName name="Get_Store_Uid">Store_Setting[Unique
identifier]</definedName>
    <definedName name="Get_Type_of_Access">Setting!$D$69:$E$69</definedName>
    <definedName name="Get_Work_Unit">Setting!$D$64:$O$64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6" i="1"/>
  <c r="B2" i="5"/>
  <c r="B2" i="6"/>
  <c r="B2" i="8"/>
  <c r="B2" i="9"/>
  <c r="B2" i="4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7" i="1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K12" i="1" s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47" i="1" l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<sst xmlns="http://schemas.openxmlformats.org/spreadsheetml/2006/main" count="677" uniqueCount="481">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</sst>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9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9" fillId="16" borderId="0" xfId="0" applyFont="1" applyFill="1" applyAlignment="1">
      <alignment vertical="center"/>
    </xf>
    <xf numFmtId="0" fontId="9" fillId="10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7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6"/>
    <tableColumn id="2" xr3:uid="{C28244F3-482D-4CFC-B629-A29496B98C0B}" name="Product name" dataDxfId="395"/>
    <tableColumn id="11" xr3:uid="{71958388-9C14-426E-8457-DCEA92BC0E87}" name="Negative difference" dataDxfId="394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3">
      <calculatedColumnFormula>SUM(UserInfo[1 - Remaining])</calculatedColumnFormula>
    </tableColumn>
    <tableColumn id="7" xr3:uid="{75829BDD-5513-4744-8184-35AE3788771C}" name="Deposited" dataDxfId="392">
      <calculatedColumnFormula>SUM(UserInfo[1 - Deposit])</calculatedColumnFormula>
    </tableColumn>
    <tableColumn id="6" xr3:uid="{B71F91EB-0024-4EC1-8035-3636C31B3740}" name="Withdrawn" dataDxfId="391">
      <calculatedColumnFormula>SUM(UserInfo[1 - Withdrawal])</calculatedColumnFormula>
    </tableColumn>
    <tableColumn id="5" xr3:uid="{6E4E3255-2204-43C6-A50C-EEAF08580A14}" name="Negative_x000a_inventory_x000a_balance" dataDxfId="390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9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8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7"/>
    <tableColumn id="3" xr3:uid="{0F7FF887-858D-4FF9-BA62-095ABFE4C76D}" name="Hide withdrawals" dataDxfId="386"/>
    <tableColumn id="13" xr3:uid="{89FF378B-8527-4831-9678-F319360512CA}" name="MemberScope" dataDxfId="385"/>
    <tableColumn id="14" xr3:uid="{E1F64A09-7F12-4309-9B35-6F58E3592CA9}" name="MemberSave" dataDxfId="384"/>
    <tableColumn id="15" xr3:uid="{13DB9E96-169F-4C16-8BFD-D459CAA74FD9}" name="MemberEject" dataDxfId="383"/>
    <tableColumn id="16" xr3:uid="{C4DDD6BF-EA0E-4A1E-9CF3-8B2C1DE07BE2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4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39"/>
    </row>
    <row r="2" spans="1:16" s="100" customFormat="1" ht="10" customHeight="1" x14ac:dyDescent="0.4">
      <c r="E2" s="140"/>
    </row>
    <row r="3" spans="1:16" s="51" customFormat="1" ht="40" customHeight="1" x14ac:dyDescent="0.5">
      <c r="A3" s="141"/>
      <c r="B3" s="141"/>
      <c r="C3" s="141"/>
      <c r="D3" s="4" t="s">
        <v>48</v>
      </c>
      <c r="E3" s="142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</row>
    <row r="4" spans="1:16" s="51" customFormat="1" ht="8.15" customHeight="1" x14ac:dyDescent="0.4">
      <c r="A4" s="141"/>
      <c r="B4" s="141"/>
      <c r="C4" s="141"/>
      <c r="D4" s="143"/>
      <c r="E4" s="142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</row>
    <row r="5" spans="1:16" s="51" customFormat="1" ht="40" customHeight="1" x14ac:dyDescent="0.4">
      <c r="A5" s="141"/>
      <c r="B5" s="141"/>
      <c r="C5" s="141"/>
      <c r="D5" s="180" t="s">
        <v>49</v>
      </c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41"/>
    </row>
    <row r="6" spans="1:16" ht="16.5" customHeight="1" x14ac:dyDescent="0.4"/>
    <row r="7" spans="1:16" ht="8.15" customHeight="1" x14ac:dyDescent="0.4">
      <c r="B7" s="51"/>
      <c r="C7" s="51"/>
      <c r="D7" s="51"/>
      <c r="E7" s="145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6"/>
      <c r="D8" s="147" t="s">
        <v>50</v>
      </c>
      <c r="E8" s="147"/>
      <c r="F8" s="147"/>
      <c r="G8" s="146"/>
      <c r="H8" s="146"/>
      <c r="I8" s="146"/>
      <c r="J8" s="146"/>
      <c r="K8" s="146"/>
      <c r="L8" s="146"/>
      <c r="M8" s="146"/>
      <c r="N8" s="146"/>
      <c r="O8" s="51"/>
    </row>
    <row r="9" spans="1:16" ht="50.15" customHeight="1" thickTop="1" x14ac:dyDescent="0.4">
      <c r="B9" s="51"/>
      <c r="C9" s="51">
        <v>1</v>
      </c>
      <c r="D9" s="181" t="s">
        <v>51</v>
      </c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51"/>
    </row>
    <row r="10" spans="1:16" ht="50.15" customHeight="1" x14ac:dyDescent="0.4">
      <c r="B10" s="51"/>
      <c r="C10" s="51">
        <v>1</v>
      </c>
      <c r="D10" s="182" t="s">
        <v>52</v>
      </c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51"/>
    </row>
    <row r="11" spans="1:16" ht="35.15" customHeight="1" x14ac:dyDescent="0.4">
      <c r="B11" s="51"/>
      <c r="C11" s="51">
        <v>1</v>
      </c>
      <c r="D11" s="182" t="s">
        <v>53</v>
      </c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51"/>
    </row>
    <row r="12" spans="1:16" ht="35.15" customHeight="1" x14ac:dyDescent="0.4">
      <c r="B12" s="51"/>
      <c r="C12" s="51">
        <v>-1</v>
      </c>
      <c r="D12" s="182" t="s">
        <v>54</v>
      </c>
      <c r="E12" s="182"/>
      <c r="F12" s="182"/>
      <c r="G12" s="182"/>
      <c r="H12" s="182"/>
      <c r="I12" s="182"/>
      <c r="J12" s="182"/>
      <c r="K12" s="182"/>
      <c r="L12" s="182"/>
      <c r="M12" s="182"/>
      <c r="N12" s="182"/>
      <c r="O12" s="51"/>
    </row>
    <row r="13" spans="1:16" ht="35.15" customHeight="1" x14ac:dyDescent="0.4">
      <c r="B13" s="51"/>
      <c r="C13" s="51"/>
      <c r="D13" s="148"/>
      <c r="E13" s="145"/>
      <c r="F13" s="145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6"/>
      <c r="D14" s="147" t="s">
        <v>55</v>
      </c>
      <c r="E14" s="147"/>
      <c r="F14" s="146"/>
      <c r="G14" s="146"/>
      <c r="H14" s="146"/>
      <c r="I14" s="146"/>
      <c r="J14" s="146"/>
      <c r="K14" s="146"/>
      <c r="L14" s="146"/>
      <c r="M14" s="146"/>
      <c r="N14" s="146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83" t="s">
        <v>56</v>
      </c>
      <c r="F15" s="183"/>
      <c r="G15" s="183"/>
      <c r="H15" s="183"/>
      <c r="I15" s="183"/>
      <c r="J15" s="183"/>
      <c r="K15" s="183"/>
      <c r="L15" s="183"/>
      <c r="M15" s="183"/>
      <c r="N15" s="183"/>
      <c r="O15" s="51"/>
    </row>
    <row r="16" spans="1:16" ht="35.15" customHeight="1" x14ac:dyDescent="0.4">
      <c r="B16" s="51"/>
      <c r="C16" s="51"/>
      <c r="D16" s="51"/>
      <c r="E16" s="179" t="s">
        <v>57</v>
      </c>
      <c r="F16" s="179"/>
      <c r="G16" s="179"/>
      <c r="H16" s="179"/>
      <c r="I16" s="179"/>
      <c r="J16" s="179"/>
      <c r="K16" s="179"/>
      <c r="L16" s="179"/>
      <c r="M16" s="179"/>
      <c r="N16" s="179"/>
      <c r="O16" s="51"/>
    </row>
    <row r="17" spans="2:15" ht="35.15" customHeight="1" x14ac:dyDescent="0.4">
      <c r="B17" s="51"/>
      <c r="C17" s="51"/>
      <c r="D17" s="51"/>
      <c r="E17" s="179" t="s">
        <v>58</v>
      </c>
      <c r="F17" s="179"/>
      <c r="G17" s="179"/>
      <c r="H17" s="179"/>
      <c r="I17" s="179"/>
      <c r="J17" s="179"/>
      <c r="K17" s="179"/>
      <c r="L17" s="179"/>
      <c r="M17" s="179"/>
      <c r="N17" s="179"/>
      <c r="O17" s="51"/>
    </row>
    <row r="18" spans="2:15" ht="15" customHeight="1" x14ac:dyDescent="0.4">
      <c r="B18" s="51"/>
      <c r="C18" s="51"/>
      <c r="D18" s="51"/>
      <c r="E18" s="149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79" t="s">
        <v>59</v>
      </c>
      <c r="F19" s="179"/>
      <c r="G19" s="179"/>
      <c r="H19" s="179"/>
      <c r="I19" s="179"/>
      <c r="J19" s="179"/>
      <c r="K19" s="179"/>
      <c r="L19" s="179"/>
      <c r="M19" s="179"/>
      <c r="N19" s="179"/>
      <c r="O19" s="51"/>
    </row>
    <row r="20" spans="2:15" ht="49.5" customHeight="1" x14ac:dyDescent="0.4">
      <c r="B20" s="51"/>
      <c r="C20" s="51"/>
      <c r="D20" s="51"/>
      <c r="E20" s="179" t="s">
        <v>60</v>
      </c>
      <c r="F20" s="179"/>
      <c r="G20" s="179"/>
      <c r="H20" s="179"/>
      <c r="I20" s="179"/>
      <c r="J20" s="179"/>
      <c r="K20" s="179"/>
      <c r="L20" s="179"/>
      <c r="M20" s="179"/>
      <c r="N20" s="179"/>
      <c r="O20" s="51"/>
    </row>
    <row r="21" spans="2:15" ht="50.15" customHeight="1" x14ac:dyDescent="0.4">
      <c r="B21" s="51"/>
      <c r="C21" s="51"/>
      <c r="D21" s="51"/>
      <c r="E21" s="179" t="s">
        <v>61</v>
      </c>
      <c r="F21" s="179"/>
      <c r="G21" s="179"/>
      <c r="H21" s="179"/>
      <c r="I21" s="179"/>
      <c r="J21" s="179"/>
      <c r="K21" s="179"/>
      <c r="L21" s="179"/>
      <c r="M21" s="179"/>
      <c r="N21" s="179"/>
      <c r="O21" s="51"/>
    </row>
    <row r="22" spans="2:15" ht="15" customHeight="1" x14ac:dyDescent="0.4">
      <c r="B22" s="51"/>
      <c r="C22" s="51"/>
      <c r="D22" s="51"/>
      <c r="E22" s="149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79" t="s">
        <v>65</v>
      </c>
      <c r="F23" s="179"/>
      <c r="G23" s="179"/>
      <c r="H23" s="179"/>
      <c r="I23" s="179"/>
      <c r="J23" s="179"/>
      <c r="K23" s="179"/>
      <c r="L23" s="179"/>
      <c r="M23" s="179"/>
      <c r="N23" s="179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49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0">
        <v>1</v>
      </c>
      <c r="F25" s="151" t="s">
        <v>67</v>
      </c>
      <c r="G25" s="51"/>
      <c r="H25" s="150">
        <v>1</v>
      </c>
      <c r="I25" s="151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0">
        <v>0</v>
      </c>
      <c r="F26" s="151" t="s">
        <v>68</v>
      </c>
      <c r="G26" s="51"/>
      <c r="H26" s="150">
        <v>-0.01</v>
      </c>
      <c r="I26" s="151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0">
        <v>-0.01</v>
      </c>
      <c r="F27" s="151" t="s">
        <v>69</v>
      </c>
      <c r="G27" s="51"/>
      <c r="H27" s="150"/>
      <c r="I27" s="152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5"/>
      <c r="F28" s="151"/>
      <c r="G28" s="51"/>
      <c r="H28" s="150"/>
      <c r="I28" s="152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6">
        <v>1</v>
      </c>
      <c r="D29" s="153" t="s">
        <v>72</v>
      </c>
      <c r="E29" s="147"/>
      <c r="F29" s="146"/>
      <c r="G29" s="146"/>
      <c r="H29" s="146"/>
      <c r="I29" s="146"/>
      <c r="J29" s="146"/>
      <c r="K29" s="146"/>
      <c r="L29" s="146"/>
      <c r="M29" s="146"/>
      <c r="N29" s="146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83" t="s">
        <v>73</v>
      </c>
      <c r="F30" s="183"/>
      <c r="G30" s="183"/>
      <c r="H30" s="183"/>
      <c r="I30" s="183"/>
      <c r="J30" s="183"/>
      <c r="K30" s="183"/>
      <c r="L30" s="183"/>
      <c r="M30" s="183"/>
      <c r="N30" s="183"/>
      <c r="O30" s="51"/>
    </row>
    <row r="31" spans="2:15" ht="35.15" customHeight="1" x14ac:dyDescent="0.4">
      <c r="B31" s="51"/>
      <c r="C31" s="51"/>
      <c r="D31" s="51"/>
      <c r="E31" s="149" t="s">
        <v>74</v>
      </c>
      <c r="F31" s="145"/>
      <c r="G31" s="145"/>
      <c r="H31" s="145"/>
      <c r="I31" s="145"/>
      <c r="J31" s="145"/>
      <c r="K31" s="145"/>
      <c r="L31" s="145"/>
      <c r="M31" s="145"/>
      <c r="N31" s="145"/>
      <c r="O31" s="51"/>
    </row>
    <row r="32" spans="2:15" ht="15" customHeight="1" x14ac:dyDescent="0.4">
      <c r="B32" s="51"/>
      <c r="C32" s="51"/>
      <c r="D32" s="51"/>
      <c r="E32" s="149"/>
      <c r="F32" s="145"/>
      <c r="G32" s="145"/>
      <c r="H32" s="145"/>
      <c r="I32" s="145"/>
      <c r="J32" s="145"/>
      <c r="K32" s="145"/>
      <c r="L32" s="145"/>
      <c r="M32" s="145"/>
      <c r="N32" s="145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79" t="s">
        <v>75</v>
      </c>
      <c r="F33" s="179"/>
      <c r="G33" s="179"/>
      <c r="H33" s="179"/>
      <c r="I33" s="179"/>
      <c r="J33" s="179"/>
      <c r="K33" s="179"/>
      <c r="L33" s="179"/>
      <c r="M33" s="179"/>
      <c r="N33" s="179"/>
      <c r="O33" s="51"/>
    </row>
    <row r="34" spans="2:15" ht="35.15" customHeight="1" x14ac:dyDescent="0.4">
      <c r="B34" s="51"/>
      <c r="C34" s="51"/>
      <c r="D34" s="51"/>
      <c r="E34" s="149" t="s">
        <v>76</v>
      </c>
      <c r="F34" s="145"/>
      <c r="G34" s="145"/>
      <c r="H34" s="145"/>
      <c r="I34" s="145"/>
      <c r="J34" s="145"/>
      <c r="K34" s="145"/>
      <c r="L34" s="145"/>
      <c r="M34" s="145"/>
      <c r="N34" s="145"/>
      <c r="O34" s="51"/>
    </row>
    <row r="35" spans="2:15" ht="35.15" customHeight="1" x14ac:dyDescent="0.4">
      <c r="B35" s="51"/>
      <c r="C35" s="51"/>
      <c r="D35" s="51"/>
      <c r="E35" s="149" t="s">
        <v>77</v>
      </c>
      <c r="F35" s="145"/>
      <c r="G35" s="145"/>
      <c r="H35" s="145"/>
      <c r="I35" s="145"/>
      <c r="J35" s="145"/>
      <c r="K35" s="145"/>
      <c r="L35" s="145"/>
      <c r="M35" s="145"/>
      <c r="N35" s="145"/>
      <c r="O35" s="51"/>
    </row>
    <row r="36" spans="2:15" ht="15" customHeight="1" x14ac:dyDescent="0.4">
      <c r="B36" s="51"/>
      <c r="C36" s="51"/>
      <c r="D36" s="51"/>
      <c r="E36" s="149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79" t="s">
        <v>78</v>
      </c>
      <c r="F37" s="179"/>
      <c r="G37" s="179"/>
      <c r="H37" s="179"/>
      <c r="I37" s="179"/>
      <c r="J37" s="179"/>
      <c r="K37" s="179"/>
      <c r="L37" s="179"/>
      <c r="M37" s="179"/>
      <c r="N37" s="179"/>
      <c r="O37" s="51"/>
    </row>
    <row r="38" spans="2:15" ht="35.15" customHeight="1" x14ac:dyDescent="0.4">
      <c r="B38" s="51"/>
      <c r="C38" s="51"/>
      <c r="D38" s="51"/>
      <c r="E38" s="179" t="s">
        <v>79</v>
      </c>
      <c r="F38" s="179"/>
      <c r="G38" s="179"/>
      <c r="H38" s="179"/>
      <c r="I38" s="179"/>
      <c r="J38" s="179"/>
      <c r="K38" s="179"/>
      <c r="L38" s="179"/>
      <c r="M38" s="179"/>
      <c r="N38" s="179"/>
      <c r="O38" s="51"/>
    </row>
    <row r="39" spans="2:15" ht="15" customHeight="1" x14ac:dyDescent="0.4">
      <c r="B39" s="51"/>
      <c r="C39" s="51"/>
      <c r="D39" s="51"/>
      <c r="E39" s="149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84" t="s">
        <v>80</v>
      </c>
      <c r="F40" s="184"/>
      <c r="G40" s="184"/>
      <c r="H40" s="184"/>
      <c r="I40" s="184"/>
      <c r="J40" s="184"/>
      <c r="K40" s="184"/>
      <c r="L40" s="184"/>
      <c r="M40" s="184"/>
      <c r="N40" s="184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79" t="s">
        <v>81</v>
      </c>
      <c r="F41" s="179"/>
      <c r="G41" s="179"/>
      <c r="H41" s="179"/>
      <c r="I41" s="179"/>
      <c r="J41" s="179"/>
      <c r="K41" s="179"/>
      <c r="L41" s="179"/>
      <c r="M41" s="179"/>
      <c r="N41" s="179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84" t="s">
        <v>82</v>
      </c>
      <c r="F42" s="184"/>
      <c r="G42" s="184"/>
      <c r="H42" s="184"/>
      <c r="I42" s="184"/>
      <c r="J42" s="184"/>
      <c r="K42" s="184"/>
      <c r="L42" s="184"/>
      <c r="M42" s="184"/>
      <c r="N42" s="184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49" t="s">
        <v>83</v>
      </c>
      <c r="F43" s="145"/>
      <c r="G43" s="145"/>
      <c r="H43" s="145"/>
      <c r="I43" s="145"/>
      <c r="J43" s="145"/>
      <c r="K43" s="145"/>
      <c r="L43" s="145"/>
      <c r="M43" s="145"/>
      <c r="N43" s="145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79" t="s">
        <v>84</v>
      </c>
      <c r="F44" s="179"/>
      <c r="G44" s="179"/>
      <c r="H44" s="179"/>
      <c r="I44" s="179"/>
      <c r="J44" s="179"/>
      <c r="K44" s="179"/>
      <c r="L44" s="179"/>
      <c r="M44" s="179"/>
      <c r="N44" s="179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79" t="s">
        <v>96</v>
      </c>
      <c r="F45" s="179"/>
      <c r="G45" s="179"/>
      <c r="H45" s="179"/>
      <c r="I45" s="179"/>
      <c r="J45" s="179"/>
      <c r="K45" s="179"/>
      <c r="L45" s="179"/>
      <c r="M45" s="179"/>
      <c r="N45" s="179"/>
      <c r="O45" s="51"/>
    </row>
    <row r="46" spans="2:15" ht="35.15" customHeight="1" x14ac:dyDescent="0.4">
      <c r="B46" s="51"/>
      <c r="C46" s="51"/>
      <c r="D46" s="51"/>
      <c r="E46" s="184" t="s">
        <v>97</v>
      </c>
      <c r="F46" s="184"/>
      <c r="G46" s="184"/>
      <c r="H46" s="184"/>
      <c r="I46" s="184"/>
      <c r="J46" s="184"/>
      <c r="K46" s="184"/>
      <c r="L46" s="184"/>
      <c r="M46" s="184"/>
      <c r="N46" s="184"/>
      <c r="O46" s="51"/>
    </row>
    <row r="47" spans="2:15" ht="35.15" customHeight="1" x14ac:dyDescent="0.4">
      <c r="B47" s="51"/>
      <c r="C47" s="51"/>
      <c r="D47" s="51"/>
      <c r="E47" s="184" t="s">
        <v>98</v>
      </c>
      <c r="F47" s="184"/>
      <c r="G47" s="184"/>
      <c r="H47" s="184"/>
      <c r="I47" s="184"/>
      <c r="J47" s="184"/>
      <c r="K47" s="184"/>
      <c r="L47" s="184"/>
      <c r="M47" s="184"/>
      <c r="N47" s="184"/>
      <c r="O47" s="51"/>
    </row>
    <row r="48" spans="2:15" ht="35.15" customHeight="1" x14ac:dyDescent="0.4">
      <c r="B48" s="51"/>
      <c r="C48" s="51"/>
      <c r="D48" s="51"/>
      <c r="E48" s="145"/>
      <c r="F48" s="145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6"/>
      <c r="D49" s="147" t="s">
        <v>87</v>
      </c>
      <c r="E49" s="147"/>
      <c r="F49" s="147"/>
      <c r="G49" s="146"/>
      <c r="H49" s="146"/>
      <c r="I49" s="146"/>
      <c r="J49" s="146"/>
      <c r="K49" s="146"/>
      <c r="L49" s="146"/>
      <c r="M49" s="146"/>
      <c r="N49" s="146"/>
      <c r="O49" s="51"/>
    </row>
    <row r="50" spans="2:15" ht="35.15" customHeight="1" thickTop="1" x14ac:dyDescent="0.4">
      <c r="B50" s="51"/>
      <c r="C50" s="154">
        <v>1</v>
      </c>
      <c r="D50" s="155" t="s">
        <v>88</v>
      </c>
      <c r="E50" s="156"/>
      <c r="F50" s="156"/>
      <c r="G50" s="154"/>
      <c r="H50" s="154"/>
      <c r="I50" s="154"/>
      <c r="J50" s="154"/>
      <c r="K50" s="154"/>
      <c r="L50" s="154"/>
      <c r="M50" s="154"/>
      <c r="N50" s="154"/>
      <c r="O50" s="51"/>
    </row>
    <row r="51" spans="2:15" ht="35.15" customHeight="1" x14ac:dyDescent="0.4">
      <c r="B51" s="51"/>
      <c r="C51" s="154">
        <v>1</v>
      </c>
      <c r="D51" s="155" t="s">
        <v>89</v>
      </c>
      <c r="E51" s="156"/>
      <c r="F51" s="156"/>
      <c r="G51" s="154"/>
      <c r="H51" s="154"/>
      <c r="I51" s="154"/>
      <c r="J51" s="154"/>
      <c r="K51" s="154"/>
      <c r="L51" s="154"/>
      <c r="M51" s="154"/>
      <c r="N51" s="154"/>
      <c r="O51" s="51"/>
    </row>
    <row r="52" spans="2:15" ht="35.15" customHeight="1" x14ac:dyDescent="0.4">
      <c r="B52" s="51"/>
      <c r="C52" s="51">
        <v>0</v>
      </c>
      <c r="D52" s="155" t="s">
        <v>90</v>
      </c>
      <c r="E52" s="145"/>
      <c r="F52" s="145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7" t="s">
        <v>91</v>
      </c>
      <c r="E53" s="158"/>
      <c r="F53" s="158"/>
      <c r="G53" s="159"/>
      <c r="H53" s="159"/>
      <c r="I53" s="159"/>
      <c r="J53" s="159"/>
      <c r="K53" s="159"/>
      <c r="L53" s="159"/>
      <c r="M53" s="159"/>
      <c r="N53" s="159"/>
      <c r="O53" s="51"/>
    </row>
    <row r="54" spans="2:15" ht="158.25" customHeight="1" x14ac:dyDescent="0.4">
      <c r="B54" s="51"/>
      <c r="C54" s="51"/>
      <c r="D54" s="148"/>
      <c r="E54" s="145"/>
      <c r="F54" s="145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48"/>
      <c r="E55" s="145"/>
      <c r="F55" s="145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7" t="s">
        <v>92</v>
      </c>
      <c r="E56" s="158"/>
      <c r="F56" s="158"/>
      <c r="G56" s="159"/>
      <c r="H56" s="159"/>
      <c r="I56" s="159"/>
      <c r="J56" s="159"/>
      <c r="K56" s="159"/>
      <c r="L56" s="159"/>
      <c r="M56" s="159"/>
      <c r="N56" s="159"/>
      <c r="O56" s="51"/>
    </row>
    <row r="57" spans="2:15" ht="140.25" customHeight="1" x14ac:dyDescent="0.4">
      <c r="B57" s="51"/>
      <c r="C57" s="51"/>
      <c r="D57" s="148"/>
      <c r="E57" s="145"/>
      <c r="F57" s="145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48"/>
      <c r="E58" s="145"/>
      <c r="F58" s="145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7" t="s">
        <v>257</v>
      </c>
      <c r="E59" s="158"/>
      <c r="F59" s="158"/>
      <c r="G59" s="159"/>
      <c r="H59" s="159"/>
      <c r="I59" s="159"/>
      <c r="J59" s="159"/>
      <c r="K59" s="159"/>
      <c r="L59" s="159"/>
      <c r="M59" s="159"/>
      <c r="N59" s="159"/>
      <c r="O59" s="51"/>
    </row>
    <row r="60" spans="2:15" ht="162" customHeight="1" x14ac:dyDescent="0.4">
      <c r="B60" s="51"/>
      <c r="C60" s="51"/>
      <c r="D60" s="148"/>
      <c r="E60" s="145"/>
      <c r="F60" s="145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48"/>
      <c r="E61" s="145"/>
      <c r="F61" s="145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7" t="s">
        <v>93</v>
      </c>
      <c r="E62" s="158"/>
      <c r="F62" s="158"/>
      <c r="G62" s="159"/>
      <c r="H62" s="159"/>
      <c r="I62" s="159"/>
      <c r="J62" s="159"/>
      <c r="K62" s="159"/>
      <c r="L62" s="159"/>
      <c r="M62" s="159"/>
      <c r="N62" s="159"/>
      <c r="O62" s="51"/>
    </row>
    <row r="63" spans="2:15" ht="34.5" customHeight="1" x14ac:dyDescent="0.4">
      <c r="B63" s="51"/>
      <c r="C63" s="51"/>
      <c r="D63" s="160" t="s">
        <v>94</v>
      </c>
      <c r="E63" s="145"/>
      <c r="F63" s="145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85" t="s">
        <v>95</v>
      </c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51"/>
    </row>
    <row r="65" spans="2:15" ht="210.75" customHeight="1" x14ac:dyDescent="0.4">
      <c r="B65" s="51"/>
      <c r="C65" s="51"/>
      <c r="D65" s="148"/>
      <c r="E65" s="145"/>
      <c r="F65" s="145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5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5" width="14.69140625" style="51" customWidth="1"/>
    <col min="16" max="19" width="14.69140625" style="51" hidden="1" customWidth="1"/>
    <col min="20" max="20" width="2.69140625" style="51" customWidth="1"/>
    <col min="21" max="16384" width="9.15234375" style="51" hidden="1"/>
  </cols>
  <sheetData>
    <row r="1" spans="2:19" s="99" customFormat="1" ht="6" customHeight="1" x14ac:dyDescent="0.4"/>
    <row r="2" spans="2:19" s="100" customFormat="1" ht="10" customHeight="1" x14ac:dyDescent="0.4"/>
    <row r="3" spans="2:19" s="100" customFormat="1" ht="40" customHeight="1" x14ac:dyDescent="0.5">
      <c r="B3" s="101"/>
      <c r="C3" s="3" t="s">
        <v>305</v>
      </c>
    </row>
    <row r="4" spans="2:19" s="100" customFormat="1" ht="8.15" customHeight="1" x14ac:dyDescent="0.4">
      <c r="B4" s="101"/>
      <c r="C4" s="102"/>
    </row>
    <row r="5" spans="2:19" s="100" customFormat="1" ht="40" customHeight="1" x14ac:dyDescent="0.4">
      <c r="B5" s="101"/>
      <c r="C5" s="103" t="s">
        <v>99</v>
      </c>
    </row>
    <row r="6" spans="2:19" ht="16.5" customHeight="1" x14ac:dyDescent="0.4">
      <c r="G6" s="104"/>
      <c r="H6" s="104"/>
      <c r="I6" s="104"/>
      <c r="J6" s="104"/>
      <c r="K6" s="104"/>
    </row>
    <row r="7" spans="2:19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2:19" ht="8.15" customHeight="1" x14ac:dyDescent="0.4"/>
    <row r="9" spans="2:19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6" t="s">
        <v>133</v>
      </c>
      <c r="I9" s="186"/>
      <c r="J9" s="186"/>
      <c r="K9" s="187" t="s">
        <v>134</v>
      </c>
      <c r="L9" s="187"/>
      <c r="M9" s="187"/>
      <c r="N9" s="187" t="s">
        <v>471</v>
      </c>
      <c r="O9" s="187"/>
      <c r="P9" s="187" t="s">
        <v>468</v>
      </c>
      <c r="Q9" s="187"/>
      <c r="R9" s="187"/>
      <c r="S9" s="187"/>
    </row>
    <row r="10" spans="2:19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  <c r="N10" s="109" t="s">
        <v>469</v>
      </c>
      <c r="O10" s="109" t="s">
        <v>470</v>
      </c>
      <c r="P10" s="176" t="s">
        <v>330</v>
      </c>
      <c r="Q10" s="176" t="s">
        <v>331</v>
      </c>
      <c r="R10" s="176" t="s">
        <v>332</v>
      </c>
      <c r="S10" s="176" t="s">
        <v>333</v>
      </c>
    </row>
    <row r="11" spans="2:19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identifier]],Store_History[Type],"Warehouse")</f>
        <v>0</v>
      </c>
      <c r="M11" s="115">
        <f>SUMIFS(Store_History[Quantity],Store_History[Unique identifier],Store_Setting[[#This Row],[Unique
identifier]],Store_History[Type],"Pick up")</f>
        <v>0</v>
      </c>
      <c r="N11" s="66" t="s">
        <v>137</v>
      </c>
      <c r="O11" s="66" t="s">
        <v>137</v>
      </c>
      <c r="P11" s="23" t="s">
        <v>334</v>
      </c>
      <c r="Q11" s="23" t="s">
        <v>335</v>
      </c>
      <c r="R11" s="23" t="s">
        <v>336</v>
      </c>
      <c r="S11" s="23" t="s">
        <v>337</v>
      </c>
    </row>
    <row r="12" spans="2:19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identifier]],Store_History[Type],"Warehouse")</f>
        <v>0</v>
      </c>
      <c r="M12" s="115">
        <f>SUMIFS(Store_History[Quantity],Store_History[Unique identifier],Store_Setting[[#This Row],[Unique
identifier]],Store_History[Type],"Pick up")</f>
        <v>0</v>
      </c>
      <c r="N12" s="66" t="s">
        <v>137</v>
      </c>
      <c r="O12" s="66" t="s">
        <v>137</v>
      </c>
      <c r="P12" s="23" t="s">
        <v>338</v>
      </c>
      <c r="Q12" s="23" t="s">
        <v>339</v>
      </c>
      <c r="R12" s="23" t="s">
        <v>340</v>
      </c>
      <c r="S12" s="23" t="s">
        <v>335</v>
      </c>
    </row>
    <row r="13" spans="2:19" ht="40" customHeight="1" x14ac:dyDescent="0.4">
      <c r="B13" s="105"/>
      <c r="C13" s="106"/>
      <c r="D13" s="111" t="str">
        <f>CONCATENATE(Store_Setting[[#This Row],[Product
serial number]], " | ", Store_Setting[[#This Row],[Product name]])</f>
        <v xml:space="preserve">3 | </v>
      </c>
      <c r="E13" s="112">
        <v>3</v>
      </c>
      <c r="F13" s="113"/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identifier]],Store_History[Type],"Warehouse")</f>
        <v>0</v>
      </c>
      <c r="M13" s="115">
        <f>SUMIFS(Store_History[Quantity],Store_History[Unique identifier],Store_Setting[[#This Row],[Unique
identifier]],Store_History[Type],"Pick up")</f>
        <v>0</v>
      </c>
      <c r="N13" s="66" t="s">
        <v>137</v>
      </c>
      <c r="O13" s="66" t="s">
        <v>137</v>
      </c>
      <c r="P13" s="23" t="s">
        <v>341</v>
      </c>
      <c r="Q13" s="23" t="s">
        <v>342</v>
      </c>
      <c r="R13" s="23" t="s">
        <v>343</v>
      </c>
      <c r="S13" s="23" t="s">
        <v>336</v>
      </c>
    </row>
    <row r="14" spans="2:19" ht="40" customHeight="1" x14ac:dyDescent="0.4">
      <c r="B14" s="105"/>
      <c r="C14" s="106"/>
      <c r="D14" s="111" t="str">
        <f>CONCATENATE(Store_Setting[[#This Row],[Product
serial number]], " | ", Store_Setting[[#This Row],[Product name]])</f>
        <v xml:space="preserve">4 | </v>
      </c>
      <c r="E14" s="112">
        <v>4</v>
      </c>
      <c r="F14" s="113"/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identifier]],Store_History[Type],"Warehouse")</f>
        <v>0</v>
      </c>
      <c r="M14" s="115">
        <f>SUMIFS(Store_History[Quantity],Store_History[Unique identifier],Store_Setting[[#This Row],[Unique
identifier]],Store_History[Type],"Pick up")</f>
        <v>0</v>
      </c>
      <c r="N14" s="66" t="s">
        <v>137</v>
      </c>
      <c r="O14" s="66" t="s">
        <v>137</v>
      </c>
      <c r="P14" s="23" t="s">
        <v>344</v>
      </c>
      <c r="Q14" s="23" t="s">
        <v>345</v>
      </c>
      <c r="R14" s="23" t="s">
        <v>346</v>
      </c>
      <c r="S14" s="23" t="s">
        <v>347</v>
      </c>
    </row>
    <row r="15" spans="2:19" ht="40" customHeight="1" x14ac:dyDescent="0.4">
      <c r="B15" s="105"/>
      <c r="C15" s="106"/>
      <c r="D15" s="111" t="str">
        <f>CONCATENATE(Store_Setting[[#This Row],[Product
serial number]], " | ", Store_Setting[[#This Row],[Product name]])</f>
        <v xml:space="preserve">5 | </v>
      </c>
      <c r="E15" s="112">
        <v>5</v>
      </c>
      <c r="F15" s="113"/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identifier]],Store_History[Type],"Warehouse")</f>
        <v>0</v>
      </c>
      <c r="M15" s="115">
        <f>SUMIFS(Store_History[Quantity],Store_History[Unique identifier],Store_Setting[[#This Row],[Unique
identifier]],Store_History[Type],"Pick up")</f>
        <v>0</v>
      </c>
      <c r="N15" s="66" t="s">
        <v>137</v>
      </c>
      <c r="O15" s="66" t="s">
        <v>137</v>
      </c>
      <c r="P15" s="23" t="s">
        <v>348</v>
      </c>
      <c r="Q15" s="23" t="s">
        <v>349</v>
      </c>
      <c r="R15" s="23" t="s">
        <v>350</v>
      </c>
      <c r="S15" s="23" t="s">
        <v>339</v>
      </c>
    </row>
    <row r="16" spans="2:19" ht="40" customHeight="1" x14ac:dyDescent="0.4">
      <c r="B16" s="105"/>
      <c r="C16" s="106"/>
      <c r="D16" s="111" t="str">
        <f>CONCATENATE(Store_Setting[[#This Row],[Product
serial number]], " | ", Store_Setting[[#This Row],[Product name]])</f>
        <v xml:space="preserve">6 | </v>
      </c>
      <c r="E16" s="112">
        <v>6</v>
      </c>
      <c r="F16" s="113"/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identifier]],Store_History[Type],"Warehouse")</f>
        <v>0</v>
      </c>
      <c r="M16" s="115">
        <f>SUMIFS(Store_History[Quantity],Store_History[Unique identifier],Store_Setting[[#This Row],[Unique
identifier]],Store_History[Type],"Pick up")</f>
        <v>0</v>
      </c>
      <c r="N16" s="66" t="s">
        <v>137</v>
      </c>
      <c r="O16" s="66" t="s">
        <v>137</v>
      </c>
      <c r="P16" s="23" t="s">
        <v>351</v>
      </c>
      <c r="Q16" s="23" t="s">
        <v>352</v>
      </c>
      <c r="R16" s="23" t="s">
        <v>353</v>
      </c>
      <c r="S16" s="23" t="s">
        <v>340</v>
      </c>
    </row>
    <row r="17" spans="2:19" ht="40" customHeight="1" x14ac:dyDescent="0.4">
      <c r="B17" s="105"/>
      <c r="C17" s="106"/>
      <c r="D17" s="111" t="str">
        <f>CONCATENATE(Store_Setting[[#This Row],[Product
serial number]], " | ", Store_Setting[[#This Row],[Product name]])</f>
        <v xml:space="preserve">7 | </v>
      </c>
      <c r="E17" s="112">
        <v>7</v>
      </c>
      <c r="F17" s="113"/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identifier]],Store_History[Type],"Warehouse")</f>
        <v>0</v>
      </c>
      <c r="M17" s="115">
        <f>SUMIFS(Store_History[Quantity],Store_History[Unique identifier],Store_Setting[[#This Row],[Unique
identifier]],Store_History[Type],"Pick up")</f>
        <v>0</v>
      </c>
      <c r="N17" s="66" t="s">
        <v>137</v>
      </c>
      <c r="O17" s="66" t="s">
        <v>137</v>
      </c>
      <c r="P17" s="23" t="s">
        <v>354</v>
      </c>
      <c r="Q17" s="23" t="s">
        <v>355</v>
      </c>
      <c r="R17" s="23" t="s">
        <v>356</v>
      </c>
      <c r="S17" s="23" t="s">
        <v>357</v>
      </c>
    </row>
    <row r="18" spans="2:19" ht="40" customHeight="1" x14ac:dyDescent="0.4">
      <c r="B18" s="105"/>
      <c r="C18" s="106"/>
      <c r="D18" s="111" t="str">
        <f>CONCATENATE(Store_Setting[[#This Row],[Product
serial number]], " | ", Store_Setting[[#This Row],[Product name]])</f>
        <v xml:space="preserve">8 | </v>
      </c>
      <c r="E18" s="112">
        <v>8</v>
      </c>
      <c r="F18" s="113"/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identifier]],Store_History[Type],"Warehouse")</f>
        <v>0</v>
      </c>
      <c r="M18" s="115">
        <f>SUMIFS(Store_History[Quantity],Store_History[Unique identifier],Store_Setting[[#This Row],[Unique
identifier]],Store_History[Type],"Pick up")</f>
        <v>0</v>
      </c>
      <c r="N18" s="66" t="s">
        <v>137</v>
      </c>
      <c r="O18" s="66" t="s">
        <v>137</v>
      </c>
      <c r="P18" s="23" t="s">
        <v>358</v>
      </c>
      <c r="Q18" s="23" t="s">
        <v>359</v>
      </c>
      <c r="R18" s="23" t="s">
        <v>360</v>
      </c>
      <c r="S18" s="23" t="s">
        <v>342</v>
      </c>
    </row>
    <row r="19" spans="2:19" ht="40" customHeight="1" x14ac:dyDescent="0.4">
      <c r="B19" s="105"/>
      <c r="C19" s="106"/>
      <c r="D19" s="111" t="str">
        <f>CONCATENATE(Store_Setting[[#This Row],[Product
serial number]], " | ", Store_Setting[[#This Row],[Product name]])</f>
        <v xml:space="preserve">9 | </v>
      </c>
      <c r="E19" s="112">
        <v>9</v>
      </c>
      <c r="F19" s="113"/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identifier]],Store_History[Type],"Warehouse")</f>
        <v>0</v>
      </c>
      <c r="M19" s="115">
        <f>SUMIFS(Store_History[Quantity],Store_History[Unique identifier],Store_Setting[[#This Row],[Unique
identifier]],Store_History[Type],"Pick up")</f>
        <v>0</v>
      </c>
      <c r="N19" s="66" t="s">
        <v>137</v>
      </c>
      <c r="O19" s="66" t="s">
        <v>137</v>
      </c>
      <c r="P19" s="23" t="s">
        <v>361</v>
      </c>
      <c r="Q19" s="23" t="s">
        <v>362</v>
      </c>
      <c r="R19" s="23" t="s">
        <v>363</v>
      </c>
      <c r="S19" s="23" t="s">
        <v>343</v>
      </c>
    </row>
    <row r="20" spans="2:19" ht="40" customHeight="1" x14ac:dyDescent="0.4">
      <c r="B20" s="105"/>
      <c r="C20" s="106"/>
      <c r="D20" s="111" t="str">
        <f>CONCATENATE(Store_Setting[[#This Row],[Product
serial number]], " | ", Store_Setting[[#This Row],[Product name]])</f>
        <v xml:space="preserve">10 | </v>
      </c>
      <c r="E20" s="112">
        <v>10</v>
      </c>
      <c r="F20" s="113"/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identifier]],Store_History[Type],"Warehouse")</f>
        <v>0</v>
      </c>
      <c r="M20" s="115">
        <f>SUMIFS(Store_History[Quantity],Store_History[Unique identifier],Store_Setting[[#This Row],[Unique
identifier]],Store_History[Type],"Pick up")</f>
        <v>0</v>
      </c>
      <c r="N20" s="66" t="s">
        <v>137</v>
      </c>
      <c r="O20" s="66" t="s">
        <v>137</v>
      </c>
      <c r="P20" s="23" t="s">
        <v>364</v>
      </c>
      <c r="Q20" s="23" t="s">
        <v>365</v>
      </c>
      <c r="R20" s="23" t="s">
        <v>366</v>
      </c>
      <c r="S20" s="23" t="s">
        <v>367</v>
      </c>
    </row>
    <row r="21" spans="2:19" ht="40" customHeight="1" x14ac:dyDescent="0.4">
      <c r="B21" s="105"/>
      <c r="C21" s="106"/>
      <c r="D21" s="111" t="str">
        <f>CONCATENATE(Store_Setting[[#This Row],[Product
serial number]], " | ", Store_Setting[[#This Row],[Product name]])</f>
        <v xml:space="preserve">11 | </v>
      </c>
      <c r="E21" s="112">
        <v>11</v>
      </c>
      <c r="F21" s="113"/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identifier]],Store_History[Type],"Warehouse")</f>
        <v>0</v>
      </c>
      <c r="M21" s="115">
        <f>SUMIFS(Store_History[Quantity],Store_History[Unique identifier],Store_Setting[[#This Row],[Unique
identifier]],Store_History[Type],"Pick up")</f>
        <v>0</v>
      </c>
      <c r="N21" s="66" t="s">
        <v>137</v>
      </c>
      <c r="O21" s="66" t="s">
        <v>137</v>
      </c>
      <c r="P21" s="23" t="s">
        <v>368</v>
      </c>
      <c r="Q21" s="23" t="s">
        <v>369</v>
      </c>
      <c r="R21" s="23" t="s">
        <v>370</v>
      </c>
      <c r="S21" s="23" t="s">
        <v>345</v>
      </c>
    </row>
    <row r="22" spans="2:19" ht="40" customHeight="1" x14ac:dyDescent="0.4">
      <c r="B22" s="105"/>
      <c r="C22" s="106"/>
      <c r="D22" s="111" t="str">
        <f>CONCATENATE(Store_Setting[[#This Row],[Product
serial number]], " | ", Store_Setting[[#This Row],[Product name]])</f>
        <v xml:space="preserve">12 | </v>
      </c>
      <c r="E22" s="112">
        <v>12</v>
      </c>
      <c r="F22" s="113"/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identifier]],Store_History[Type],"Warehouse")</f>
        <v>0</v>
      </c>
      <c r="M22" s="115">
        <f>SUMIFS(Store_History[Quantity],Store_History[Unique identifier],Store_Setting[[#This Row],[Unique
identifier]],Store_History[Type],"Pick up")</f>
        <v>0</v>
      </c>
      <c r="N22" s="66" t="s">
        <v>137</v>
      </c>
      <c r="O22" s="66" t="s">
        <v>137</v>
      </c>
      <c r="P22" s="23" t="s">
        <v>371</v>
      </c>
      <c r="Q22" s="23" t="s">
        <v>372</v>
      </c>
      <c r="R22" s="23" t="s">
        <v>373</v>
      </c>
      <c r="S22" s="23" t="s">
        <v>346</v>
      </c>
    </row>
    <row r="23" spans="2:19" ht="40" customHeight="1" x14ac:dyDescent="0.4">
      <c r="B23" s="105"/>
      <c r="C23" s="106"/>
      <c r="D23" s="111" t="str">
        <f>CONCATENATE(Store_Setting[[#This Row],[Product
serial number]], " | ", Store_Setting[[#This Row],[Product name]])</f>
        <v xml:space="preserve">13 | </v>
      </c>
      <c r="E23" s="112">
        <v>13</v>
      </c>
      <c r="F23" s="113"/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identifier]],Store_History[Type],"Warehouse")</f>
        <v>0</v>
      </c>
      <c r="M23" s="115">
        <f>SUMIFS(Store_History[Quantity],Store_History[Unique identifier],Store_Setting[[#This Row],[Unique
identifier]],Store_History[Type],"Pick up")</f>
        <v>0</v>
      </c>
      <c r="N23" s="66" t="s">
        <v>137</v>
      </c>
      <c r="O23" s="66" t="s">
        <v>137</v>
      </c>
      <c r="P23" s="23" t="s">
        <v>374</v>
      </c>
      <c r="Q23" s="23" t="s">
        <v>375</v>
      </c>
      <c r="R23" s="23" t="s">
        <v>376</v>
      </c>
      <c r="S23" s="23" t="s">
        <v>377</v>
      </c>
    </row>
    <row r="24" spans="2:19" ht="40" customHeight="1" x14ac:dyDescent="0.4">
      <c r="B24" s="105"/>
      <c r="C24" s="106"/>
      <c r="D24" s="111" t="str">
        <f>CONCATENATE(Store_Setting[[#This Row],[Product
serial number]], " | ", Store_Setting[[#This Row],[Product name]])</f>
        <v xml:space="preserve">14 | </v>
      </c>
      <c r="E24" s="112">
        <v>14</v>
      </c>
      <c r="F24" s="113"/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identifier]],Store_History[Type],"Warehouse")</f>
        <v>0</v>
      </c>
      <c r="M24" s="115">
        <f>SUMIFS(Store_History[Quantity],Store_History[Unique identifier],Store_Setting[[#This Row],[Unique
identifier]],Store_History[Type],"Pick up")</f>
        <v>0</v>
      </c>
      <c r="N24" s="66" t="s">
        <v>137</v>
      </c>
      <c r="O24" s="66" t="s">
        <v>137</v>
      </c>
      <c r="P24" s="23" t="s">
        <v>378</v>
      </c>
      <c r="Q24" s="23" t="s">
        <v>379</v>
      </c>
      <c r="R24" s="23" t="s">
        <v>380</v>
      </c>
      <c r="S24" s="23" t="s">
        <v>349</v>
      </c>
    </row>
    <row r="25" spans="2:19" ht="40" customHeight="1" x14ac:dyDescent="0.4">
      <c r="B25" s="105"/>
      <c r="C25" s="106"/>
      <c r="D25" s="111" t="str">
        <f>CONCATENATE(Store_Setting[[#This Row],[Product
serial number]], " | ", Store_Setting[[#This Row],[Product name]])</f>
        <v xml:space="preserve">15 | </v>
      </c>
      <c r="E25" s="112">
        <v>15</v>
      </c>
      <c r="F25" s="113"/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identifier]],Store_History[Type],"Warehouse")</f>
        <v>0</v>
      </c>
      <c r="M25" s="115">
        <f>SUMIFS(Store_History[Quantity],Store_History[Unique identifier],Store_Setting[[#This Row],[Unique
identifier]],Store_History[Type],"Pick up")</f>
        <v>0</v>
      </c>
      <c r="N25" s="66" t="s">
        <v>137</v>
      </c>
      <c r="O25" s="66" t="s">
        <v>137</v>
      </c>
      <c r="P25" s="23" t="s">
        <v>381</v>
      </c>
      <c r="Q25" s="23" t="s">
        <v>382</v>
      </c>
      <c r="R25" s="23" t="s">
        <v>383</v>
      </c>
      <c r="S25" s="23" t="s">
        <v>350</v>
      </c>
    </row>
    <row r="26" spans="2:19" ht="40" customHeight="1" x14ac:dyDescent="0.4">
      <c r="B26" s="105"/>
      <c r="C26" s="106"/>
      <c r="D26" s="111" t="str">
        <f>CONCATENATE(Store_Setting[[#This Row],[Product
serial number]], " | ", Store_Setting[[#This Row],[Product name]])</f>
        <v xml:space="preserve">16 | </v>
      </c>
      <c r="E26" s="112">
        <v>16</v>
      </c>
      <c r="F26" s="113"/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identifier]],Store_History[Type],"Warehouse")</f>
        <v>0</v>
      </c>
      <c r="M26" s="115">
        <f>SUMIFS(Store_History[Quantity],Store_History[Unique identifier],Store_Setting[[#This Row],[Unique
identifier]],Store_History[Type],"Pick up")</f>
        <v>0</v>
      </c>
      <c r="N26" s="66" t="s">
        <v>137</v>
      </c>
      <c r="O26" s="66" t="s">
        <v>137</v>
      </c>
      <c r="P26" s="23" t="s">
        <v>384</v>
      </c>
      <c r="Q26" s="23" t="s">
        <v>385</v>
      </c>
      <c r="R26" s="23" t="s">
        <v>386</v>
      </c>
      <c r="S26" s="23" t="s">
        <v>387</v>
      </c>
    </row>
    <row r="27" spans="2:19" ht="40" customHeight="1" x14ac:dyDescent="0.4">
      <c r="B27" s="105"/>
      <c r="C27" s="106"/>
      <c r="D27" s="111" t="str">
        <f>CONCATENATE(Store_Setting[[#This Row],[Product
serial number]], " | ", Store_Setting[[#This Row],[Product name]])</f>
        <v xml:space="preserve">17 | </v>
      </c>
      <c r="E27" s="112">
        <v>17</v>
      </c>
      <c r="F27" s="113"/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identifier]],Store_History[Type],"Warehouse")</f>
        <v>0</v>
      </c>
      <c r="M27" s="115">
        <f>SUMIFS(Store_History[Quantity],Store_History[Unique identifier],Store_Setting[[#This Row],[Unique
identifier]],Store_History[Type],"Pick up")</f>
        <v>0</v>
      </c>
      <c r="N27" s="66" t="s">
        <v>137</v>
      </c>
      <c r="O27" s="66" t="s">
        <v>137</v>
      </c>
      <c r="P27" s="23" t="s">
        <v>388</v>
      </c>
      <c r="Q27" s="23" t="s">
        <v>389</v>
      </c>
      <c r="R27" s="23" t="s">
        <v>390</v>
      </c>
      <c r="S27" s="23" t="s">
        <v>352</v>
      </c>
    </row>
    <row r="28" spans="2:19" ht="40" customHeight="1" x14ac:dyDescent="0.4">
      <c r="B28" s="105"/>
      <c r="C28" s="106"/>
      <c r="D28" s="111" t="str">
        <f>CONCATENATE(Store_Setting[[#This Row],[Product
serial number]], " | ", Store_Setting[[#This Row],[Product name]])</f>
        <v xml:space="preserve">18 | </v>
      </c>
      <c r="E28" s="112">
        <v>18</v>
      </c>
      <c r="F28" s="113"/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identifier]],Store_History[Type],"Warehouse")</f>
        <v>0</v>
      </c>
      <c r="M28" s="115">
        <f>SUMIFS(Store_History[Quantity],Store_History[Unique identifier],Store_Setting[[#This Row],[Unique
identifier]],Store_History[Type],"Pick up")</f>
        <v>0</v>
      </c>
      <c r="N28" s="66" t="s">
        <v>137</v>
      </c>
      <c r="O28" s="66" t="s">
        <v>137</v>
      </c>
      <c r="P28" s="23" t="s">
        <v>391</v>
      </c>
      <c r="Q28" s="23" t="s">
        <v>392</v>
      </c>
      <c r="R28" s="23" t="s">
        <v>393</v>
      </c>
      <c r="S28" s="23" t="s">
        <v>353</v>
      </c>
    </row>
    <row r="29" spans="2:19" ht="40" customHeight="1" x14ac:dyDescent="0.4">
      <c r="B29" s="105"/>
      <c r="C29" s="106"/>
      <c r="D29" s="111" t="str">
        <f>CONCATENATE(Store_Setting[[#This Row],[Product
serial number]], " | ", Store_Setting[[#This Row],[Product name]])</f>
        <v xml:space="preserve">19 | </v>
      </c>
      <c r="E29" s="112">
        <v>19</v>
      </c>
      <c r="F29" s="113"/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identifier]],Store_History[Type],"Warehouse")</f>
        <v>0</v>
      </c>
      <c r="M29" s="115">
        <f>SUMIFS(Store_History[Quantity],Store_History[Unique identifier],Store_Setting[[#This Row],[Unique
identifier]],Store_History[Type],"Pick up")</f>
        <v>0</v>
      </c>
      <c r="N29" s="66" t="s">
        <v>137</v>
      </c>
      <c r="O29" s="66" t="s">
        <v>137</v>
      </c>
      <c r="P29" s="23" t="s">
        <v>394</v>
      </c>
      <c r="Q29" s="23" t="s">
        <v>395</v>
      </c>
      <c r="R29" s="23" t="s">
        <v>396</v>
      </c>
      <c r="S29" s="23" t="s">
        <v>397</v>
      </c>
    </row>
    <row r="30" spans="2:19" ht="40" customHeight="1" x14ac:dyDescent="0.4">
      <c r="B30" s="105"/>
      <c r="C30" s="106"/>
      <c r="D30" s="111" t="str">
        <f>CONCATENATE(Store_Setting[[#This Row],[Product
serial number]], " | ", Store_Setting[[#This Row],[Product name]])</f>
        <v xml:space="preserve">20 | </v>
      </c>
      <c r="E30" s="112">
        <v>20</v>
      </c>
      <c r="F30" s="113"/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identifier]],Store_History[Type],"Warehouse")</f>
        <v>0</v>
      </c>
      <c r="M30" s="115">
        <f>SUMIFS(Store_History[Quantity],Store_History[Unique identifier],Store_Setting[[#This Row],[Unique
identifier]],Store_History[Type],"Pick up")</f>
        <v>0</v>
      </c>
      <c r="N30" s="66" t="s">
        <v>137</v>
      </c>
      <c r="O30" s="66" t="s">
        <v>137</v>
      </c>
      <c r="P30" s="23" t="s">
        <v>398</v>
      </c>
      <c r="Q30" s="23" t="s">
        <v>399</v>
      </c>
      <c r="R30" s="23" t="s">
        <v>400</v>
      </c>
      <c r="S30" s="23" t="s">
        <v>355</v>
      </c>
    </row>
    <row r="31" spans="2:19" ht="40" customHeight="1" x14ac:dyDescent="0.4">
      <c r="B31" s="105"/>
      <c r="C31" s="106"/>
      <c r="D31" s="111" t="str">
        <f>CONCATENATE(Store_Setting[[#This Row],[Product
serial number]], " | ", Store_Setting[[#This Row],[Product name]])</f>
        <v xml:space="preserve">21 | </v>
      </c>
      <c r="E31" s="112">
        <v>21</v>
      </c>
      <c r="F31" s="113"/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identifier]],Store_History[Type],"Warehouse")</f>
        <v>0</v>
      </c>
      <c r="M31" s="115">
        <f>SUMIFS(Store_History[Quantity],Store_History[Unique identifier],Store_Setting[[#This Row],[Unique
identifier]],Store_History[Type],"Pick up")</f>
        <v>0</v>
      </c>
      <c r="N31" s="66" t="s">
        <v>137</v>
      </c>
      <c r="O31" s="66" t="s">
        <v>137</v>
      </c>
      <c r="P31" s="23" t="s">
        <v>401</v>
      </c>
      <c r="Q31" s="23" t="s">
        <v>402</v>
      </c>
      <c r="R31" s="23" t="s">
        <v>403</v>
      </c>
      <c r="S31" s="23" t="s">
        <v>356</v>
      </c>
    </row>
    <row r="32" spans="2:19" ht="40" customHeight="1" x14ac:dyDescent="0.4">
      <c r="B32" s="105"/>
      <c r="C32" s="106"/>
      <c r="D32" s="111" t="str">
        <f>CONCATENATE(Store_Setting[[#This Row],[Product
serial number]], " | ", Store_Setting[[#This Row],[Product name]])</f>
        <v xml:space="preserve">22 | </v>
      </c>
      <c r="E32" s="112">
        <v>22</v>
      </c>
      <c r="F32" s="113"/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identifier]],Store_History[Type],"Warehouse")</f>
        <v>0</v>
      </c>
      <c r="M32" s="115">
        <f>SUMIFS(Store_History[Quantity],Store_History[Unique identifier],Store_Setting[[#This Row],[Unique
identifier]],Store_History[Type],"Pick up")</f>
        <v>0</v>
      </c>
      <c r="N32" s="66" t="s">
        <v>137</v>
      </c>
      <c r="O32" s="66" t="s">
        <v>137</v>
      </c>
      <c r="P32" s="23" t="s">
        <v>404</v>
      </c>
      <c r="Q32" s="23" t="s">
        <v>405</v>
      </c>
      <c r="R32" s="23" t="s">
        <v>406</v>
      </c>
      <c r="S32" s="23" t="s">
        <v>407</v>
      </c>
    </row>
    <row r="33" spans="2:19" ht="40" customHeight="1" x14ac:dyDescent="0.4">
      <c r="B33" s="105"/>
      <c r="C33" s="106"/>
      <c r="D33" s="111" t="str">
        <f>CONCATENATE(Store_Setting[[#This Row],[Product
serial number]], " | ", Store_Setting[[#This Row],[Product name]])</f>
        <v xml:space="preserve">23 | </v>
      </c>
      <c r="E33" s="112">
        <v>23</v>
      </c>
      <c r="F33" s="113"/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identifier]],Store_History[Type],"Warehouse")</f>
        <v>0</v>
      </c>
      <c r="M33" s="115">
        <f>SUMIFS(Store_History[Quantity],Store_History[Unique identifier],Store_Setting[[#This Row],[Unique
identifier]],Store_History[Type],"Pick up")</f>
        <v>0</v>
      </c>
      <c r="N33" s="66" t="s">
        <v>137</v>
      </c>
      <c r="O33" s="66" t="s">
        <v>137</v>
      </c>
      <c r="P33" s="23" t="s">
        <v>408</v>
      </c>
      <c r="Q33" s="23" t="s">
        <v>409</v>
      </c>
      <c r="R33" s="23" t="s">
        <v>410</v>
      </c>
      <c r="S33" s="23" t="s">
        <v>359</v>
      </c>
    </row>
    <row r="34" spans="2:19" ht="40" customHeight="1" x14ac:dyDescent="0.4">
      <c r="B34" s="105"/>
      <c r="C34" s="106"/>
      <c r="D34" s="111" t="str">
        <f>CONCATENATE(Store_Setting[[#This Row],[Product
serial number]], " | ", Store_Setting[[#This Row],[Product name]])</f>
        <v xml:space="preserve">24 | </v>
      </c>
      <c r="E34" s="112">
        <v>24</v>
      </c>
      <c r="F34" s="113"/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identifier]],Store_History[Type],"Warehouse")</f>
        <v>0</v>
      </c>
      <c r="M34" s="115">
        <f>SUMIFS(Store_History[Quantity],Store_History[Unique identifier],Store_Setting[[#This Row],[Unique
identifier]],Store_History[Type],"Pick up")</f>
        <v>0</v>
      </c>
      <c r="N34" s="66" t="s">
        <v>137</v>
      </c>
      <c r="O34" s="66" t="s">
        <v>137</v>
      </c>
      <c r="P34" s="23" t="s">
        <v>411</v>
      </c>
      <c r="Q34" s="23" t="s">
        <v>412</v>
      </c>
      <c r="R34" s="23" t="s">
        <v>413</v>
      </c>
      <c r="S34" s="23" t="s">
        <v>360</v>
      </c>
    </row>
    <row r="35" spans="2:19" ht="40" customHeight="1" x14ac:dyDescent="0.4">
      <c r="B35" s="105"/>
      <c r="C35" s="106"/>
      <c r="D35" s="111" t="str">
        <f>CONCATENATE(Store_Setting[[#This Row],[Product
serial number]], " | ", Store_Setting[[#This Row],[Product name]])</f>
        <v xml:space="preserve">25 | </v>
      </c>
      <c r="E35" s="112">
        <v>25</v>
      </c>
      <c r="F35" s="113"/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identifier]],Store_History[Type],"Warehouse")</f>
        <v>0</v>
      </c>
      <c r="M35" s="115">
        <f>SUMIFS(Store_History[Quantity],Store_History[Unique identifier],Store_Setting[[#This Row],[Unique
identifier]],Store_History[Type],"Pick up")</f>
        <v>0</v>
      </c>
      <c r="N35" s="66" t="s">
        <v>137</v>
      </c>
      <c r="O35" s="66" t="s">
        <v>137</v>
      </c>
      <c r="P35" s="23" t="s">
        <v>414</v>
      </c>
      <c r="Q35" s="23" t="s">
        <v>415</v>
      </c>
      <c r="R35" s="23" t="s">
        <v>416</v>
      </c>
      <c r="S35" s="23" t="s">
        <v>417</v>
      </c>
    </row>
    <row r="36" spans="2:19" ht="40" customHeight="1" x14ac:dyDescent="0.4">
      <c r="B36" s="105"/>
      <c r="C36" s="106"/>
      <c r="D36" s="111" t="str">
        <f>CONCATENATE(Store_Setting[[#This Row],[Product
serial number]], " | ", Store_Setting[[#This Row],[Product name]])</f>
        <v xml:space="preserve">26 | </v>
      </c>
      <c r="E36" s="112">
        <v>26</v>
      </c>
      <c r="F36" s="113"/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identifier]],Store_History[Type],"Warehouse")</f>
        <v>0</v>
      </c>
      <c r="M36" s="115">
        <f>SUMIFS(Store_History[Quantity],Store_History[Unique identifier],Store_Setting[[#This Row],[Unique
identifier]],Store_History[Type],"Pick up")</f>
        <v>0</v>
      </c>
      <c r="N36" s="66" t="s">
        <v>137</v>
      </c>
      <c r="O36" s="66" t="s">
        <v>137</v>
      </c>
      <c r="P36" s="23" t="s">
        <v>418</v>
      </c>
      <c r="Q36" s="23" t="s">
        <v>419</v>
      </c>
      <c r="R36" s="23" t="s">
        <v>420</v>
      </c>
      <c r="S36" s="23" t="s">
        <v>362</v>
      </c>
    </row>
    <row r="37" spans="2:19" ht="40" customHeight="1" x14ac:dyDescent="0.4">
      <c r="B37" s="105"/>
      <c r="C37" s="106"/>
      <c r="D37" s="111" t="str">
        <f>CONCATENATE(Store_Setting[[#This Row],[Product
serial number]], " | ", Store_Setting[[#This Row],[Product name]])</f>
        <v xml:space="preserve">27 | </v>
      </c>
      <c r="E37" s="112">
        <v>27</v>
      </c>
      <c r="F37" s="113"/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identifier]],Store_History[Type],"Warehouse")</f>
        <v>0</v>
      </c>
      <c r="M37" s="115">
        <f>SUMIFS(Store_History[Quantity],Store_History[Unique identifier],Store_Setting[[#This Row],[Unique
identifier]],Store_History[Type],"Pick up")</f>
        <v>0</v>
      </c>
      <c r="N37" s="66" t="s">
        <v>137</v>
      </c>
      <c r="O37" s="66" t="s">
        <v>137</v>
      </c>
      <c r="P37" s="23" t="s">
        <v>421</v>
      </c>
      <c r="Q37" s="23" t="s">
        <v>422</v>
      </c>
      <c r="R37" s="23" t="s">
        <v>423</v>
      </c>
      <c r="S37" s="23" t="s">
        <v>363</v>
      </c>
    </row>
    <row r="38" spans="2:19" ht="40" customHeight="1" x14ac:dyDescent="0.4">
      <c r="B38" s="105"/>
      <c r="C38" s="106"/>
      <c r="D38" s="111" t="str">
        <f>CONCATENATE(Store_Setting[[#This Row],[Product
serial number]], " | ", Store_Setting[[#This Row],[Product name]])</f>
        <v xml:space="preserve">28 | </v>
      </c>
      <c r="E38" s="112">
        <v>28</v>
      </c>
      <c r="F38" s="113"/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identifier]],Store_History[Type],"Warehouse")</f>
        <v>0</v>
      </c>
      <c r="M38" s="115">
        <f>SUMIFS(Store_History[Quantity],Store_History[Unique identifier],Store_Setting[[#This Row],[Unique
identifier]],Store_History[Type],"Pick up")</f>
        <v>0</v>
      </c>
      <c r="N38" s="66" t="s">
        <v>137</v>
      </c>
      <c r="O38" s="66" t="s">
        <v>137</v>
      </c>
      <c r="P38" s="23" t="s">
        <v>424</v>
      </c>
      <c r="Q38" s="23" t="s">
        <v>425</v>
      </c>
      <c r="R38" s="23" t="s">
        <v>426</v>
      </c>
      <c r="S38" s="23" t="s">
        <v>427</v>
      </c>
    </row>
    <row r="39" spans="2:19" ht="40" customHeight="1" x14ac:dyDescent="0.4">
      <c r="B39" s="105"/>
      <c r="C39" s="106"/>
      <c r="D39" s="111" t="str">
        <f>CONCATENATE(Store_Setting[[#This Row],[Product
serial number]], " | ", Store_Setting[[#This Row],[Product name]])</f>
        <v xml:space="preserve">29 | </v>
      </c>
      <c r="E39" s="112">
        <v>29</v>
      </c>
      <c r="F39" s="113"/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identifier]],Store_History[Type],"Warehouse")</f>
        <v>0</v>
      </c>
      <c r="M39" s="115">
        <f>SUMIFS(Store_History[Quantity],Store_History[Unique identifier],Store_Setting[[#This Row],[Unique
identifier]],Store_History[Type],"Pick up")</f>
        <v>0</v>
      </c>
      <c r="N39" s="66" t="s">
        <v>137</v>
      </c>
      <c r="O39" s="66" t="s">
        <v>137</v>
      </c>
      <c r="P39" s="23" t="s">
        <v>428</v>
      </c>
      <c r="Q39" s="23" t="s">
        <v>429</v>
      </c>
      <c r="R39" s="23" t="s">
        <v>430</v>
      </c>
      <c r="S39" s="23" t="s">
        <v>365</v>
      </c>
    </row>
    <row r="40" spans="2:19" ht="40" customHeight="1" x14ac:dyDescent="0.4">
      <c r="B40" s="105"/>
      <c r="C40" s="106"/>
      <c r="D40" s="111" t="str">
        <f>CONCATENATE(Store_Setting[[#This Row],[Product
serial number]], " | ", Store_Setting[[#This Row],[Product name]])</f>
        <v xml:space="preserve">30 | </v>
      </c>
      <c r="E40" s="112">
        <v>30</v>
      </c>
      <c r="F40" s="113"/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identifier]],Store_History[Type],"Warehouse")</f>
        <v>0</v>
      </c>
      <c r="M40" s="115">
        <f>SUMIFS(Store_History[Quantity],Store_History[Unique identifier],Store_Setting[[#This Row],[Unique
identifier]],Store_History[Type],"Pick up")</f>
        <v>0</v>
      </c>
      <c r="N40" s="66" t="s">
        <v>137</v>
      </c>
      <c r="O40" s="66" t="s">
        <v>137</v>
      </c>
      <c r="P40" s="23" t="s">
        <v>431</v>
      </c>
      <c r="Q40" s="23" t="s">
        <v>432</v>
      </c>
      <c r="R40" s="23" t="s">
        <v>433</v>
      </c>
      <c r="S40" s="23" t="s">
        <v>366</v>
      </c>
    </row>
    <row r="41" spans="2:19" ht="40" customHeight="1" x14ac:dyDescent="0.4">
      <c r="B41" s="105"/>
      <c r="C41" s="106"/>
      <c r="D41" s="111" t="str">
        <f>CONCATENATE(Store_Setting[[#This Row],[Product
serial number]], " | ", Store_Setting[[#This Row],[Product name]])</f>
        <v xml:space="preserve">31 | </v>
      </c>
      <c r="E41" s="112">
        <v>31</v>
      </c>
      <c r="F41" s="113"/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identifier]],Store_History[Type],"Warehouse")</f>
        <v>0</v>
      </c>
      <c r="M41" s="115">
        <f>SUMIFS(Store_History[Quantity],Store_History[Unique identifier],Store_Setting[[#This Row],[Unique
identifier]],Store_History[Type],"Pick up")</f>
        <v>0</v>
      </c>
      <c r="N41" s="66" t="s">
        <v>137</v>
      </c>
      <c r="O41" s="66" t="s">
        <v>137</v>
      </c>
      <c r="P41" s="23" t="s">
        <v>434</v>
      </c>
      <c r="Q41" s="23" t="s">
        <v>435</v>
      </c>
      <c r="R41" s="23" t="s">
        <v>436</v>
      </c>
      <c r="S41" s="23" t="s">
        <v>437</v>
      </c>
    </row>
    <row r="42" spans="2:19" ht="40" customHeight="1" x14ac:dyDescent="0.4">
      <c r="B42" s="105"/>
      <c r="C42" s="106"/>
      <c r="D42" s="111" t="str">
        <f>CONCATENATE(Store_Setting[[#This Row],[Product
serial number]], " | ", Store_Setting[[#This Row],[Product name]])</f>
        <v xml:space="preserve">32 | </v>
      </c>
      <c r="E42" s="112">
        <v>32</v>
      </c>
      <c r="F42" s="113"/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identifier]],Store_History[Type],"Warehouse")</f>
        <v>0</v>
      </c>
      <c r="M42" s="115">
        <f>SUMIFS(Store_History[Quantity],Store_History[Unique identifier],Store_Setting[[#This Row],[Unique
identifier]],Store_History[Type],"Pick up")</f>
        <v>0</v>
      </c>
      <c r="N42" s="66" t="s">
        <v>137</v>
      </c>
      <c r="O42" s="66" t="s">
        <v>137</v>
      </c>
      <c r="P42" s="23" t="s">
        <v>438</v>
      </c>
      <c r="Q42" s="23" t="s">
        <v>439</v>
      </c>
      <c r="R42" s="23" t="s">
        <v>440</v>
      </c>
      <c r="S42" s="23" t="s">
        <v>369</v>
      </c>
    </row>
    <row r="43" spans="2:19" ht="40" customHeight="1" x14ac:dyDescent="0.4">
      <c r="B43" s="105"/>
      <c r="C43" s="106"/>
      <c r="D43" s="111" t="str">
        <f>CONCATENATE(Store_Setting[[#This Row],[Product
serial number]], " | ", Store_Setting[[#This Row],[Product name]])</f>
        <v xml:space="preserve">33 | </v>
      </c>
      <c r="E43" s="112">
        <v>33</v>
      </c>
      <c r="F43" s="113"/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identifier]],Store_History[Type],"Warehouse")</f>
        <v>0</v>
      </c>
      <c r="M43" s="115">
        <f>SUMIFS(Store_History[Quantity],Store_History[Unique identifier],Store_Setting[[#This Row],[Unique
identifier]],Store_History[Type],"Pick up")</f>
        <v>0</v>
      </c>
      <c r="N43" s="66" t="s">
        <v>137</v>
      </c>
      <c r="O43" s="66" t="s">
        <v>137</v>
      </c>
      <c r="P43" s="23" t="s">
        <v>441</v>
      </c>
      <c r="Q43" s="23" t="s">
        <v>442</v>
      </c>
      <c r="R43" s="23" t="s">
        <v>443</v>
      </c>
      <c r="S43" s="23" t="s">
        <v>370</v>
      </c>
    </row>
    <row r="44" spans="2:19" ht="40" customHeight="1" x14ac:dyDescent="0.4">
      <c r="B44" s="105"/>
      <c r="C44" s="106"/>
      <c r="D44" s="111" t="str">
        <f>CONCATENATE(Store_Setting[[#This Row],[Product
serial number]], " | ", Store_Setting[[#This Row],[Product name]])</f>
        <v xml:space="preserve">34 | </v>
      </c>
      <c r="E44" s="112">
        <v>34</v>
      </c>
      <c r="F44" s="113"/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identifier]],Store_History[Type],"Warehouse")</f>
        <v>0</v>
      </c>
      <c r="M44" s="115">
        <f>SUMIFS(Store_History[Quantity],Store_History[Unique identifier],Store_Setting[[#This Row],[Unique
identifier]],Store_History[Type],"Pick up")</f>
        <v>0</v>
      </c>
      <c r="N44" s="66" t="s">
        <v>137</v>
      </c>
      <c r="O44" s="66" t="s">
        <v>137</v>
      </c>
      <c r="P44" s="23" t="s">
        <v>444</v>
      </c>
      <c r="Q44" s="23" t="s">
        <v>445</v>
      </c>
      <c r="R44" s="23" t="s">
        <v>446</v>
      </c>
      <c r="S44" s="23" t="s">
        <v>447</v>
      </c>
    </row>
    <row r="45" spans="2:19" ht="40" customHeight="1" x14ac:dyDescent="0.4">
      <c r="B45" s="105"/>
      <c r="C45" s="106"/>
      <c r="D45" s="111" t="str">
        <f>CONCATENATE(Store_Setting[[#This Row],[Product
serial number]], " | ", Store_Setting[[#This Row],[Product name]])</f>
        <v xml:space="preserve">35 | </v>
      </c>
      <c r="E45" s="112">
        <v>35</v>
      </c>
      <c r="F45" s="113"/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identifier]],Store_History[Type],"Warehouse")</f>
        <v>0</v>
      </c>
      <c r="M45" s="115">
        <f>SUMIFS(Store_History[Quantity],Store_History[Unique identifier],Store_Setting[[#This Row],[Unique
identifier]],Store_History[Type],"Pick up")</f>
        <v>0</v>
      </c>
      <c r="N45" s="66" t="s">
        <v>137</v>
      </c>
      <c r="O45" s="66" t="s">
        <v>137</v>
      </c>
      <c r="P45" s="23" t="s">
        <v>448</v>
      </c>
      <c r="Q45" s="23" t="s">
        <v>449</v>
      </c>
      <c r="R45" s="23" t="s">
        <v>450</v>
      </c>
      <c r="S45" s="23" t="s">
        <v>372</v>
      </c>
    </row>
    <row r="46" spans="2:19" ht="40" customHeight="1" x14ac:dyDescent="0.4">
      <c r="B46" s="105"/>
      <c r="C46" s="106"/>
      <c r="D46" s="111" t="str">
        <f>CONCATENATE(Store_Setting[[#This Row],[Product
serial number]], " | ", Store_Setting[[#This Row],[Product name]])</f>
        <v xml:space="preserve">36 | </v>
      </c>
      <c r="E46" s="112">
        <v>36</v>
      </c>
      <c r="F46" s="113"/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identifier]],Store_History[Type],"Warehouse")</f>
        <v>0</v>
      </c>
      <c r="M46" s="115">
        <f>SUMIFS(Store_History[Quantity],Store_History[Unique identifier],Store_Setting[[#This Row],[Unique
identifier]],Store_History[Type],"Pick up")</f>
        <v>0</v>
      </c>
      <c r="N46" s="66" t="s">
        <v>137</v>
      </c>
      <c r="O46" s="66" t="s">
        <v>137</v>
      </c>
      <c r="P46" s="23" t="s">
        <v>451</v>
      </c>
      <c r="Q46" s="23" t="s">
        <v>452</v>
      </c>
      <c r="R46" s="23" t="s">
        <v>453</v>
      </c>
      <c r="S46" s="23" t="s">
        <v>373</v>
      </c>
    </row>
    <row r="47" spans="2:19" ht="40" customHeight="1" x14ac:dyDescent="0.4">
      <c r="B47" s="105"/>
      <c r="C47" s="106"/>
      <c r="D47" s="111" t="str">
        <f>CONCATENATE(Store_Setting[[#This Row],[Product
serial number]], " | ", Store_Setting[[#This Row],[Product name]])</f>
        <v xml:space="preserve">37 | </v>
      </c>
      <c r="E47" s="112">
        <v>37</v>
      </c>
      <c r="F47" s="113"/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identifier]],Store_History[Type],"Warehouse")</f>
        <v>0</v>
      </c>
      <c r="M47" s="115">
        <f>SUMIFS(Store_History[Quantity],Store_History[Unique identifier],Store_Setting[[#This Row],[Unique
identifier]],Store_History[Type],"Pick up")</f>
        <v>0</v>
      </c>
      <c r="N47" s="66" t="s">
        <v>137</v>
      </c>
      <c r="O47" s="66" t="s">
        <v>137</v>
      </c>
      <c r="P47" s="23" t="s">
        <v>454</v>
      </c>
      <c r="Q47" s="23" t="s">
        <v>455</v>
      </c>
      <c r="R47" s="23" t="s">
        <v>456</v>
      </c>
      <c r="S47" s="23" t="s">
        <v>457</v>
      </c>
    </row>
    <row r="48" spans="2:19" ht="40" customHeight="1" x14ac:dyDescent="0.4">
      <c r="B48" s="105"/>
      <c r="C48" s="106"/>
      <c r="D48" s="111" t="str">
        <f>CONCATENATE(Store_Setting[[#This Row],[Product
serial number]], " | ", Store_Setting[[#This Row],[Product name]])</f>
        <v xml:space="preserve">38 | </v>
      </c>
      <c r="E48" s="112">
        <v>38</v>
      </c>
      <c r="F48" s="113"/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identifier]],Store_History[Type],"Warehouse")</f>
        <v>0</v>
      </c>
      <c r="M48" s="115">
        <f>SUMIFS(Store_History[Quantity],Store_History[Unique identifier],Store_Setting[[#This Row],[Unique
identifier]],Store_History[Type],"Pick up")</f>
        <v>0</v>
      </c>
      <c r="N48" s="66" t="s">
        <v>137</v>
      </c>
      <c r="O48" s="66" t="s">
        <v>137</v>
      </c>
      <c r="P48" s="23" t="s">
        <v>458</v>
      </c>
      <c r="Q48" s="23" t="s">
        <v>459</v>
      </c>
      <c r="R48" s="23" t="s">
        <v>460</v>
      </c>
      <c r="S48" s="23" t="s">
        <v>375</v>
      </c>
    </row>
    <row r="49" spans="2:19" ht="40" customHeight="1" x14ac:dyDescent="0.4">
      <c r="B49" s="105"/>
      <c r="C49" s="106"/>
      <c r="D49" s="111" t="str">
        <f>CONCATENATE(Store_Setting[[#This Row],[Product
serial number]], " | ", Store_Setting[[#This Row],[Product name]])</f>
        <v xml:space="preserve">39 | </v>
      </c>
      <c r="E49" s="112">
        <v>39</v>
      </c>
      <c r="F49" s="113"/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identifier]],Store_History[Type],"Warehouse")</f>
        <v>0</v>
      </c>
      <c r="M49" s="115">
        <f>SUMIFS(Store_History[Quantity],Store_History[Unique identifier],Store_Setting[[#This Row],[Unique
identifier]],Store_History[Type],"Pick up")</f>
        <v>0</v>
      </c>
      <c r="N49" s="66" t="s">
        <v>137</v>
      </c>
      <c r="O49" s="66" t="s">
        <v>137</v>
      </c>
      <c r="P49" s="23" t="s">
        <v>461</v>
      </c>
      <c r="Q49" s="23" t="s">
        <v>462</v>
      </c>
      <c r="R49" s="23" t="s">
        <v>463</v>
      </c>
      <c r="S49" s="23" t="s">
        <v>376</v>
      </c>
    </row>
    <row r="50" spans="2:19" ht="40" customHeight="1" x14ac:dyDescent="0.4">
      <c r="B50" s="105"/>
      <c r="C50" s="106"/>
      <c r="D50" s="111" t="str">
        <f>CONCATENATE(Store_Setting[[#This Row],[Product
serial number]], " | ", Store_Setting[[#This Row],[Product name]])</f>
        <v xml:space="preserve">40 | </v>
      </c>
      <c r="E50" s="112">
        <v>40</v>
      </c>
      <c r="F50" s="113"/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identifier]],Store_History[Type],"Warehouse")</f>
        <v>0</v>
      </c>
      <c r="M50" s="115">
        <f>SUMIFS(Store_History[Quantity],Store_History[Unique identifier],Store_Setting[[#This Row],[Unique
identifier]],Store_History[Type],"Pick up")</f>
        <v>0</v>
      </c>
      <c r="N50" s="66" t="s">
        <v>137</v>
      </c>
      <c r="O50" s="66" t="s">
        <v>137</v>
      </c>
      <c r="P50" s="23" t="s">
        <v>464</v>
      </c>
      <c r="Q50" s="23" t="s">
        <v>465</v>
      </c>
      <c r="R50" s="23" t="s">
        <v>466</v>
      </c>
      <c r="S50" s="23" t="s">
        <v>467</v>
      </c>
    </row>
    <row r="51" spans="2:19" ht="8.15" customHeight="1" x14ac:dyDescent="0.4">
      <c r="G51" s="9"/>
    </row>
    <row r="52" spans="2:19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</row>
    <row r="53" spans="2:19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  <c r="N53" s="119"/>
      <c r="O53" s="119"/>
    </row>
    <row r="54" spans="2:19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  <c r="N54" s="119"/>
      <c r="O54" s="119"/>
    </row>
    <row r="55" spans="2:19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9" ht="40" customHeight="1" x14ac:dyDescent="0.4">
      <c r="B56" s="105" t="s">
        <v>103</v>
      </c>
      <c r="C56" s="117" t="s">
        <v>114</v>
      </c>
      <c r="D56" s="122" t="s">
        <v>124</v>
      </c>
      <c r="E56" s="122" t="s">
        <v>125</v>
      </c>
      <c r="F56" s="122" t="s">
        <v>126</v>
      </c>
      <c r="G56" s="178" t="s">
        <v>127</v>
      </c>
      <c r="H56" s="178" t="s">
        <v>1</v>
      </c>
      <c r="I56" s="178" t="s">
        <v>128</v>
      </c>
      <c r="J56" s="178" t="s">
        <v>473</v>
      </c>
      <c r="K56" s="178" t="s">
        <v>474</v>
      </c>
      <c r="L56" s="178" t="s">
        <v>143</v>
      </c>
      <c r="M56" s="123"/>
      <c r="N56" s="123"/>
      <c r="O56" s="123"/>
    </row>
    <row r="57" spans="2:19" ht="40" customHeight="1" x14ac:dyDescent="0.4">
      <c r="B57" s="105"/>
      <c r="C57" s="117"/>
      <c r="D57" s="124" t="s">
        <v>137</v>
      </c>
      <c r="E57" s="124" t="s">
        <v>138</v>
      </c>
      <c r="F57" s="124" t="s">
        <v>138</v>
      </c>
      <c r="G57" s="124" t="s">
        <v>138</v>
      </c>
      <c r="H57" s="124" t="s">
        <v>138</v>
      </c>
      <c r="I57" s="124" t="s">
        <v>138</v>
      </c>
      <c r="J57" s="123"/>
      <c r="K57" s="123"/>
      <c r="L57" s="123"/>
      <c r="M57" s="123"/>
      <c r="N57" s="123"/>
      <c r="O57" s="123"/>
    </row>
    <row r="58" spans="2:19" ht="40" customHeight="1" x14ac:dyDescent="0.4">
      <c r="B58" s="105"/>
      <c r="C58" s="117" t="s">
        <v>478</v>
      </c>
      <c r="D58" s="124" t="s">
        <v>477</v>
      </c>
      <c r="E58" s="124" t="s">
        <v>477</v>
      </c>
      <c r="F58" s="124" t="s">
        <v>476</v>
      </c>
      <c r="G58" s="124" t="s">
        <v>477</v>
      </c>
      <c r="H58" s="124" t="s">
        <v>476</v>
      </c>
      <c r="I58" s="124" t="s">
        <v>476</v>
      </c>
      <c r="J58" s="124" t="s">
        <v>477</v>
      </c>
      <c r="K58" s="124" t="s">
        <v>477</v>
      </c>
      <c r="L58" s="124" t="s">
        <v>477</v>
      </c>
      <c r="M58" s="175" t="s">
        <v>475</v>
      </c>
      <c r="N58" s="123"/>
      <c r="O58" s="123"/>
    </row>
    <row r="59" spans="2:19" ht="40" customHeight="1" x14ac:dyDescent="0.4">
      <c r="B59" s="105"/>
      <c r="C59" s="117" t="s">
        <v>479</v>
      </c>
      <c r="D59" s="124" t="s">
        <v>477</v>
      </c>
      <c r="E59" s="124" t="s">
        <v>477</v>
      </c>
      <c r="F59" s="124" t="s">
        <v>477</v>
      </c>
      <c r="G59" s="124" t="s">
        <v>477</v>
      </c>
      <c r="H59" s="124" t="s">
        <v>477</v>
      </c>
      <c r="I59" s="124" t="s">
        <v>477</v>
      </c>
      <c r="J59" s="175"/>
      <c r="K59" s="124" t="s">
        <v>477</v>
      </c>
      <c r="L59" s="124" t="s">
        <v>477</v>
      </c>
      <c r="M59" s="175"/>
      <c r="N59" s="123"/>
      <c r="O59" s="123"/>
    </row>
    <row r="60" spans="2:19" ht="50.15" customHeight="1" x14ac:dyDescent="0.4">
      <c r="B60" s="105"/>
      <c r="C60" s="117" t="s">
        <v>115</v>
      </c>
      <c r="D60" s="124" t="s">
        <v>138</v>
      </c>
      <c r="E60" s="175" t="s">
        <v>136</v>
      </c>
      <c r="F60" s="177"/>
      <c r="G60" s="177"/>
      <c r="H60" s="177"/>
      <c r="I60" s="177"/>
      <c r="J60" s="177"/>
      <c r="K60" s="177"/>
      <c r="L60" s="177"/>
      <c r="M60" s="177"/>
      <c r="N60" s="123"/>
      <c r="O60" s="123"/>
    </row>
    <row r="61" spans="2:19" ht="50.15" customHeight="1" x14ac:dyDescent="0.4">
      <c r="B61" s="105"/>
      <c r="C61" s="117" t="s">
        <v>316</v>
      </c>
      <c r="D61" s="124" t="s">
        <v>137</v>
      </c>
      <c r="E61" s="175" t="s">
        <v>318</v>
      </c>
      <c r="F61" s="177"/>
      <c r="G61" s="177"/>
      <c r="H61" s="177"/>
      <c r="I61" s="177"/>
      <c r="J61" s="177"/>
      <c r="K61" s="177"/>
      <c r="L61" s="177"/>
      <c r="M61" s="177"/>
      <c r="N61" s="123"/>
      <c r="O61" s="123"/>
    </row>
    <row r="62" spans="2:19" ht="50.15" customHeight="1" x14ac:dyDescent="0.4">
      <c r="B62" s="105"/>
      <c r="C62" s="117" t="s">
        <v>319</v>
      </c>
      <c r="D62" s="124" t="s">
        <v>137</v>
      </c>
      <c r="E62" s="175" t="s">
        <v>317</v>
      </c>
      <c r="F62" s="177"/>
      <c r="G62" s="177"/>
      <c r="H62" s="177"/>
      <c r="I62" s="177"/>
      <c r="J62" s="177"/>
      <c r="K62" s="177"/>
      <c r="L62" s="177"/>
      <c r="M62" s="177"/>
      <c r="N62" s="123"/>
      <c r="O62" s="123"/>
    </row>
    <row r="63" spans="2:19" ht="8.15" customHeight="1" x14ac:dyDescent="0.4">
      <c r="B63" s="120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</row>
    <row r="64" spans="2:19" ht="40" customHeight="1" x14ac:dyDescent="0.4">
      <c r="B64" s="105" t="s">
        <v>104</v>
      </c>
      <c r="C64" s="117" t="s">
        <v>151</v>
      </c>
      <c r="D64" s="116" t="s">
        <v>242</v>
      </c>
      <c r="E64" s="116" t="s">
        <v>243</v>
      </c>
      <c r="F64" s="116" t="s">
        <v>122</v>
      </c>
      <c r="G64" s="116" t="s">
        <v>244</v>
      </c>
      <c r="H64" s="116" t="s">
        <v>245</v>
      </c>
      <c r="I64" s="116" t="s">
        <v>123</v>
      </c>
      <c r="J64" s="116" t="s">
        <v>246</v>
      </c>
      <c r="K64" s="116"/>
      <c r="L64" s="116"/>
      <c r="M64" s="116"/>
      <c r="N64" s="116"/>
      <c r="O64" s="116"/>
    </row>
    <row r="65" spans="2:15" ht="50.25" customHeight="1" x14ac:dyDescent="0.4">
      <c r="B65" s="105"/>
      <c r="C65" s="117" t="s">
        <v>116</v>
      </c>
      <c r="D65" s="124" t="s">
        <v>137</v>
      </c>
      <c r="E65" s="175" t="s">
        <v>135</v>
      </c>
      <c r="F65" s="177"/>
      <c r="G65" s="177"/>
      <c r="H65" s="177"/>
      <c r="I65" s="177"/>
      <c r="J65" s="177"/>
      <c r="K65" s="177"/>
      <c r="L65" s="177"/>
      <c r="M65" s="177"/>
      <c r="N65" s="123"/>
      <c r="O65" s="123"/>
    </row>
    <row r="66" spans="2:15" ht="50.25" customHeight="1" x14ac:dyDescent="0.4">
      <c r="B66" s="105"/>
      <c r="C66" s="117" t="s">
        <v>320</v>
      </c>
      <c r="D66" s="124" t="s">
        <v>137</v>
      </c>
      <c r="E66" s="175" t="s">
        <v>322</v>
      </c>
      <c r="F66" s="177"/>
      <c r="G66" s="177"/>
      <c r="H66" s="177"/>
      <c r="I66" s="177"/>
      <c r="J66" s="177"/>
      <c r="K66" s="177"/>
      <c r="L66" s="177"/>
      <c r="M66" s="177"/>
      <c r="N66" s="123"/>
      <c r="O66" s="123"/>
    </row>
    <row r="67" spans="2:15" ht="50.25" customHeight="1" x14ac:dyDescent="0.4">
      <c r="B67" s="105"/>
      <c r="C67" s="117" t="s">
        <v>321</v>
      </c>
      <c r="D67" s="124" t="s">
        <v>137</v>
      </c>
      <c r="E67" s="175" t="s">
        <v>323</v>
      </c>
      <c r="F67" s="177"/>
      <c r="G67" s="177"/>
      <c r="H67" s="177"/>
      <c r="I67" s="177"/>
      <c r="J67" s="177"/>
      <c r="K67" s="177"/>
      <c r="L67" s="177"/>
      <c r="M67" s="177"/>
      <c r="N67" s="123"/>
      <c r="O67" s="123"/>
    </row>
    <row r="68" spans="2:15" ht="8.15" customHeight="1" x14ac:dyDescent="0.4">
      <c r="C68" s="121"/>
    </row>
    <row r="69" spans="2:15" ht="40" customHeight="1" x14ac:dyDescent="0.4">
      <c r="B69" s="125" t="s">
        <v>105</v>
      </c>
      <c r="C69" s="117" t="s">
        <v>149</v>
      </c>
      <c r="D69" s="126" t="s">
        <v>118</v>
      </c>
      <c r="E69" s="126" t="s">
        <v>120</v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</row>
    <row r="70" spans="2:15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</row>
    <row r="71" spans="2:15" ht="40" customHeight="1" x14ac:dyDescent="0.4">
      <c r="B71" s="125" t="s">
        <v>106</v>
      </c>
      <c r="C71" s="117" t="s">
        <v>117</v>
      </c>
      <c r="D71" s="126" t="s">
        <v>119</v>
      </c>
      <c r="E71" s="126" t="s">
        <v>121</v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</row>
    <row r="72" spans="2:15" ht="8.15" customHeight="1" x14ac:dyDescent="0.4">
      <c r="B72" s="120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</row>
    <row r="73" spans="2:15" ht="40" customHeight="1" x14ac:dyDescent="0.4">
      <c r="B73" s="125" t="s">
        <v>107</v>
      </c>
      <c r="C73" s="117" t="s">
        <v>125</v>
      </c>
      <c r="D73" s="126" t="s">
        <v>247</v>
      </c>
      <c r="E73" s="126" t="s">
        <v>248</v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</row>
    <row r="74" spans="2:15" ht="8.15" customHeight="1" x14ac:dyDescent="0.4">
      <c r="B74" s="120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</row>
    <row r="75" spans="2:15" ht="40" customHeight="1" x14ac:dyDescent="0.4">
      <c r="B75" s="125" t="s">
        <v>304</v>
      </c>
      <c r="C75" s="128" t="s">
        <v>62</v>
      </c>
      <c r="D75" s="129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5" s="123"/>
      <c r="F75" s="106"/>
      <c r="G75" s="106"/>
      <c r="H75" s="106"/>
      <c r="I75" s="106"/>
      <c r="J75" s="106"/>
      <c r="K75" s="106"/>
      <c r="L75" s="106"/>
      <c r="M75" s="106"/>
      <c r="N75" s="106"/>
      <c r="O75" s="106"/>
    </row>
    <row r="76" spans="2:15" ht="40" customHeight="1" x14ac:dyDescent="0.4">
      <c r="B76" s="125"/>
      <c r="C76" s="130" t="s">
        <v>113</v>
      </c>
      <c r="D76" s="129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6" s="123"/>
      <c r="F76" s="106"/>
      <c r="G76" s="106"/>
      <c r="H76" s="106"/>
      <c r="I76" s="106"/>
      <c r="J76" s="106"/>
      <c r="K76" s="106"/>
      <c r="L76" s="106"/>
      <c r="M76" s="106"/>
      <c r="N76" s="106"/>
      <c r="O76" s="106"/>
    </row>
    <row r="77" spans="2:15" ht="40" customHeight="1" x14ac:dyDescent="0.4">
      <c r="B77" s="125"/>
      <c r="C77" s="128" t="s">
        <v>249</v>
      </c>
      <c r="D77" s="129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7" s="123"/>
      <c r="F77" s="106"/>
      <c r="G77" s="131"/>
      <c r="H77" s="106"/>
      <c r="I77" s="106"/>
      <c r="J77" s="106"/>
      <c r="K77" s="106"/>
      <c r="L77" s="106"/>
      <c r="M77" s="106"/>
      <c r="N77" s="106"/>
      <c r="O77" s="106"/>
    </row>
    <row r="78" spans="2:15" ht="40" customHeight="1" x14ac:dyDescent="0.4">
      <c r="B78" s="125"/>
      <c r="C78" s="128" t="s">
        <v>63</v>
      </c>
      <c r="D78" s="129" t="str">
        <f>_xlfn.CONCAT("Shared ", COUNTA(Get_Staff_Member)," employees")</f>
        <v>Shared 2 employees</v>
      </c>
      <c r="E78" s="123"/>
      <c r="F78" s="106"/>
      <c r="G78" s="106"/>
      <c r="H78" s="106"/>
      <c r="I78" s="106"/>
      <c r="J78" s="106"/>
      <c r="K78" s="106"/>
      <c r="L78" s="106"/>
      <c r="M78" s="106"/>
      <c r="N78" s="106"/>
      <c r="O78" s="106"/>
    </row>
    <row r="79" spans="2:15" ht="40" customHeight="1" x14ac:dyDescent="0.4">
      <c r="B79" s="125"/>
      <c r="C79" s="128" t="s">
        <v>151</v>
      </c>
      <c r="D79" s="129" t="str">
        <f>_xlfn.CONCAT("Has been set ", COUNTA(Get_Work_Unit)," units")</f>
        <v>Has been set 7 units</v>
      </c>
      <c r="E79" s="123"/>
      <c r="F79" s="106"/>
      <c r="G79" s="106"/>
      <c r="H79" s="106"/>
      <c r="I79" s="106"/>
      <c r="J79" s="106"/>
      <c r="K79" s="106"/>
      <c r="L79" s="106"/>
      <c r="M79" s="106"/>
      <c r="N79" s="106"/>
      <c r="O79" s="106"/>
    </row>
    <row r="80" spans="2:15" ht="16" customHeight="1" x14ac:dyDescent="0.4"/>
    <row r="81" spans="2:5" ht="40" customHeight="1" x14ac:dyDescent="0.4">
      <c r="B81" s="132" t="s">
        <v>108</v>
      </c>
      <c r="C81" s="133"/>
      <c r="D81" s="133"/>
      <c r="E81" s="133"/>
    </row>
    <row r="82" spans="2:5" ht="40" customHeight="1" x14ac:dyDescent="0.4">
      <c r="B82" s="134" t="s">
        <v>109</v>
      </c>
      <c r="C82" s="135" t="s">
        <v>23</v>
      </c>
      <c r="D82" s="136"/>
      <c r="E82" s="136"/>
    </row>
    <row r="83" spans="2:5" ht="40" customHeight="1" x14ac:dyDescent="0.4">
      <c r="B83" s="134" t="s">
        <v>110</v>
      </c>
      <c r="C83" s="137" t="s">
        <v>0</v>
      </c>
      <c r="D83" s="138"/>
      <c r="E83" s="138"/>
    </row>
    <row r="84" spans="2:5" ht="40" customHeight="1" x14ac:dyDescent="0.4">
      <c r="B84" s="134" t="s">
        <v>111</v>
      </c>
      <c r="C84" s="135" t="s">
        <v>22</v>
      </c>
      <c r="D84" s="136"/>
      <c r="E84" s="136"/>
    </row>
    <row r="85" spans="2:5" ht="40" customHeight="1" x14ac:dyDescent="0.4">
      <c r="B85" s="134" t="s">
        <v>112</v>
      </c>
      <c r="C85" s="135" t="s">
        <v>472</v>
      </c>
      <c r="D85" s="135"/>
      <c r="E85" s="135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1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4" width="16.69140625" style="53" customWidth="1"/>
    <col min="5" max="6" width="16.69140625" style="53" hidden="1" customWidth="1"/>
    <col min="7" max="7" width="16.69140625" style="53" customWidth="1"/>
    <col min="8" max="123" width="16.69140625" style="53" hidden="1" customWidth="1"/>
    <col min="124" max="124" width="16.69140625" style="54" customWidth="1"/>
    <col min="125" max="125" width="26.69140625" style="55" customWidth="1"/>
    <col min="126" max="126" width="12.69140625" style="27" customWidth="1"/>
    <col min="127" max="127" width="24.69140625" style="56" hidden="1" customWidth="1"/>
    <col min="128" max="128" width="12.69140625" style="27" customWidth="1"/>
    <col min="129" max="129" width="20.69140625" style="56" customWidth="1"/>
    <col min="130" max="130" width="28.69140625" style="56" hidden="1" customWidth="1"/>
    <col min="131" max="131" width="44.69140625" style="56" hidden="1" customWidth="1"/>
    <col min="132" max="132" width="26.69140625" style="28" customWidth="1"/>
    <col min="133" max="133" width="18.69140625" style="57" customWidth="1"/>
    <col min="134" max="134" width="44.69140625" style="58" customWidth="1"/>
    <col min="135" max="135" width="14.69140625" style="152" customWidth="1"/>
    <col min="136" max="137" width="14.69140625" style="170" customWidth="1"/>
    <col min="138" max="138" width="2.69140625" style="36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  <c r="CJ1" s="165"/>
      <c r="CK1" s="165"/>
      <c r="CL1" s="165"/>
      <c r="CM1" s="165"/>
      <c r="CN1" s="165"/>
      <c r="CO1" s="165"/>
      <c r="CP1" s="165"/>
      <c r="CQ1" s="165"/>
      <c r="CR1" s="165"/>
      <c r="CS1" s="165"/>
      <c r="CT1" s="165"/>
      <c r="CU1" s="165"/>
      <c r="CV1" s="165"/>
      <c r="CW1" s="165"/>
      <c r="CX1" s="165"/>
      <c r="CY1" s="165"/>
      <c r="CZ1" s="165"/>
      <c r="DA1" s="165"/>
      <c r="DB1" s="165"/>
      <c r="DC1" s="165"/>
      <c r="DD1" s="165"/>
      <c r="DE1" s="165"/>
      <c r="DF1" s="165"/>
      <c r="DG1" s="165"/>
      <c r="DH1" s="165"/>
      <c r="DI1" s="165"/>
      <c r="DJ1" s="165"/>
      <c r="DK1" s="165"/>
      <c r="DL1" s="165"/>
      <c r="DM1" s="165"/>
      <c r="DN1" s="165"/>
      <c r="DO1" s="165"/>
      <c r="DP1" s="165"/>
      <c r="DQ1" s="165"/>
      <c r="DR1" s="165"/>
      <c r="DS1" s="165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  <c r="EF1" s="171"/>
      <c r="EG1" s="171"/>
      <c r="EH1" s="171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6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  <c r="BL2" s="167"/>
      <c r="BM2" s="167"/>
      <c r="BN2" s="167"/>
      <c r="BO2" s="167"/>
      <c r="BP2" s="167"/>
      <c r="BQ2" s="167"/>
      <c r="BR2" s="167"/>
      <c r="BS2" s="167"/>
      <c r="BT2" s="167"/>
      <c r="BU2" s="167"/>
      <c r="BV2" s="167"/>
      <c r="BW2" s="167"/>
      <c r="BX2" s="167"/>
      <c r="BY2" s="167"/>
      <c r="BZ2" s="167"/>
      <c r="CA2" s="167"/>
      <c r="CB2" s="167"/>
      <c r="CC2" s="167"/>
      <c r="CD2" s="167"/>
      <c r="CE2" s="167"/>
      <c r="CF2" s="167"/>
      <c r="CG2" s="167"/>
      <c r="CH2" s="167"/>
      <c r="CI2" s="167"/>
      <c r="CJ2" s="167"/>
      <c r="CK2" s="167"/>
      <c r="CL2" s="167"/>
      <c r="CM2" s="167"/>
      <c r="CN2" s="167"/>
      <c r="CO2" s="167"/>
      <c r="CP2" s="167"/>
      <c r="CQ2" s="167"/>
      <c r="CR2" s="167"/>
      <c r="CS2" s="167"/>
      <c r="CT2" s="167"/>
      <c r="CU2" s="167"/>
      <c r="CV2" s="167"/>
      <c r="CW2" s="167"/>
      <c r="CX2" s="167"/>
      <c r="CY2" s="167"/>
      <c r="CZ2" s="167"/>
      <c r="DA2" s="167"/>
      <c r="DB2" s="167"/>
      <c r="DC2" s="167"/>
      <c r="DD2" s="167"/>
      <c r="DE2" s="167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167"/>
      <c r="DR2" s="167"/>
      <c r="DS2" s="167"/>
      <c r="DT2" s="7"/>
      <c r="DU2" s="7"/>
      <c r="DV2" s="7"/>
      <c r="DW2" s="33"/>
      <c r="DX2" s="7"/>
      <c r="DY2" s="7"/>
      <c r="DZ2" s="33"/>
      <c r="EA2" s="33"/>
      <c r="EB2" s="7"/>
      <c r="EC2" s="33"/>
      <c r="ED2" s="33"/>
      <c r="EE2" s="7"/>
      <c r="EF2" s="172"/>
      <c r="EG2" s="172"/>
      <c r="EH2" s="172"/>
    </row>
    <row r="3" spans="1:138" ht="8.15" customHeight="1" x14ac:dyDescent="0.4">
      <c r="C3" s="9"/>
      <c r="DT3" s="9"/>
      <c r="DU3" s="9"/>
      <c r="DV3" s="9"/>
      <c r="DW3" s="9"/>
      <c r="DX3" s="9"/>
      <c r="DY3" s="9"/>
      <c r="DZ3" s="35"/>
      <c r="EA3" s="35"/>
      <c r="EB3" s="9"/>
      <c r="EC3" s="35"/>
      <c r="ED3" s="35"/>
      <c r="EE3" s="173"/>
      <c r="EF3" s="174"/>
      <c r="EG3" s="174"/>
      <c r="EH3" s="174"/>
    </row>
    <row r="4" spans="1:138" ht="6" customHeight="1" x14ac:dyDescent="0.4">
      <c r="B4" s="10"/>
      <c r="C4" s="10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s="168"/>
      <c r="BH4" s="168"/>
      <c r="BI4" s="168"/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68"/>
      <c r="BX4" s="168"/>
      <c r="BY4" s="168"/>
      <c r="BZ4" s="168"/>
      <c r="CA4" s="168"/>
      <c r="CB4" s="168"/>
      <c r="CC4" s="168"/>
      <c r="CD4" s="168"/>
      <c r="CE4" s="168"/>
      <c r="CF4" s="168"/>
      <c r="CG4" s="168"/>
      <c r="CH4" s="168"/>
      <c r="CI4" s="168"/>
      <c r="CJ4" s="168"/>
      <c r="CK4" s="168"/>
      <c r="CL4" s="168"/>
      <c r="CM4" s="168"/>
      <c r="CN4" s="168"/>
      <c r="CO4" s="168"/>
      <c r="CP4" s="168"/>
      <c r="CQ4" s="168"/>
      <c r="CR4" s="168"/>
      <c r="CS4" s="168"/>
      <c r="CT4" s="168"/>
      <c r="CU4" s="168"/>
      <c r="CV4" s="168"/>
      <c r="CW4" s="168"/>
      <c r="CX4" s="168"/>
      <c r="CY4" s="168"/>
      <c r="CZ4" s="168"/>
      <c r="DA4" s="168"/>
      <c r="DB4" s="168"/>
      <c r="DC4" s="168"/>
      <c r="DD4" s="168"/>
      <c r="DE4" s="168"/>
      <c r="DF4" s="168"/>
      <c r="DG4" s="168"/>
      <c r="DH4" s="168"/>
      <c r="DI4" s="168"/>
      <c r="DJ4" s="168"/>
      <c r="DK4" s="168"/>
      <c r="DL4" s="168"/>
      <c r="DM4" s="168"/>
      <c r="DN4" s="168"/>
      <c r="DO4" s="168"/>
      <c r="DP4" s="168"/>
      <c r="DQ4" s="168"/>
      <c r="DR4" s="168"/>
      <c r="DS4" s="168"/>
      <c r="DT4" s="11"/>
      <c r="DU4" s="11"/>
      <c r="DV4" s="11"/>
      <c r="DW4" s="11"/>
      <c r="DX4" s="11"/>
      <c r="DY4" s="11"/>
      <c r="DZ4" s="37"/>
      <c r="EA4" s="37"/>
      <c r="EB4" s="11"/>
      <c r="EC4" s="37"/>
      <c r="ED4" s="37"/>
      <c r="EE4" s="10"/>
      <c r="EF4" s="10"/>
      <c r="EG4" s="10"/>
      <c r="EH4" s="174"/>
    </row>
    <row r="5" spans="1:138" ht="8.15" customHeight="1" x14ac:dyDescent="0.4">
      <c r="C5" s="9"/>
      <c r="DT5" s="9"/>
      <c r="DU5" s="9"/>
      <c r="DV5" s="9"/>
      <c r="DW5" s="9"/>
      <c r="DX5" s="9"/>
      <c r="DY5" s="9"/>
      <c r="DZ5" s="35"/>
      <c r="EA5" s="35"/>
      <c r="EB5" s="9"/>
      <c r="EC5" s="35"/>
      <c r="ED5" s="35"/>
      <c r="EE5" s="173"/>
      <c r="EF5" s="174"/>
      <c r="EG5" s="174"/>
      <c r="EH5" s="174"/>
    </row>
    <row r="6" spans="1:138" s="51" customFormat="1" ht="40" customHeight="1" x14ac:dyDescent="0.4">
      <c r="A6" s="9"/>
      <c r="B6" s="9"/>
      <c r="C6" s="38"/>
      <c r="D6" s="164" t="str">
        <f>_xlfn.CONCAT(Setting!F11)</f>
        <v>1</v>
      </c>
      <c r="E6" s="164" t="str">
        <f>_xlfn.CONCAT(Setting!F11," - History record")</f>
        <v>1 - History record</v>
      </c>
      <c r="F6" s="164"/>
      <c r="G6" s="162" t="str">
        <f>_xlfn.CONCAT(Setting!F12)</f>
        <v>2</v>
      </c>
      <c r="H6" s="162" t="str">
        <f>_xlfn.CONCAT(Setting!F12," - History record")</f>
        <v>2 - History record</v>
      </c>
      <c r="I6" s="162"/>
      <c r="J6" s="164" t="str">
        <f>_xlfn.CONCAT(Setting!F13)</f>
        <v/>
      </c>
      <c r="K6" s="164" t="str">
        <f>_xlfn.CONCAT(Setting!F13," - History record")</f>
        <v xml:space="preserve"> - History record</v>
      </c>
      <c r="L6" s="164"/>
      <c r="M6" s="162" t="str">
        <f>_xlfn.CONCAT(Setting!F14)</f>
        <v/>
      </c>
      <c r="N6" s="162" t="str">
        <f>_xlfn.CONCAT(Setting!F14," - History record")</f>
        <v xml:space="preserve"> - History record</v>
      </c>
      <c r="O6" s="162"/>
      <c r="P6" s="164" t="str">
        <f>_xlfn.CONCAT(Setting!F15)</f>
        <v/>
      </c>
      <c r="Q6" s="164" t="str">
        <f>_xlfn.CONCAT(Setting!F15," - History record")</f>
        <v xml:space="preserve"> - History record</v>
      </c>
      <c r="R6" s="164"/>
      <c r="S6" s="162" t="str">
        <f>_xlfn.CONCAT(Setting!F16)</f>
        <v/>
      </c>
      <c r="T6" s="162" t="str">
        <f>_xlfn.CONCAT(Setting!F16," - History record")</f>
        <v xml:space="preserve"> - History record</v>
      </c>
      <c r="U6" s="162"/>
      <c r="V6" s="164" t="str">
        <f>_xlfn.CONCAT(Setting!F17)</f>
        <v/>
      </c>
      <c r="W6" s="164" t="str">
        <f>_xlfn.CONCAT(Setting!F17," - History record")</f>
        <v xml:space="preserve"> - History record</v>
      </c>
      <c r="X6" s="164"/>
      <c r="Y6" s="162" t="str">
        <f>_xlfn.CONCAT(Setting!F18)</f>
        <v/>
      </c>
      <c r="Z6" s="162" t="str">
        <f>_xlfn.CONCAT(Setting!F18," - History record")</f>
        <v xml:space="preserve"> - History record</v>
      </c>
      <c r="AA6" s="162"/>
      <c r="AB6" s="164" t="str">
        <f>_xlfn.CONCAT(Setting!F19)</f>
        <v/>
      </c>
      <c r="AC6" s="164" t="str">
        <f>_xlfn.CONCAT(Setting!F19," - History record")</f>
        <v xml:space="preserve"> - History record</v>
      </c>
      <c r="AD6" s="164"/>
      <c r="AE6" s="162" t="str">
        <f>_xlfn.CONCAT(Setting!F20)</f>
        <v/>
      </c>
      <c r="AF6" s="162" t="str">
        <f>_xlfn.CONCAT(Setting!F20," - History record")</f>
        <v xml:space="preserve"> - History record</v>
      </c>
      <c r="AG6" s="162"/>
      <c r="AH6" s="164" t="str">
        <f>_xlfn.CONCAT(Setting!F21)</f>
        <v/>
      </c>
      <c r="AI6" s="164" t="str">
        <f>_xlfn.CONCAT(Setting!F21," - History record")</f>
        <v xml:space="preserve"> - History record</v>
      </c>
      <c r="AJ6" s="164"/>
      <c r="AK6" s="162" t="str">
        <f>_xlfn.CONCAT(Setting!F22)</f>
        <v/>
      </c>
      <c r="AL6" s="162" t="str">
        <f>_xlfn.CONCAT(Setting!F22," - History record")</f>
        <v xml:space="preserve"> - History record</v>
      </c>
      <c r="AM6" s="162"/>
      <c r="AN6" s="164" t="str">
        <f>_xlfn.CONCAT(Setting!F23)</f>
        <v/>
      </c>
      <c r="AO6" s="164" t="str">
        <f>_xlfn.CONCAT(Setting!F23," - History record")</f>
        <v xml:space="preserve"> - History record</v>
      </c>
      <c r="AP6" s="164"/>
      <c r="AQ6" s="162" t="str">
        <f>_xlfn.CONCAT(Setting!F24)</f>
        <v/>
      </c>
      <c r="AR6" s="162" t="str">
        <f>_xlfn.CONCAT(Setting!F24," - History record")</f>
        <v xml:space="preserve"> - History record</v>
      </c>
      <c r="AS6" s="162"/>
      <c r="AT6" s="164" t="str">
        <f>_xlfn.CONCAT(Setting!F25)</f>
        <v/>
      </c>
      <c r="AU6" s="164" t="str">
        <f>_xlfn.CONCAT(Setting!F25," - History record")</f>
        <v xml:space="preserve"> - History record</v>
      </c>
      <c r="AV6" s="164"/>
      <c r="AW6" s="162" t="str">
        <f>_xlfn.CONCAT(Setting!F26)</f>
        <v/>
      </c>
      <c r="AX6" s="162" t="str">
        <f>_xlfn.CONCAT(Setting!F26," - History record")</f>
        <v xml:space="preserve"> - History record</v>
      </c>
      <c r="AY6" s="162"/>
      <c r="AZ6" s="164" t="str">
        <f>_xlfn.CONCAT(Setting!F27)</f>
        <v/>
      </c>
      <c r="BA6" s="164" t="str">
        <f>_xlfn.CONCAT(Setting!F27," - History record")</f>
        <v xml:space="preserve"> - History record</v>
      </c>
      <c r="BB6" s="164"/>
      <c r="BC6" s="162" t="str">
        <f>_xlfn.CONCAT(Setting!F28)</f>
        <v/>
      </c>
      <c r="BD6" s="162" t="str">
        <f>_xlfn.CONCAT(Setting!F28," - History record")</f>
        <v xml:space="preserve"> - History record</v>
      </c>
      <c r="BE6" s="162"/>
      <c r="BF6" s="164" t="str">
        <f>_xlfn.CONCAT(Setting!F29)</f>
        <v/>
      </c>
      <c r="BG6" s="164" t="str">
        <f>_xlfn.CONCAT(Setting!F29," - History record")</f>
        <v xml:space="preserve"> - History record</v>
      </c>
      <c r="BH6" s="164"/>
      <c r="BI6" s="162" t="str">
        <f>_xlfn.CONCAT(Setting!F30)</f>
        <v/>
      </c>
      <c r="BJ6" s="162" t="str">
        <f>_xlfn.CONCAT(Setting!F30," - History record")</f>
        <v xml:space="preserve"> - History record</v>
      </c>
      <c r="BK6" s="162"/>
      <c r="BL6" s="163" t="str">
        <f>_xlfn.CONCAT(Setting!F31)</f>
        <v/>
      </c>
      <c r="BM6" s="163" t="str">
        <f>_xlfn.CONCAT(Setting!F31," - History record")</f>
        <v xml:space="preserve"> - History record</v>
      </c>
      <c r="BN6" s="163"/>
      <c r="BO6" s="162" t="str">
        <f>_xlfn.CONCAT(Setting!F32)</f>
        <v/>
      </c>
      <c r="BP6" s="162" t="str">
        <f>_xlfn.CONCAT(Setting!F32," - History record")</f>
        <v xml:space="preserve"> - History record</v>
      </c>
      <c r="BQ6" s="162"/>
      <c r="BR6" s="163" t="str">
        <f>_xlfn.CONCAT(Setting!F33)</f>
        <v/>
      </c>
      <c r="BS6" s="163" t="str">
        <f>_xlfn.CONCAT(Setting!F33," - History record")</f>
        <v xml:space="preserve"> - History record</v>
      </c>
      <c r="BT6" s="163"/>
      <c r="BU6" s="162" t="str">
        <f>_xlfn.CONCAT(Setting!F34)</f>
        <v/>
      </c>
      <c r="BV6" s="162" t="str">
        <f>_xlfn.CONCAT(Setting!F34," - History record")</f>
        <v xml:space="preserve"> - History record</v>
      </c>
      <c r="BW6" s="162"/>
      <c r="BX6" s="163" t="str">
        <f>_xlfn.CONCAT(Setting!F35)</f>
        <v/>
      </c>
      <c r="BY6" s="163" t="str">
        <f>_xlfn.CONCAT(Setting!F35," - History record")</f>
        <v xml:space="preserve"> - History record</v>
      </c>
      <c r="BZ6" s="163"/>
      <c r="CA6" s="162" t="str">
        <f>_xlfn.CONCAT(Setting!F36)</f>
        <v/>
      </c>
      <c r="CB6" s="162" t="str">
        <f>_xlfn.CONCAT(Setting!F36," - History record")</f>
        <v xml:space="preserve"> - History record</v>
      </c>
      <c r="CC6" s="162"/>
      <c r="CD6" s="163" t="str">
        <f>_xlfn.CONCAT(Setting!F37)</f>
        <v/>
      </c>
      <c r="CE6" s="163" t="str">
        <f>_xlfn.CONCAT(Setting!F37," - History record")</f>
        <v xml:space="preserve"> - History record</v>
      </c>
      <c r="CF6" s="163"/>
      <c r="CG6" s="162" t="str">
        <f>_xlfn.CONCAT(Setting!F38)</f>
        <v/>
      </c>
      <c r="CH6" s="162" t="str">
        <f>_xlfn.CONCAT(Setting!F38," - History record")</f>
        <v xml:space="preserve"> - History record</v>
      </c>
      <c r="CI6" s="162"/>
      <c r="CJ6" s="163" t="str">
        <f>_xlfn.CONCAT(Setting!F39)</f>
        <v/>
      </c>
      <c r="CK6" s="163" t="str">
        <f>_xlfn.CONCAT(Setting!F39," - History record")</f>
        <v xml:space="preserve"> - History record</v>
      </c>
      <c r="CL6" s="163"/>
      <c r="CM6" s="162" t="str">
        <f>_xlfn.CONCAT(Setting!F40)</f>
        <v/>
      </c>
      <c r="CN6" s="162" t="str">
        <f>_xlfn.CONCAT(Setting!F40," - History record")</f>
        <v xml:space="preserve"> - History record</v>
      </c>
      <c r="CO6" s="162"/>
      <c r="CP6" s="163" t="str">
        <f>_xlfn.CONCAT(Setting!F41)</f>
        <v/>
      </c>
      <c r="CQ6" s="163" t="str">
        <f>_xlfn.CONCAT(Setting!F41," - History record")</f>
        <v xml:space="preserve"> - History record</v>
      </c>
      <c r="CR6" s="163"/>
      <c r="CS6" s="162" t="str">
        <f>_xlfn.CONCAT(Setting!F42)</f>
        <v/>
      </c>
      <c r="CT6" s="162" t="str">
        <f>_xlfn.CONCAT(Setting!F42," - History record")</f>
        <v xml:space="preserve"> - History record</v>
      </c>
      <c r="CU6" s="162"/>
      <c r="CV6" s="163" t="str">
        <f>_xlfn.CONCAT(Setting!F43)</f>
        <v/>
      </c>
      <c r="CW6" s="163" t="str">
        <f>_xlfn.CONCAT(Setting!F43," - History record")</f>
        <v xml:space="preserve"> - History record</v>
      </c>
      <c r="CX6" s="163"/>
      <c r="CY6" s="162" t="str">
        <f>_xlfn.CONCAT(Setting!F44)</f>
        <v/>
      </c>
      <c r="CZ6" s="162" t="str">
        <f>_xlfn.CONCAT(Setting!F44," - History record")</f>
        <v xml:space="preserve"> - History record</v>
      </c>
      <c r="DA6" s="162"/>
      <c r="DB6" s="163" t="str">
        <f>_xlfn.CONCAT(Setting!F45)</f>
        <v/>
      </c>
      <c r="DC6" s="163" t="str">
        <f>_xlfn.CONCAT(Setting!F45," - History record")</f>
        <v xml:space="preserve"> - History record</v>
      </c>
      <c r="DD6" s="163"/>
      <c r="DE6" s="162" t="str">
        <f>_xlfn.CONCAT(Setting!F46)</f>
        <v/>
      </c>
      <c r="DF6" s="162" t="str">
        <f>_xlfn.CONCAT(Setting!F46," - History record")</f>
        <v xml:space="preserve"> - History record</v>
      </c>
      <c r="DG6" s="162"/>
      <c r="DH6" s="163" t="str">
        <f>_xlfn.CONCAT(Setting!F47)</f>
        <v/>
      </c>
      <c r="DI6" s="163" t="str">
        <f>_xlfn.CONCAT(Setting!F47," - History record")</f>
        <v xml:space="preserve"> - History record</v>
      </c>
      <c r="DJ6" s="163"/>
      <c r="DK6" s="162" t="str">
        <f>_xlfn.CONCAT(Setting!F48)</f>
        <v/>
      </c>
      <c r="DL6" s="162" t="str">
        <f>_xlfn.CONCAT(Setting!F48," - History record")</f>
        <v xml:space="preserve"> - History record</v>
      </c>
      <c r="DM6" s="162"/>
      <c r="DN6" s="163" t="str">
        <f>_xlfn.CONCAT(Setting!F49)</f>
        <v/>
      </c>
      <c r="DO6" s="163" t="str">
        <f>_xlfn.CONCAT(Setting!F49," - History record")</f>
        <v xml:space="preserve"> - History record</v>
      </c>
      <c r="DP6" s="163"/>
      <c r="DQ6" s="162" t="str">
        <f>_xlfn.CONCAT(Setting!F50)</f>
        <v/>
      </c>
      <c r="DR6" s="162" t="str">
        <f>_xlfn.CONCAT(Setting!F50," - History record")</f>
        <v xml:space="preserve"> - History record</v>
      </c>
      <c r="DS6" s="162"/>
      <c r="DT6" s="188" t="s">
        <v>237</v>
      </c>
      <c r="DU6" s="188"/>
      <c r="DV6" s="188"/>
      <c r="DW6" s="188"/>
      <c r="DX6" s="188"/>
      <c r="DY6" s="188" t="s">
        <v>238</v>
      </c>
      <c r="DZ6" s="188"/>
      <c r="EA6" s="188"/>
      <c r="EB6" s="188" t="s">
        <v>239</v>
      </c>
      <c r="EC6" s="188"/>
      <c r="ED6" s="39" t="s">
        <v>480</v>
      </c>
      <c r="EE6" s="189" t="s">
        <v>324</v>
      </c>
      <c r="EF6" s="189"/>
      <c r="EG6" s="18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5"/>
      <c r="EA7" s="35"/>
      <c r="EB7" s="9"/>
      <c r="EC7" s="35"/>
      <c r="ED7" s="35"/>
      <c r="EE7" s="9"/>
      <c r="EF7" s="9"/>
      <c r="EG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0" t="s">
        <v>1</v>
      </c>
      <c r="EA8" s="40" t="s">
        <v>128</v>
      </c>
      <c r="EB8" s="41" t="s">
        <v>241</v>
      </c>
      <c r="EC8" s="40" t="s">
        <v>144</v>
      </c>
      <c r="ED8" s="40" t="s">
        <v>143</v>
      </c>
      <c r="EE8" s="169" t="s">
        <v>328</v>
      </c>
      <c r="EF8" s="169" t="s">
        <v>329</v>
      </c>
      <c r="EG8" s="169" t="s">
        <v>327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4" t="s">
        <v>253</v>
      </c>
      <c r="DU9" s="45" t="s">
        <v>0</v>
      </c>
      <c r="DV9" s="46" t="s">
        <v>247</v>
      </c>
      <c r="DW9" s="46"/>
      <c r="DX9" s="20"/>
      <c r="DY9" s="46" t="s">
        <v>46</v>
      </c>
      <c r="DZ9" s="46" t="s">
        <v>44</v>
      </c>
      <c r="EA9" s="46"/>
      <c r="EB9" s="21">
        <v>45268.505555555559</v>
      </c>
      <c r="EC9" s="47" t="s">
        <v>140</v>
      </c>
      <c r="ED9" s="48" t="s">
        <v>255</v>
      </c>
      <c r="EE9" s="43" cm="1">
        <f t="array" ref="EE9">History_Total</f>
        <v>1</v>
      </c>
      <c r="EF9" s="43" cm="1">
        <f t="array" ref="EF9">History_Saved</f>
        <v>1</v>
      </c>
      <c r="EG9" s="43" cm="1">
        <f t="array" ref="EG9">History_Withdraw</f>
        <v>0</v>
      </c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44" t="s">
        <v>254</v>
      </c>
      <c r="DU10" s="45" t="s">
        <v>0</v>
      </c>
      <c r="DV10" s="46" t="s">
        <v>248</v>
      </c>
      <c r="DW10" s="46"/>
      <c r="DX10" s="20"/>
      <c r="DY10" s="46" t="s">
        <v>47</v>
      </c>
      <c r="DZ10" s="46"/>
      <c r="EA10" s="46"/>
      <c r="EB10" s="21">
        <v>45268.505555555559</v>
      </c>
      <c r="EC10" s="47" t="s">
        <v>140</v>
      </c>
      <c r="ED10" s="48" t="s">
        <v>255</v>
      </c>
      <c r="EE10" s="43" cm="1">
        <f t="array" ref="EE10">History_Total</f>
        <v>1</v>
      </c>
      <c r="EF10" s="43" cm="1">
        <f t="array" ref="EF10">History_Saved</f>
        <v>1</v>
      </c>
      <c r="EG10" s="43" cm="1">
        <f t="array" ref="EG10">History_Withdraw</f>
        <v>0</v>
      </c>
      <c r="EH10" s="51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5" width="16.69140625" style="26" customWidth="1"/>
    <col min="6" max="43" width="16.69140625" style="26" hidden="1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 t="str">
        <f>_xlfn.CONCAT(Setting!F11)</f>
        <v>1</v>
      </c>
      <c r="E6" s="15" t="str">
        <f>_xlfn.CONCAT(Setting!F12)</f>
        <v>2</v>
      </c>
      <c r="F6" s="14" t="str">
        <f>_xlfn.CONCAT(Setting!F13)</f>
        <v/>
      </c>
      <c r="G6" s="15" t="str">
        <f>_xlfn.CONCAT(Setting!F14)</f>
        <v/>
      </c>
      <c r="H6" s="14" t="str">
        <f>_xlfn.CONCAT(Setting!F15)</f>
        <v/>
      </c>
      <c r="I6" s="15" t="str">
        <f>_xlfn.CONCAT(Setting!F16)</f>
        <v/>
      </c>
      <c r="J6" s="14" t="str">
        <f>_xlfn.CONCAT(Setting!F17)</f>
        <v/>
      </c>
      <c r="K6" s="15" t="str">
        <f>_xlfn.CONCAT(Setting!F18)</f>
        <v/>
      </c>
      <c r="L6" s="14" t="str">
        <f>_xlfn.CONCAT(Setting!F19)</f>
        <v/>
      </c>
      <c r="M6" s="15" t="str">
        <f>_xlfn.CONCAT(Setting!F20)</f>
        <v/>
      </c>
      <c r="N6" s="14" t="str">
        <f>_xlfn.CONCAT(Setting!F21)</f>
        <v/>
      </c>
      <c r="O6" s="15" t="str">
        <f>_xlfn.CONCAT(Setting!F22)</f>
        <v/>
      </c>
      <c r="P6" s="14" t="str">
        <f>_xlfn.CONCAT(Setting!F23)</f>
        <v/>
      </c>
      <c r="Q6" s="15" t="str">
        <f>_xlfn.CONCAT(Setting!F24)</f>
        <v/>
      </c>
      <c r="R6" s="14" t="str">
        <f>_xlfn.CONCAT(Setting!F25)</f>
        <v/>
      </c>
      <c r="S6" s="15" t="str">
        <f>_xlfn.CONCAT(Setting!F26)</f>
        <v/>
      </c>
      <c r="T6" s="14" t="str">
        <f>_xlfn.CONCAT(Setting!F27)</f>
        <v/>
      </c>
      <c r="U6" s="15" t="str">
        <f>_xlfn.CONCAT(Setting!F28)</f>
        <v/>
      </c>
      <c r="V6" s="14" t="str">
        <f>_xlfn.CONCAT(Setting!F29)</f>
        <v/>
      </c>
      <c r="W6" s="15" t="str">
        <f>_xlfn.CONCAT(Setting!F30)</f>
        <v/>
      </c>
      <c r="X6" s="14" t="str">
        <f>_xlfn.CONCAT(Setting!F31)</f>
        <v/>
      </c>
      <c r="Y6" s="15" t="str">
        <f>_xlfn.CONCAT(Setting!F32)</f>
        <v/>
      </c>
      <c r="Z6" s="14" t="str">
        <f>_xlfn.CONCAT(Setting!F33)</f>
        <v/>
      </c>
      <c r="AA6" s="15" t="str">
        <f>_xlfn.CONCAT(Setting!F34)</f>
        <v/>
      </c>
      <c r="AB6" s="14" t="str">
        <f>_xlfn.CONCAT(Setting!F35)</f>
        <v/>
      </c>
      <c r="AC6" s="15" t="str">
        <f>_xlfn.CONCAT(Setting!F36)</f>
        <v/>
      </c>
      <c r="AD6" s="14" t="str">
        <f>_xlfn.CONCAT(Setting!F37)</f>
        <v/>
      </c>
      <c r="AE6" s="15" t="str">
        <f>_xlfn.CONCAT(Setting!F38)</f>
        <v/>
      </c>
      <c r="AF6" s="14" t="str">
        <f>_xlfn.CONCAT(Setting!F39)</f>
        <v/>
      </c>
      <c r="AG6" s="15" t="str">
        <f>_xlfn.CONCAT(Setting!F40)</f>
        <v/>
      </c>
      <c r="AH6" s="14" t="str">
        <f>_xlfn.CONCAT(Setting!F41)</f>
        <v/>
      </c>
      <c r="AI6" s="15" t="str">
        <f>_xlfn.CONCAT(Setting!F42)</f>
        <v/>
      </c>
      <c r="AJ6" s="14" t="str">
        <f>_xlfn.CONCAT(Setting!F43)</f>
        <v/>
      </c>
      <c r="AK6" s="15" t="str">
        <f>_xlfn.CONCAT(Setting!F44)</f>
        <v/>
      </c>
      <c r="AL6" s="14" t="str">
        <f>_xlfn.CONCAT(Setting!F45)</f>
        <v/>
      </c>
      <c r="AM6" s="15" t="str">
        <f>_xlfn.CONCAT(Setting!F46)</f>
        <v/>
      </c>
      <c r="AN6" s="14" t="str">
        <f>_xlfn.CONCAT(Setting!F47)</f>
        <v/>
      </c>
      <c r="AO6" s="15" t="str">
        <f>_xlfn.CONCAT(Setting!F48)</f>
        <v/>
      </c>
      <c r="AP6" s="14" t="str">
        <f>_xlfn.CONCAT(Setting!F49)</f>
        <v/>
      </c>
      <c r="AQ6" s="15" t="str">
        <f>_xlfn.CONCAT(Setting!F50)</f>
        <v/>
      </c>
      <c r="AR6" s="188" t="s">
        <v>256</v>
      </c>
      <c r="AS6" s="188"/>
      <c r="AT6" s="188"/>
      <c r="AU6" s="188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2024-02-26T15:07:47Z</dcterms:modified>
</cp:coreProperties>
</file>