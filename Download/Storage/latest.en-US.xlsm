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3D7EB9E-217A-47F5-B739-541B85998C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4" i="1" l="1"/>
  <c r="E7" i="4"/>
  <c r="B2" i="5"/>
  <c r="D73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G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G48" i="1" s="1"/>
  <c r="H9" i="6" a="1"/>
  <c r="H9" i="6" s="1"/>
  <c r="I12" i="1" s="1"/>
  <c r="AC9" i="6" a="1"/>
  <c r="AC9" i="6" s="1"/>
  <c r="I19" i="1" s="1"/>
  <c r="G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<sst xmlns="http://schemas.openxmlformats.org/spreadsheetml/2006/main" count="401" uniqueCount="327">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</sst>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1115786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1219200</xdr:colOff>
          <xdr:row>5</xdr:row>
          <xdr:rowOff>97971</xdr:rowOff>
        </xdr:from>
        <xdr:to>
          <xdr:col>2</xdr:col>
          <xdr:colOff>2688771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85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84"/>
    <tableColumn id="2" xr3:uid="{C28244F3-482D-4CFC-B629-A29496B98C0B}" name="Product name" dataDxfId="383"/>
    <tableColumn id="11" xr3:uid="{71958388-9C14-426E-8457-DCEA92BC0E87}" name="Negative difference" dataDxfId="382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1">
      <calculatedColumnFormula>SUM(UserInfo[1 - Remaining])</calculatedColumnFormula>
    </tableColumn>
    <tableColumn id="7" xr3:uid="{75829BDD-5513-4744-8184-35AE3788771C}" name="Deposited" dataDxfId="380">
      <calculatedColumnFormula>SUM(UserInfo[1 - Deposit])</calculatedColumnFormula>
    </tableColumn>
    <tableColumn id="6" xr3:uid="{B71F91EB-0024-4EC1-8035-3636C31B3740}" name="Withdrawn" dataDxfId="379">
      <calculatedColumnFormula>SUM(UserInfo[1 - Withdrawal])</calculatedColumnFormula>
    </tableColumn>
    <tableColumn id="5" xr3:uid="{6E4E3255-2204-43C6-A50C-EEAF08580A14}" name="Negative_x000a_inventory_x000a_balance" dataDxfId="378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77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76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SN" dataDxfId="371">
      <calculatedColumnFormula array="1">SNGKI</calculatedColumnFormula>
    </tableColumn>
    <tableColumn id="2" xr3:uid="{BE286F67-B0FA-40D9-BDA1-B2CFCEBCEB36}" name="Unique identifier" dataDxfId="370"/>
    <tableColumn id="4" xr3:uid="{9CF218BF-31BE-437E-9285-7CE338B0180C}" name="Type" dataDxfId="369"/>
    <tableColumn id="38" xr3:uid="{BE6B60B8-5A23-4085-9CC5-0D91831F16B6}" name="Quantity" dataDxfId="368"/>
    <tableColumn id="9" xr3:uid="{BCC80DB2-EF55-4BCC-9A8B-636F5A0886E8}" name="Unit" dataDxfId="367"/>
    <tableColumn id="3" xr3:uid="{CCD860BE-34B0-4F57-8823-4D2C9F7985B4}" name="Time" dataDxfId="366"/>
    <tableColumn id="7" xr3:uid="{38DADDD1-29F3-4A23-B844-9D021C0D5F68}" name="Job number" dataDxfId="365"/>
    <tableColumn id="8" xr3:uid="{945E147D-AEC8-4CD6-9889-CC8A2ADA4657}" name="Remark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SN" totalsRowLabel="Total" dataDxfId="358" totalsRowDxfId="357">
      <calculatedColumnFormula array="1">SN</calculatedColumnFormula>
    </tableColumn>
    <tableColumn id="5" xr3:uid="{35BA10B8-A444-4F80-8F55-6146540C5A57}" name="Unique identifier" dataDxfId="356" totalsRowDxfId="355">
      <calculatedColumnFormula array="1">GUID</calculatedColumnFormula>
    </tableColumn>
    <tableColumn id="6" xr3:uid="{8A3791BE-D142-4B77-980F-0E769FF1CE0E}" name="1 - Remaining" dataDxfId="354">
      <calculatedColumnFormula array="1">Get_1_Calc</calculatedColumnFormula>
    </tableColumn>
    <tableColumn id="8" xr3:uid="{E45E7682-0361-46D3-BF20-AF1E07C3D65B}" name="1 - Deposit" dataDxfId="353" totalsRowDxfId="352">
      <calculatedColumnFormula array="1">Get_1_Add</calculatedColumnFormula>
    </tableColumn>
    <tableColumn id="9" xr3:uid="{FE45F0F1-8F7A-4A14-B0E4-3EC60A580E37}" name="1 - Withdrawal" dataDxfId="351" totalsRowDxfId="350">
      <calculatedColumnFormula array="1">Get_1_Del</calculatedColumnFormula>
    </tableColumn>
    <tableColumn id="7" xr3:uid="{B53043EA-8EAF-48CD-A1C4-F1751A029F72}" name="2 - Remaining" dataDxfId="349" totalsRowDxfId="348">
      <calculatedColumnFormula array="1">Get_2_Calc</calculatedColumnFormula>
    </tableColumn>
    <tableColumn id="10" xr3:uid="{95260041-5347-400B-AAEF-EE609D2539A1}" name="2 - Deposit" dataDxfId="347" totalsRowDxfId="346">
      <calculatedColumnFormula array="1">Get_2_Add</calculatedColumnFormula>
    </tableColumn>
    <tableColumn id="11" xr3:uid="{33755691-0EB3-40CE-9B73-E91F8C102760}" name="2 - Withdrawal" dataDxfId="345" totalsRowDxfId="344">
      <calculatedColumnFormula array="1">Get_2_Del</calculatedColumnFormula>
    </tableColumn>
    <tableColumn id="32" xr3:uid="{EC5EB628-FB36-43AE-A347-41E9ACE5D72E}" name="3 - Remaining" dataDxfId="343" totalsRowDxfId="342">
      <calculatedColumnFormula array="1">Get_3_Calc</calculatedColumnFormula>
    </tableColumn>
    <tableColumn id="33" xr3:uid="{43A56C01-D775-4C69-87D1-225F1941DB58}" name="3 - Deposit" dataDxfId="341" totalsRowDxfId="340">
      <calculatedColumnFormula array="1">Get_3_Add</calculatedColumnFormula>
    </tableColumn>
    <tableColumn id="30" xr3:uid="{E3875226-6AB9-4F4B-91BF-CC71FCEAF551}" name="3 - Withdrawal" dataDxfId="339" totalsRowDxfId="338">
      <calculatedColumnFormula array="1">Get_3_Del</calculatedColumnFormula>
    </tableColumn>
    <tableColumn id="31" xr3:uid="{B62D1E0D-5AB3-4BE3-8BC6-8442FF019A25}" name="4 - Remaining" dataDxfId="337" totalsRowDxfId="336">
      <calculatedColumnFormula array="1">Get_4_Calc</calculatedColumnFormula>
    </tableColumn>
    <tableColumn id="28" xr3:uid="{7B09D42A-E4B3-42DA-A7BC-1855D7B3276B}" name="4 - Deposit" dataDxfId="335" totalsRowDxfId="334">
      <calculatedColumnFormula array="1">Get_4_Add</calculatedColumnFormula>
    </tableColumn>
    <tableColumn id="29" xr3:uid="{B7BDACF3-46DD-4203-BF1C-D95921A9EAB9}" name="4 - Withdrawal" dataDxfId="333" totalsRowDxfId="332">
      <calculatedColumnFormula array="1">Get_4_Del</calculatedColumnFormula>
    </tableColumn>
    <tableColumn id="26" xr3:uid="{2B28D0BE-0636-4250-93AD-A6F7361B235B}" name="5 - Remaining" dataDxfId="331" totalsRowDxfId="330">
      <calculatedColumnFormula array="1">Get_5_Calc</calculatedColumnFormula>
    </tableColumn>
    <tableColumn id="27" xr3:uid="{E0E33EBF-F853-45D7-8D8D-4968D0DF550A}" name="5 - Deposit" dataDxfId="329" totalsRowDxfId="328">
      <calculatedColumnFormula array="1">Get_5_Add</calculatedColumnFormula>
    </tableColumn>
    <tableColumn id="34" xr3:uid="{8BF8358E-3A1F-4FD6-A3D2-5C9ED03B66D2}" name="5 - Withdrawal" dataDxfId="327" totalsRowDxfId="326">
      <calculatedColumnFormula array="1">Get_5_Del</calculatedColumnFormula>
    </tableColumn>
    <tableColumn id="35" xr3:uid="{BB2E7E56-CFEB-45E5-A53A-8F8601B9A6BC}" name="6 - Remaining" dataDxfId="325">
      <calculatedColumnFormula array="1">Get_6_Calc</calculatedColumnFormula>
    </tableColumn>
    <tableColumn id="36" xr3:uid="{B1C76173-BBE5-4463-A5A2-D59DF06DFEA3}" name="6 - Deposit" dataDxfId="324" totalsRowDxfId="323">
      <calculatedColumnFormula array="1">Get_6_Add</calculatedColumnFormula>
    </tableColumn>
    <tableColumn id="37" xr3:uid="{252F1115-6468-4A69-A315-CC054804CD2D}" name="6 - Withdrawal" dataDxfId="322" totalsRowDxfId="321">
      <calculatedColumnFormula array="1">Get_6_Del</calculatedColumnFormula>
    </tableColumn>
    <tableColumn id="20" xr3:uid="{A588D5D5-7793-43CD-9189-E1B0E04C4525}" name="7 - Remaining" dataDxfId="320" totalsRowDxfId="319">
      <calculatedColumnFormula array="1">Get_7_Calc</calculatedColumnFormula>
    </tableColumn>
    <tableColumn id="21" xr3:uid="{173A2F2F-7CDB-4106-BA59-7971244FD630}" name="7 - Deposit" dataDxfId="318" totalsRowDxfId="317">
      <calculatedColumnFormula array="1">Get_7_Add</calculatedColumnFormula>
    </tableColumn>
    <tableColumn id="46" xr3:uid="{5DD0D315-AA29-4E95-AB07-E17D16311131}" name="7 - Withdrawal" dataDxfId="316" totalsRowDxfId="315">
      <calculatedColumnFormula array="1">Get_7_Del</calculatedColumnFormula>
    </tableColumn>
    <tableColumn id="47" xr3:uid="{887630E9-FAB3-4BC4-AE9D-DA08EE18BEE8}" name="8 - Remaining" dataDxfId="314" totalsRowDxfId="313">
      <calculatedColumnFormula array="1">Get_8_Calc</calculatedColumnFormula>
    </tableColumn>
    <tableColumn id="44" xr3:uid="{74DD3BDF-B83E-43E2-A24B-4F5846C78DBC}" name="8 - Deposit" dataDxfId="312" totalsRowDxfId="311">
      <calculatedColumnFormula array="1">Get_8_Add</calculatedColumnFormula>
    </tableColumn>
    <tableColumn id="45" xr3:uid="{F7703264-4D50-4502-8F6F-FB36B91EB021}" name="8 - Withdrawal" dataDxfId="310" totalsRowDxfId="309">
      <calculatedColumnFormula array="1">Get_8_Del</calculatedColumnFormula>
    </tableColumn>
    <tableColumn id="42" xr3:uid="{4E67C08C-7260-499F-B198-7B6E4192E472}" name="9 - Remaining" dataDxfId="308" totalsRowDxfId="307">
      <calculatedColumnFormula array="1">Get_9_Calc</calculatedColumnFormula>
    </tableColumn>
    <tableColumn id="43" xr3:uid="{7F9B0DDB-B0CF-4F25-BEAA-5F937B25BDE0}" name="9 - Deposit" dataDxfId="306" totalsRowDxfId="305">
      <calculatedColumnFormula array="1">Get_9_Add</calculatedColumnFormula>
    </tableColumn>
    <tableColumn id="40" xr3:uid="{3AA5B498-FA98-483A-A388-6B6F74476BFD}" name="9 - Withdrawal" dataDxfId="304" totalsRowDxfId="303">
      <calculatedColumnFormula array="1">Get_9_Del</calculatedColumnFormula>
    </tableColumn>
    <tableColumn id="41" xr3:uid="{82D58ED2-A190-4823-8868-5A26D45CD476}" name="10 - Remaining" dataDxfId="302" totalsRowDxfId="301">
      <calculatedColumnFormula array="1">Get_10_Calc</calculatedColumnFormula>
    </tableColumn>
    <tableColumn id="38" xr3:uid="{800CF74D-0283-4B1A-9909-EF49C70CBE94}" name="10 - Deposit" dataDxfId="300" totalsRowDxfId="299">
      <calculatedColumnFormula array="1">Get_10_Add</calculatedColumnFormula>
    </tableColumn>
    <tableColumn id="39" xr3:uid="{276FBA7A-AC3A-4E59-B8B1-B09B169E6837}" name="10 - Withdrawal" dataDxfId="298" totalsRowDxfId="297">
      <calculatedColumnFormula array="1">Get_10_Del</calculatedColumnFormula>
    </tableColumn>
    <tableColumn id="48" xr3:uid="{A7B9D79E-F38B-48CB-AEE5-E7B7F6EF5C2C}" name="11 - Remaining" dataDxfId="296" totalsRowDxfId="295">
      <calculatedColumnFormula array="1">Get_11_Calc</calculatedColumnFormula>
    </tableColumn>
    <tableColumn id="49" xr3:uid="{01CFCCAE-6F8F-4C1E-8FF6-6275897A542E}" name="11 - Deposit" dataDxfId="294" totalsRowDxfId="293">
      <calculatedColumnFormula array="1">Get_11_Add</calculatedColumnFormula>
    </tableColumn>
    <tableColumn id="14" xr3:uid="{27E31913-0377-43BF-8773-DF68330317BA}" name="11 - Withdrawal" dataDxfId="292" totalsRowDxfId="291">
      <calculatedColumnFormula array="1">Get_11_Del</calculatedColumnFormula>
    </tableColumn>
    <tableColumn id="51" xr3:uid="{5B85F460-5E62-4025-895D-56CA23340014}" name="12 - Remaining" dataDxfId="290" totalsRowDxfId="289">
      <calculatedColumnFormula array="1">Get_12_Calc</calculatedColumnFormula>
    </tableColumn>
    <tableColumn id="52" xr3:uid="{0EC70A7E-2DCB-4261-AA03-9B9BE1BAEC8F}" name="12 - Deposit" dataDxfId="288" totalsRowDxfId="287">
      <calculatedColumnFormula array="1">Get_12_Add</calculatedColumnFormula>
    </tableColumn>
    <tableColumn id="50" xr3:uid="{3EB42EAC-DC06-4CC0-A5A9-B7FE23DC5389}" name="12 - Withdrawal" dataDxfId="286" totalsRowDxfId="285">
      <calculatedColumnFormula array="1">Get_12_Del</calculatedColumnFormula>
    </tableColumn>
    <tableColumn id="65" xr3:uid="{EDF8FCAF-50EB-44D5-B6A9-3CD2A6E9AE1E}" name="13 - Remaining" dataDxfId="284" totalsRowDxfId="283">
      <calculatedColumnFormula array="1">Get_13_Calc</calculatedColumnFormula>
    </tableColumn>
    <tableColumn id="66" xr3:uid="{F5CC81DC-58D2-4192-A82D-389419FBEF0D}" name="13 - Deposit" dataDxfId="282" totalsRowDxfId="281">
      <calculatedColumnFormula array="1">Get_13_Add</calculatedColumnFormula>
    </tableColumn>
    <tableColumn id="67" xr3:uid="{CDD18276-7453-4E17-BA82-D9E26BD8811B}" name="13 - Withdrawal" dataDxfId="280" totalsRowDxfId="279">
      <calculatedColumnFormula array="1">Get_13_Del</calculatedColumnFormula>
    </tableColumn>
    <tableColumn id="62" xr3:uid="{68ACC17D-E3C3-4466-88A6-F2F14F757F76}" name="14 - Remaining" dataDxfId="278" totalsRowDxfId="277">
      <calculatedColumnFormula array="1">Get_14_Calc</calculatedColumnFormula>
    </tableColumn>
    <tableColumn id="63" xr3:uid="{0E0EE3C5-8F3C-4968-B0E6-50B1C2B616A8}" name="14 - Deposit" dataDxfId="276" totalsRowDxfId="275">
      <calculatedColumnFormula array="1">Get_14_Add</calculatedColumnFormula>
    </tableColumn>
    <tableColumn id="64" xr3:uid="{AD67C543-6A27-4C51-906F-D522151C0D92}" name="14 - Withdrawal" dataDxfId="274" totalsRowDxfId="273">
      <calculatedColumnFormula array="1">Get_14_Del</calculatedColumnFormula>
    </tableColumn>
    <tableColumn id="59" xr3:uid="{7CAE30DB-B183-4017-8A77-F435FA507A01}" name="15 - Remaining" dataDxfId="272" totalsRowDxfId="271">
      <calculatedColumnFormula array="1">Get_15_Calc</calculatedColumnFormula>
    </tableColumn>
    <tableColumn id="60" xr3:uid="{10EF06B0-FD95-42A9-BFCC-64BBC565CA14}" name="15 - Deposit" dataDxfId="270" totalsRowDxfId="269">
      <calculatedColumnFormula array="1">Get_15_Add</calculatedColumnFormula>
    </tableColumn>
    <tableColumn id="61" xr3:uid="{6301F8B4-4D01-4FDA-8D32-75921B15A2D9}" name="15 - Withdrawal" dataDxfId="268" totalsRowDxfId="267">
      <calculatedColumnFormula array="1">Get_15_Del</calculatedColumnFormula>
    </tableColumn>
    <tableColumn id="56" xr3:uid="{05F125DE-5AE7-4786-ACBC-DAF9D7222A62}" name="16 - Remaining" dataDxfId="266" totalsRowDxfId="265">
      <calculatedColumnFormula array="1">Get_16_Calc</calculatedColumnFormula>
    </tableColumn>
    <tableColumn id="57" xr3:uid="{7E6969DC-E3FC-4DA8-BB9D-6B36E075458F}" name="16 - Deposit" dataDxfId="264" totalsRowDxfId="263">
      <calculatedColumnFormula array="1">Get_16_Add</calculatedColumnFormula>
    </tableColumn>
    <tableColumn id="58" xr3:uid="{84C80CB2-57F5-4B66-8756-5573CD699D16}" name="16 - Withdrawal" dataDxfId="262" totalsRowDxfId="261">
      <calculatedColumnFormula array="1">Get_16_Del</calculatedColumnFormula>
    </tableColumn>
    <tableColumn id="53" xr3:uid="{65516705-AD27-4ECA-AF09-D132C51E08CE}" name="17 - Remaining" dataDxfId="260" totalsRowDxfId="259">
      <calculatedColumnFormula array="1">Get_17_Calc</calculatedColumnFormula>
    </tableColumn>
    <tableColumn id="54" xr3:uid="{0756DBD3-FDA1-4E71-849C-F20BBD0A5182}" name="17 - Deposit" dataDxfId="258" totalsRowDxfId="257">
      <calculatedColumnFormula array="1">Get_17_Add</calculatedColumnFormula>
    </tableColumn>
    <tableColumn id="55" xr3:uid="{51CB254C-5F29-4215-8FE0-F8B8B7B32759}" name="17 - Withdrawal" dataDxfId="256" totalsRowDxfId="255">
      <calculatedColumnFormula array="1">Get_17_Del</calculatedColumnFormula>
    </tableColumn>
    <tableColumn id="68" xr3:uid="{9C2EC294-A2C3-40B0-9E15-FFA1DA6DE0E7}" name="18 - Remaining" dataDxfId="254" totalsRowDxfId="253">
      <calculatedColumnFormula array="1">Get_18_Calc</calculatedColumnFormula>
    </tableColumn>
    <tableColumn id="69" xr3:uid="{A371F69D-1236-4AAC-B5F1-72D518D6FC69}" name="18 - Deposit" dataDxfId="252" totalsRowDxfId="251">
      <calculatedColumnFormula array="1">Get_18_Add</calculatedColumnFormula>
    </tableColumn>
    <tableColumn id="70" xr3:uid="{7B3C5D9B-BC0C-404F-9490-CDADC350F1D7}" name="18 - Withdrawal" dataDxfId="250" totalsRowDxfId="249">
      <calculatedColumnFormula array="1">Get_18_Del</calculatedColumnFormula>
    </tableColumn>
    <tableColumn id="19" xr3:uid="{91B42855-55D1-4A6A-B9A8-5EE011ADEB10}" name="19 - Remaining" dataDxfId="248" totalsRowDxfId="247">
      <calculatedColumnFormula array="1">Get_19_Calc</calculatedColumnFormula>
    </tableColumn>
    <tableColumn id="18" xr3:uid="{98EE3A39-A8AB-42CF-AEB5-291E8B95D8CA}" name="19 - Deposit" dataDxfId="246" totalsRowDxfId="245">
      <calculatedColumnFormula array="1">Get_19_Add</calculatedColumnFormula>
    </tableColumn>
    <tableColumn id="73" xr3:uid="{DB40D44F-8801-4D50-BA48-8323E05D2E13}" name="19 - Withdrawal" dataDxfId="244" totalsRowDxfId="243">
      <calculatedColumnFormula array="1">Get_19_Del</calculatedColumnFormula>
    </tableColumn>
    <tableColumn id="72" xr3:uid="{470D5EC3-31A6-4851-B48C-D6DDADACC807}" name="20 - Remaining" dataDxfId="242" totalsRowDxfId="241">
      <calculatedColumnFormula array="1">Get_20_Calc</calculatedColumnFormula>
    </tableColumn>
    <tableColumn id="71" xr3:uid="{39143051-B360-4CEF-883D-35BFEEAE3BA0}" name="20 - Deposit" dataDxfId="240" totalsRowDxfId="239">
      <calculatedColumnFormula array="1">Get_20_Add</calculatedColumnFormula>
    </tableColumn>
    <tableColumn id="15" xr3:uid="{8C1BB1E7-B23F-46EC-AE4E-28A3C394FD55}" name="20 - Withdrawal" dataDxfId="238" totalsRowDxfId="237">
      <calculatedColumnFormula array="1">Get_20_Del</calculatedColumnFormula>
    </tableColumn>
    <tableColumn id="102" xr3:uid="{F21D4D43-73EE-4C8A-8AEF-E424CE485010}" name="21 - Remaining" dataDxfId="236" totalsRowDxfId="235">
      <calculatedColumnFormula array="1">Get_21_Calc</calculatedColumnFormula>
    </tableColumn>
    <tableColumn id="103" xr3:uid="{4486E59C-66B0-413C-AFFC-A8A336BC25D8}" name="21 - Deposit" dataDxfId="234" totalsRowDxfId="233">
      <calculatedColumnFormula array="1">Get_21_Add</calculatedColumnFormula>
    </tableColumn>
    <tableColumn id="104" xr3:uid="{564EC857-6030-490D-A2E5-16F4F8221C23}" name="21 - Withdrawal" dataDxfId="232" totalsRowDxfId="231">
      <calculatedColumnFormula array="1">Get_21_Del</calculatedColumnFormula>
    </tableColumn>
    <tableColumn id="105" xr3:uid="{31132AB1-247A-4EB9-8A8A-871FED0D5AA1}" name="22 - Remaining" dataDxfId="230" totalsRowDxfId="229">
      <calculatedColumnFormula array="1">Get_22_Calc</calculatedColumnFormula>
    </tableColumn>
    <tableColumn id="98" xr3:uid="{CF6220B5-7B80-445C-A013-845D35543916}" name="22 - Deposit" dataDxfId="228" totalsRowDxfId="227">
      <calculatedColumnFormula array="1">Get_22_Add</calculatedColumnFormula>
    </tableColumn>
    <tableColumn id="99" xr3:uid="{98BD4691-C847-4F41-8E6C-BEC01B8FAEB3}" name="22 - Withdrawal" dataDxfId="226" totalsRowDxfId="225">
      <calculatedColumnFormula array="1">Get_22_Del</calculatedColumnFormula>
    </tableColumn>
    <tableColumn id="100" xr3:uid="{66330D4E-ED0D-41A7-921D-E622CA8068A4}" name="23 - Remaining" dataDxfId="224" totalsRowDxfId="223">
      <calculatedColumnFormula array="1">Get_23_Calc</calculatedColumnFormula>
    </tableColumn>
    <tableColumn id="101" xr3:uid="{3345E086-C2E9-453D-A0EB-A7471CF2ACB2}" name="23 - Deposit" dataDxfId="222" totalsRowDxfId="221">
      <calculatedColumnFormula array="1">Get_23_Add</calculatedColumnFormula>
    </tableColumn>
    <tableColumn id="94" xr3:uid="{8EF3E108-22A5-4CBC-9928-BC115EFE882A}" name="23 - Withdrawal" dataDxfId="220" totalsRowDxfId="219">
      <calculatedColumnFormula array="1">Get_23_Del</calculatedColumnFormula>
    </tableColumn>
    <tableColumn id="95" xr3:uid="{C6AA287C-2EA3-4286-A71D-29E22D519C41}" name="24 - Remaining" dataDxfId="218" totalsRowDxfId="217">
      <calculatedColumnFormula array="1">Get_24_Calc</calculatedColumnFormula>
    </tableColumn>
    <tableColumn id="96" xr3:uid="{1FDAF720-4143-496A-91C3-D65BD5CBA18F}" name="24 - Deposit" dataDxfId="216" totalsRowDxfId="215">
      <calculatedColumnFormula array="1">Get_24_Add</calculatedColumnFormula>
    </tableColumn>
    <tableColumn id="97" xr3:uid="{0CACBF11-449C-4C06-A249-904EB5517854}" name="24 - Withdrawal" dataDxfId="214" totalsRowDxfId="213">
      <calculatedColumnFormula array="1">Get_24_Del</calculatedColumnFormula>
    </tableColumn>
    <tableColumn id="90" xr3:uid="{11D36A45-02CB-476F-A2D2-734F76A2D1A6}" name="25 - Remaining" dataDxfId="212" totalsRowDxfId="211">
      <calculatedColumnFormula array="1">Get_25_Calc</calculatedColumnFormula>
    </tableColumn>
    <tableColumn id="91" xr3:uid="{8B60EC99-F04A-45EF-8F17-680319744A85}" name="25 - Deposit" dataDxfId="210" totalsRowDxfId="209">
      <calculatedColumnFormula array="1">Get_25_Add</calculatedColumnFormula>
    </tableColumn>
    <tableColumn id="92" xr3:uid="{AD05D88D-F2C1-4505-9BBD-FDC0B2D388F3}" name="25 - Withdrawal" dataDxfId="208" totalsRowDxfId="207">
      <calculatedColumnFormula array="1">Get_25_Del</calculatedColumnFormula>
    </tableColumn>
    <tableColumn id="93" xr3:uid="{F7CB76E9-97CE-4CC8-AEDA-CB574593A924}" name="26 - Remaining" dataDxfId="206" totalsRowDxfId="205">
      <calculatedColumnFormula array="1">Get_26_Calc</calculatedColumnFormula>
    </tableColumn>
    <tableColumn id="86" xr3:uid="{6D74E673-FBC5-435E-9229-8C187E67EA3F}" name="26 - Deposit" dataDxfId="204" totalsRowDxfId="203">
      <calculatedColumnFormula array="1">Get_26_Add</calculatedColumnFormula>
    </tableColumn>
    <tableColumn id="87" xr3:uid="{C2C28027-A1CD-440D-BB33-3A80FCC5A8C1}" name="26 - Withdrawal" dataDxfId="202" totalsRowDxfId="201">
      <calculatedColumnFormula array="1">Get_26_Del</calculatedColumnFormula>
    </tableColumn>
    <tableColumn id="88" xr3:uid="{070B4F15-D610-4FCF-B681-42E984B3F85F}" name="27 - Remaining" dataDxfId="200" totalsRowDxfId="199">
      <calculatedColumnFormula array="1">Get_27_Calc</calculatedColumnFormula>
    </tableColumn>
    <tableColumn id="89" xr3:uid="{04BA09B0-47DA-4E80-BEEC-AB8498C074D5}" name="27 - Deposit" dataDxfId="198" totalsRowDxfId="197">
      <calculatedColumnFormula array="1">Get_27_Add</calculatedColumnFormula>
    </tableColumn>
    <tableColumn id="82" xr3:uid="{17B1B927-AD09-4E4A-B7FC-33ED76279CBC}" name="27 - Withdrawal" dataDxfId="196" totalsRowDxfId="195">
      <calculatedColumnFormula array="1">Get_27_Del</calculatedColumnFormula>
    </tableColumn>
    <tableColumn id="83" xr3:uid="{2F4ED0A5-EE6B-4248-832C-F478A57FA0D5}" name="28 - Remaining" dataDxfId="194" totalsRowDxfId="193">
      <calculatedColumnFormula array="1">Get_28_Calc</calculatedColumnFormula>
    </tableColumn>
    <tableColumn id="84" xr3:uid="{D1140375-114D-49D9-A424-519A4250A622}" name="28 - Deposit" dataDxfId="192" totalsRowDxfId="191">
      <calculatedColumnFormula array="1">Get_28_Add</calculatedColumnFormula>
    </tableColumn>
    <tableColumn id="85" xr3:uid="{53209986-74FA-491C-8499-CAD58386B246}" name="28 - Withdrawal" dataDxfId="190" totalsRowDxfId="189">
      <calculatedColumnFormula array="1">Get_28_Del</calculatedColumnFormula>
    </tableColumn>
    <tableColumn id="78" xr3:uid="{9B1695E1-88D0-4B66-86DA-6328CEFA236B}" name="29 - Remaining" dataDxfId="188" totalsRowDxfId="187">
      <calculatedColumnFormula array="1">Get_29_Calc</calculatedColumnFormula>
    </tableColumn>
    <tableColumn id="79" xr3:uid="{AD5F07E7-774D-47C8-B9B7-0278E35D62E4}" name="29 - Deposit" dataDxfId="186" totalsRowDxfId="185">
      <calculatedColumnFormula array="1">Get_29_Add</calculatedColumnFormula>
    </tableColumn>
    <tableColumn id="80" xr3:uid="{60613223-E2AD-4FE8-AB22-74D7D70E9EC2}" name="29 - Withdrawal" dataDxfId="184" totalsRowDxfId="183">
      <calculatedColumnFormula array="1">Get_29_Del</calculatedColumnFormula>
    </tableColumn>
    <tableColumn id="81" xr3:uid="{598D87C2-40FF-4EB0-A568-2DE01DFD9C9A}" name="30 - Remaining" dataDxfId="182" totalsRowDxfId="181">
      <calculatedColumnFormula array="1">Get_30_Calc</calculatedColumnFormula>
    </tableColumn>
    <tableColumn id="112" xr3:uid="{A33BC1F0-D006-4639-92C6-0E411B6CA96D}" name="30 - Deposit" dataDxfId="180" totalsRowDxfId="179">
      <calculatedColumnFormula array="1">Get_30_Add</calculatedColumnFormula>
    </tableColumn>
    <tableColumn id="113" xr3:uid="{AF7F8313-8446-4886-AE41-FE26C24E6965}" name="30 - Withdrawal" dataDxfId="178" totalsRowDxfId="177">
      <calculatedColumnFormula array="1">Get_30_Del</calculatedColumnFormula>
    </tableColumn>
    <tableColumn id="114" xr3:uid="{32AC448A-1D9F-45C6-ADF0-484483D61305}" name="31 - Remaining" dataDxfId="176" totalsRowDxfId="175">
      <calculatedColumnFormula array="1">Get_31_Calc</calculatedColumnFormula>
    </tableColumn>
    <tableColumn id="109" xr3:uid="{6656E887-BCA1-45C6-9018-4F892EDCD6BD}" name="31 - Deposit" dataDxfId="174" totalsRowDxfId="173">
      <calculatedColumnFormula array="1">Get_31_Add</calculatedColumnFormula>
    </tableColumn>
    <tableColumn id="110" xr3:uid="{19143AD3-AFEC-4767-B097-6EFED19C1D5F}" name="31 - Withdrawal" dataDxfId="172" totalsRowDxfId="171">
      <calculatedColumnFormula array="1">Get_31_Del</calculatedColumnFormula>
    </tableColumn>
    <tableColumn id="111" xr3:uid="{A73390AD-84AD-4B11-962F-A0DD77AF79DB}" name="32 - Remaining" dataDxfId="170" totalsRowDxfId="169">
      <calculatedColumnFormula array="1">Get_32_Calc</calculatedColumnFormula>
    </tableColumn>
    <tableColumn id="106" xr3:uid="{CD563433-AB70-48C2-B28C-D63B8FE4231B}" name="32 - Deposit" dataDxfId="168" totalsRowDxfId="167">
      <calculatedColumnFormula array="1">Get_32_Add</calculatedColumnFormula>
    </tableColumn>
    <tableColumn id="107" xr3:uid="{8C2B9726-7B44-4012-849B-90C10E42CC75}" name="32 - Withdrawal" dataDxfId="166" totalsRowDxfId="165">
      <calculatedColumnFormula array="1">Get_32_Del</calculatedColumnFormula>
    </tableColumn>
    <tableColumn id="108" xr3:uid="{E5AF4544-102C-474F-A246-CC7171B33738}" name="33 - Remaining" dataDxfId="164" totalsRowDxfId="163">
      <calculatedColumnFormula array="1">Get_33_Calc</calculatedColumnFormula>
    </tableColumn>
    <tableColumn id="121" xr3:uid="{C1F5D498-1262-44DF-B066-1A676148E301}" name="33 - Deposit" dataDxfId="162" totalsRowDxfId="161">
      <calculatedColumnFormula array="1">Get_33_Add</calculatedColumnFormula>
    </tableColumn>
    <tableColumn id="122" xr3:uid="{2F6821D0-F42C-4DED-A045-B1C398C90F61}" name="33 - Withdrawal" dataDxfId="160" totalsRowDxfId="159">
      <calculatedColumnFormula array="1">Get_33_Del</calculatedColumnFormula>
    </tableColumn>
    <tableColumn id="123" xr3:uid="{DDEBD9FE-7A2F-41FF-9BD6-93F0E3570136}" name="34 - Remaining" dataDxfId="158" totalsRowDxfId="157">
      <calculatedColumnFormula array="1">Get_34_Calc</calculatedColumnFormula>
    </tableColumn>
    <tableColumn id="118" xr3:uid="{DEAF0FA5-8ADE-45D7-B112-EA03FAA0D896}" name="34 - Deposit" dataDxfId="156" totalsRowDxfId="155">
      <calculatedColumnFormula array="1">Get_34_Add</calculatedColumnFormula>
    </tableColumn>
    <tableColumn id="119" xr3:uid="{C95831F4-24FC-40B7-A0D8-FEBAAA6EAD80}" name="34 - Withdrawal" dataDxfId="154" totalsRowDxfId="153">
      <calculatedColumnFormula array="1">Get_34_Del</calculatedColumnFormula>
    </tableColumn>
    <tableColumn id="120" xr3:uid="{8C22D30B-320F-49E4-B37A-57A3D5DEE429}" name="35 - Remaining" dataDxfId="152" totalsRowDxfId="151">
      <calculatedColumnFormula array="1">Get_35_Calc</calculatedColumnFormula>
    </tableColumn>
    <tableColumn id="115" xr3:uid="{DC9FF648-80A3-480C-8295-816AE96549F0}" name="35 - Deposit" dataDxfId="150" totalsRowDxfId="149">
      <calculatedColumnFormula array="1">Get_35_Add</calculatedColumnFormula>
    </tableColumn>
    <tableColumn id="116" xr3:uid="{19FD796A-C39B-4913-B2F4-CF8C8A6E2355}" name="35 - Withdrawal" dataDxfId="148" totalsRowDxfId="147">
      <calculatedColumnFormula array="1">Get_35_Del</calculatedColumnFormula>
    </tableColumn>
    <tableColumn id="117" xr3:uid="{329AC6EB-CF46-4F1E-A1D1-49A8B17CACCD}" name="36 - Remaining" dataDxfId="146" totalsRowDxfId="145">
      <calculatedColumnFormula array="1">Get_36_Calc</calculatedColumnFormula>
    </tableColumn>
    <tableColumn id="77" xr3:uid="{D18373BA-DB75-470C-9939-60206C36267B}" name="36 - Deposit" dataDxfId="144" totalsRowDxfId="143">
      <calculatedColumnFormula array="1">Get_36_Add</calculatedColumnFormula>
    </tableColumn>
    <tableColumn id="76" xr3:uid="{8C923C1F-8AAD-4F00-B3ED-8C81417C548A}" name="36 - Withdrawal" dataDxfId="142" totalsRowDxfId="141">
      <calculatedColumnFormula array="1">Get_36_Del</calculatedColumnFormula>
    </tableColumn>
    <tableColumn id="132" xr3:uid="{F6203D74-C033-4FEA-B4CE-F892F2B07270}" name="37 - Remaining" dataDxfId="140" totalsRowDxfId="139">
      <calculatedColumnFormula array="1">Get_37_Calc</calculatedColumnFormula>
    </tableColumn>
    <tableColumn id="133" xr3:uid="{BA7DE93C-8EE4-4DDC-BC04-EC21986490A7}" name="37 - Deposit" dataDxfId="138" totalsRowDxfId="137">
      <calculatedColumnFormula array="1">Get_37_Add</calculatedColumnFormula>
    </tableColumn>
    <tableColumn id="128" xr3:uid="{A2AB67E7-67E5-4957-9EB1-A4A37B61C71A}" name="37 - Withdrawal" dataDxfId="136" totalsRowDxfId="135">
      <calculatedColumnFormula array="1">Get_37_Del</calculatedColumnFormula>
    </tableColumn>
    <tableColumn id="129" xr3:uid="{15573BDA-20F9-4C2F-9D6F-18F743FC6E25}" name="38 - Remaining" dataDxfId="134" totalsRowDxfId="133">
      <calculatedColumnFormula array="1">Get_38_Calc</calculatedColumnFormula>
    </tableColumn>
    <tableColumn id="130" xr3:uid="{C0F229CF-C5D6-4F11-8F55-7692B00DC0E3}" name="38 - Deposit" dataDxfId="132" totalsRowDxfId="131">
      <calculatedColumnFormula array="1">Get_38_Add</calculatedColumnFormula>
    </tableColumn>
    <tableColumn id="125" xr3:uid="{24A0AFA6-873B-40D0-95AA-269E0E8A05E1}" name="38 - Withdrawal" dataDxfId="130" totalsRowDxfId="129">
      <calculatedColumnFormula array="1">Get_38_Del</calculatedColumnFormula>
    </tableColumn>
    <tableColumn id="126" xr3:uid="{20897FAE-D3FE-48DD-961E-6A6443173FA9}" name="39 - Remaining" dataDxfId="128" totalsRowDxfId="127">
      <calculatedColumnFormula array="1">Get_39_Calc</calculatedColumnFormula>
    </tableColumn>
    <tableColumn id="127" xr3:uid="{35F30295-EDB2-4D7F-939D-DFAC52BB2A9F}" name="39 - Deposit" dataDxfId="126" totalsRowDxfId="125">
      <calculatedColumnFormula array="1">Get_39_Add</calculatedColumnFormula>
    </tableColumn>
    <tableColumn id="124" xr3:uid="{AF953A41-E1B0-4337-8A8E-F951C493EDE8}" name="39 - Withdrawal" dataDxfId="124" totalsRowDxfId="123">
      <calculatedColumnFormula array="1">Get_39_Del</calculatedColumnFormula>
    </tableColumn>
    <tableColumn id="75" xr3:uid="{07F02D24-5D96-40AE-BCE0-590F79C6D5DF}" name="40 - Remaining" dataDxfId="122" totalsRowDxfId="121">
      <calculatedColumnFormula array="1">Get_40_Calc</calculatedColumnFormula>
    </tableColumn>
    <tableColumn id="134" xr3:uid="{1075256E-BEBC-4E72-B0F5-766EF175AB4B}" name="40 - Deposit" dataDxfId="120" totalsRowDxfId="119">
      <calculatedColumnFormula array="1">Get_40_Add</calculatedColumnFormula>
    </tableColumn>
    <tableColumn id="74" xr3:uid="{DAFDE2C6-F321-4651-AA25-F4B29B9F690B}" name="40 - Withdrawal" dataDxfId="118" totalsRowDxfId="117">
      <calculatedColumnFormula array="1">Get_40_Del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4" customWidth="1"/>
    <col min="3" max="3" width="5.69140625" style="114" customWidth="1"/>
    <col min="4" max="4" width="20.69140625" style="114" customWidth="1"/>
    <col min="5" max="5" width="9.15234375" style="148" customWidth="1"/>
    <col min="6" max="14" width="9.15234375" style="114" customWidth="1"/>
    <col min="15" max="16" width="2.69140625" style="114" customWidth="1"/>
    <col min="17" max="17" width="0" style="114" hidden="1" customWidth="1"/>
    <col min="18" max="16384" width="9.15234375" style="114" hidden="1"/>
  </cols>
  <sheetData>
    <row r="1" spans="1:16" s="65" customFormat="1" ht="6" customHeight="1" x14ac:dyDescent="0.4">
      <c r="E1" s="143"/>
    </row>
    <row r="2" spans="1:16" s="102" customFormat="1" ht="10" customHeight="1" x14ac:dyDescent="0.4">
      <c r="E2" s="144"/>
    </row>
    <row r="3" spans="1:16" s="53" customFormat="1" ht="40" customHeight="1" x14ac:dyDescent="0.5">
      <c r="A3" s="145"/>
      <c r="B3" s="145"/>
      <c r="C3" s="145"/>
      <c r="D3" s="4" t="s">
        <v>48</v>
      </c>
      <c r="E3" s="146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</row>
    <row r="4" spans="1:16" s="53" customFormat="1" ht="8.15" customHeight="1" x14ac:dyDescent="0.4">
      <c r="A4" s="145"/>
      <c r="B4" s="145"/>
      <c r="C4" s="145"/>
      <c r="D4" s="147"/>
      <c r="E4" s="146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</row>
    <row r="5" spans="1:16" s="53" customFormat="1" ht="40" customHeight="1" x14ac:dyDescent="0.4">
      <c r="A5" s="145"/>
      <c r="B5" s="145"/>
      <c r="C5" s="145"/>
      <c r="D5" s="167" t="s">
        <v>49</v>
      </c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45"/>
    </row>
    <row r="6" spans="1:16" ht="16.5" customHeight="1" x14ac:dyDescent="0.4"/>
    <row r="7" spans="1:16" ht="8.15" customHeight="1" x14ac:dyDescent="0.4">
      <c r="B7" s="53"/>
      <c r="C7" s="53"/>
      <c r="D7" s="53"/>
      <c r="E7" s="149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16" ht="35.15" customHeight="1" thickBot="1" x14ac:dyDescent="0.45">
      <c r="B8" s="53"/>
      <c r="C8" s="150"/>
      <c r="D8" s="151" t="s">
        <v>50</v>
      </c>
      <c r="E8" s="151"/>
      <c r="F8" s="151"/>
      <c r="G8" s="150"/>
      <c r="H8" s="150"/>
      <c r="I8" s="150"/>
      <c r="J8" s="150"/>
      <c r="K8" s="150"/>
      <c r="L8" s="150"/>
      <c r="M8" s="150"/>
      <c r="N8" s="150"/>
      <c r="O8" s="53"/>
    </row>
    <row r="9" spans="1:16" ht="50.15" customHeight="1" thickTop="1" x14ac:dyDescent="0.4">
      <c r="B9" s="53"/>
      <c r="C9" s="53">
        <v>1</v>
      </c>
      <c r="D9" s="168" t="s">
        <v>51</v>
      </c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53"/>
    </row>
    <row r="10" spans="1:16" ht="50.15" customHeight="1" x14ac:dyDescent="0.4">
      <c r="B10" s="53"/>
      <c r="C10" s="53">
        <v>1</v>
      </c>
      <c r="D10" s="169" t="s">
        <v>52</v>
      </c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53"/>
    </row>
    <row r="11" spans="1:16" ht="35.15" customHeight="1" x14ac:dyDescent="0.4">
      <c r="B11" s="53"/>
      <c r="C11" s="53">
        <v>1</v>
      </c>
      <c r="D11" s="169" t="s">
        <v>53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53"/>
    </row>
    <row r="12" spans="1:16" ht="35.15" customHeight="1" x14ac:dyDescent="0.4">
      <c r="B12" s="53"/>
      <c r="C12" s="53">
        <v>-1</v>
      </c>
      <c r="D12" s="169" t="s">
        <v>54</v>
      </c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53"/>
    </row>
    <row r="13" spans="1:16" ht="35.15" customHeight="1" x14ac:dyDescent="0.4">
      <c r="B13" s="53"/>
      <c r="C13" s="53"/>
      <c r="D13" s="152"/>
      <c r="E13" s="149"/>
      <c r="F13" s="149"/>
      <c r="G13" s="53"/>
      <c r="H13" s="53"/>
      <c r="I13" s="53"/>
      <c r="J13" s="53"/>
      <c r="K13" s="53"/>
      <c r="L13" s="53"/>
      <c r="M13" s="53"/>
      <c r="N13" s="53"/>
      <c r="O13" s="53"/>
    </row>
    <row r="14" spans="1:16" ht="35.15" customHeight="1" thickBot="1" x14ac:dyDescent="0.45">
      <c r="B14" s="53"/>
      <c r="C14" s="150"/>
      <c r="D14" s="151" t="s">
        <v>55</v>
      </c>
      <c r="E14" s="151"/>
      <c r="F14" s="150"/>
      <c r="G14" s="150"/>
      <c r="H14" s="150"/>
      <c r="I14" s="150"/>
      <c r="J14" s="150"/>
      <c r="K14" s="150"/>
      <c r="L14" s="150"/>
      <c r="M14" s="150"/>
      <c r="N14" s="150"/>
      <c r="O14" s="53"/>
    </row>
    <row r="15" spans="1:16" ht="35.15" customHeight="1" thickTop="1" x14ac:dyDescent="0.4">
      <c r="B15" s="53"/>
      <c r="C15" s="53">
        <v>1</v>
      </c>
      <c r="D15" s="53" t="s">
        <v>260</v>
      </c>
      <c r="E15" s="170" t="s">
        <v>56</v>
      </c>
      <c r="F15" s="170"/>
      <c r="G15" s="170"/>
      <c r="H15" s="170"/>
      <c r="I15" s="170"/>
      <c r="J15" s="170"/>
      <c r="K15" s="170"/>
      <c r="L15" s="170"/>
      <c r="M15" s="170"/>
      <c r="N15" s="170"/>
      <c r="O15" s="53"/>
    </row>
    <row r="16" spans="1:16" ht="35.15" customHeight="1" x14ac:dyDescent="0.4">
      <c r="B16" s="53"/>
      <c r="C16" s="53"/>
      <c r="D16" s="53"/>
      <c r="E16" s="166" t="s">
        <v>57</v>
      </c>
      <c r="F16" s="166"/>
      <c r="G16" s="166"/>
      <c r="H16" s="166"/>
      <c r="I16" s="166"/>
      <c r="J16" s="166"/>
      <c r="K16" s="166"/>
      <c r="L16" s="166"/>
      <c r="M16" s="166"/>
      <c r="N16" s="166"/>
      <c r="O16" s="53"/>
    </row>
    <row r="17" spans="2:15" ht="35.15" customHeight="1" x14ac:dyDescent="0.4">
      <c r="B17" s="53"/>
      <c r="C17" s="53"/>
      <c r="D17" s="53"/>
      <c r="E17" s="166" t="s">
        <v>58</v>
      </c>
      <c r="F17" s="166"/>
      <c r="G17" s="166"/>
      <c r="H17" s="166"/>
      <c r="I17" s="166"/>
      <c r="J17" s="166"/>
      <c r="K17" s="166"/>
      <c r="L17" s="166"/>
      <c r="M17" s="166"/>
      <c r="N17" s="166"/>
      <c r="O17" s="53"/>
    </row>
    <row r="18" spans="2:15" ht="15" customHeight="1" x14ac:dyDescent="0.4">
      <c r="B18" s="53"/>
      <c r="C18" s="53"/>
      <c r="D18" s="53"/>
      <c r="E18" s="153"/>
      <c r="F18" s="53"/>
      <c r="G18" s="53"/>
      <c r="H18" s="53"/>
      <c r="I18" s="53"/>
      <c r="J18" s="53"/>
      <c r="K18" s="53"/>
      <c r="L18" s="53"/>
      <c r="M18" s="53"/>
      <c r="N18" s="53"/>
      <c r="O18" s="53"/>
    </row>
    <row r="19" spans="2:15" ht="50.15" customHeight="1" x14ac:dyDescent="0.4">
      <c r="B19" s="53"/>
      <c r="C19" s="53">
        <v>1</v>
      </c>
      <c r="D19" s="123" t="s">
        <v>311</v>
      </c>
      <c r="E19" s="166" t="s">
        <v>59</v>
      </c>
      <c r="F19" s="166"/>
      <c r="G19" s="166"/>
      <c r="H19" s="166"/>
      <c r="I19" s="166"/>
      <c r="J19" s="166"/>
      <c r="K19" s="166"/>
      <c r="L19" s="166"/>
      <c r="M19" s="166"/>
      <c r="N19" s="166"/>
      <c r="O19" s="53"/>
    </row>
    <row r="20" spans="2:15" ht="49.5" customHeight="1" x14ac:dyDescent="0.4">
      <c r="B20" s="53"/>
      <c r="C20" s="53"/>
      <c r="D20" s="53"/>
      <c r="E20" s="166" t="s">
        <v>60</v>
      </c>
      <c r="F20" s="166"/>
      <c r="G20" s="166"/>
      <c r="H20" s="166"/>
      <c r="I20" s="166"/>
      <c r="J20" s="166"/>
      <c r="K20" s="166"/>
      <c r="L20" s="166"/>
      <c r="M20" s="166"/>
      <c r="N20" s="166"/>
      <c r="O20" s="53"/>
    </row>
    <row r="21" spans="2:15" ht="50.15" customHeight="1" x14ac:dyDescent="0.4">
      <c r="B21" s="53"/>
      <c r="C21" s="53"/>
      <c r="D21" s="53"/>
      <c r="E21" s="166" t="s">
        <v>61</v>
      </c>
      <c r="F21" s="166"/>
      <c r="G21" s="166"/>
      <c r="H21" s="166"/>
      <c r="I21" s="166"/>
      <c r="J21" s="166"/>
      <c r="K21" s="166"/>
      <c r="L21" s="166"/>
      <c r="M21" s="166"/>
      <c r="N21" s="166"/>
      <c r="O21" s="53"/>
    </row>
    <row r="22" spans="2:15" ht="15" customHeight="1" x14ac:dyDescent="0.4">
      <c r="B22" s="53"/>
      <c r="C22" s="53"/>
      <c r="D22" s="53"/>
      <c r="E22" s="153"/>
      <c r="F22" s="53"/>
      <c r="G22" s="53"/>
      <c r="H22" s="53"/>
      <c r="I22" s="53"/>
      <c r="J22" s="53"/>
      <c r="K22" s="53"/>
      <c r="L22" s="53"/>
      <c r="M22" s="53"/>
      <c r="N22" s="53"/>
      <c r="O22" s="53"/>
    </row>
    <row r="23" spans="2:15" ht="50.15" customHeight="1" x14ac:dyDescent="0.4">
      <c r="B23" s="53"/>
      <c r="C23" s="53">
        <v>1</v>
      </c>
      <c r="D23" s="53" t="s">
        <v>62</v>
      </c>
      <c r="E23" s="166" t="s">
        <v>65</v>
      </c>
      <c r="F23" s="166"/>
      <c r="G23" s="166"/>
      <c r="H23" s="166"/>
      <c r="I23" s="166"/>
      <c r="J23" s="166"/>
      <c r="K23" s="166"/>
      <c r="L23" s="166"/>
      <c r="M23" s="166"/>
      <c r="N23" s="166"/>
      <c r="O23" s="53"/>
    </row>
    <row r="24" spans="2:15" ht="35.15" customHeight="1" x14ac:dyDescent="0.4">
      <c r="B24" s="53"/>
      <c r="C24" s="53">
        <v>1</v>
      </c>
      <c r="D24" s="53" t="s">
        <v>63</v>
      </c>
      <c r="E24" s="153" t="s">
        <v>66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</row>
    <row r="25" spans="2:15" ht="35.15" customHeight="1" x14ac:dyDescent="0.4">
      <c r="B25" s="53"/>
      <c r="C25" s="53">
        <v>1</v>
      </c>
      <c r="D25" s="53" t="s">
        <v>64</v>
      </c>
      <c r="E25" s="154">
        <v>1</v>
      </c>
      <c r="F25" s="155" t="s">
        <v>67</v>
      </c>
      <c r="G25" s="53"/>
      <c r="H25" s="154">
        <v>1</v>
      </c>
      <c r="I25" s="155" t="s">
        <v>70</v>
      </c>
      <c r="J25" s="53"/>
      <c r="K25" s="53"/>
      <c r="L25" s="53"/>
      <c r="M25" s="53"/>
      <c r="N25" s="53"/>
      <c r="O25" s="53"/>
    </row>
    <row r="26" spans="2:15" ht="35.15" customHeight="1" x14ac:dyDescent="0.4">
      <c r="B26" s="53"/>
      <c r="C26" s="53"/>
      <c r="D26" s="53"/>
      <c r="E26" s="154">
        <v>0</v>
      </c>
      <c r="F26" s="155" t="s">
        <v>68</v>
      </c>
      <c r="G26" s="53"/>
      <c r="H26" s="154">
        <v>-0.01</v>
      </c>
      <c r="I26" s="155" t="s">
        <v>71</v>
      </c>
      <c r="J26" s="53"/>
      <c r="K26" s="53"/>
      <c r="L26" s="53"/>
      <c r="M26" s="53"/>
      <c r="N26" s="53"/>
      <c r="O26" s="53"/>
    </row>
    <row r="27" spans="2:15" ht="35.15" customHeight="1" x14ac:dyDescent="0.4">
      <c r="B27" s="53"/>
      <c r="C27" s="53"/>
      <c r="D27" s="53"/>
      <c r="E27" s="154">
        <v>-0.01</v>
      </c>
      <c r="F27" s="155" t="s">
        <v>69</v>
      </c>
      <c r="G27" s="53"/>
      <c r="H27" s="154"/>
      <c r="I27" s="156"/>
      <c r="J27" s="53"/>
      <c r="K27" s="53"/>
      <c r="L27" s="53"/>
      <c r="M27" s="53"/>
      <c r="N27" s="53"/>
      <c r="O27" s="53"/>
    </row>
    <row r="28" spans="2:15" ht="35.15" customHeight="1" x14ac:dyDescent="0.4">
      <c r="B28" s="53"/>
      <c r="C28" s="53"/>
      <c r="D28" s="53"/>
      <c r="E28" s="149"/>
      <c r="F28" s="155"/>
      <c r="G28" s="53"/>
      <c r="H28" s="154"/>
      <c r="I28" s="156"/>
      <c r="J28" s="53"/>
      <c r="K28" s="53"/>
      <c r="L28" s="53"/>
      <c r="M28" s="53"/>
      <c r="N28" s="53"/>
      <c r="O28" s="53"/>
    </row>
    <row r="29" spans="2:15" ht="35.15" customHeight="1" thickBot="1" x14ac:dyDescent="0.45">
      <c r="B29" s="53"/>
      <c r="C29" s="150">
        <v>1</v>
      </c>
      <c r="D29" s="157" t="s">
        <v>72</v>
      </c>
      <c r="E29" s="151"/>
      <c r="F29" s="150"/>
      <c r="G29" s="150"/>
      <c r="H29" s="150"/>
      <c r="I29" s="150"/>
      <c r="J29" s="150"/>
      <c r="K29" s="150"/>
      <c r="L29" s="150"/>
      <c r="M29" s="150"/>
      <c r="N29" s="150"/>
      <c r="O29" s="53"/>
    </row>
    <row r="30" spans="2:15" ht="50.15" customHeight="1" thickTop="1" x14ac:dyDescent="0.4">
      <c r="B30" s="53"/>
      <c r="C30" s="53">
        <v>1</v>
      </c>
      <c r="D30" s="53" t="s">
        <v>261</v>
      </c>
      <c r="E30" s="170" t="s">
        <v>73</v>
      </c>
      <c r="F30" s="170"/>
      <c r="G30" s="170"/>
      <c r="H30" s="170"/>
      <c r="I30" s="170"/>
      <c r="J30" s="170"/>
      <c r="K30" s="170"/>
      <c r="L30" s="170"/>
      <c r="M30" s="170"/>
      <c r="N30" s="170"/>
      <c r="O30" s="53"/>
    </row>
    <row r="31" spans="2:15" ht="35.15" customHeight="1" x14ac:dyDescent="0.4">
      <c r="B31" s="53"/>
      <c r="C31" s="53"/>
      <c r="D31" s="53"/>
      <c r="E31" s="153" t="s">
        <v>74</v>
      </c>
      <c r="F31" s="149"/>
      <c r="G31" s="149"/>
      <c r="H31" s="149"/>
      <c r="I31" s="149"/>
      <c r="J31" s="149"/>
      <c r="K31" s="149"/>
      <c r="L31" s="149"/>
      <c r="M31" s="149"/>
      <c r="N31" s="149"/>
      <c r="O31" s="53"/>
    </row>
    <row r="32" spans="2:15" ht="15" customHeight="1" x14ac:dyDescent="0.4">
      <c r="B32" s="53"/>
      <c r="C32" s="53"/>
      <c r="D32" s="53"/>
      <c r="E32" s="153"/>
      <c r="F32" s="149"/>
      <c r="G32" s="149"/>
      <c r="H32" s="149"/>
      <c r="I32" s="149"/>
      <c r="J32" s="149"/>
      <c r="K32" s="149"/>
      <c r="L32" s="149"/>
      <c r="M32" s="149"/>
      <c r="N32" s="149"/>
      <c r="O32" s="53"/>
    </row>
    <row r="33" spans="2:15" ht="35.15" customHeight="1" x14ac:dyDescent="0.4">
      <c r="B33" s="53"/>
      <c r="C33" s="53">
        <v>1</v>
      </c>
      <c r="D33" s="53" t="s">
        <v>262</v>
      </c>
      <c r="E33" s="166" t="s">
        <v>75</v>
      </c>
      <c r="F33" s="166"/>
      <c r="G33" s="166"/>
      <c r="H33" s="166"/>
      <c r="I33" s="166"/>
      <c r="J33" s="166"/>
      <c r="K33" s="166"/>
      <c r="L33" s="166"/>
      <c r="M33" s="166"/>
      <c r="N33" s="166"/>
      <c r="O33" s="53"/>
    </row>
    <row r="34" spans="2:15" ht="35.15" customHeight="1" x14ac:dyDescent="0.4">
      <c r="B34" s="53"/>
      <c r="C34" s="53"/>
      <c r="D34" s="53"/>
      <c r="E34" s="153" t="s">
        <v>76</v>
      </c>
      <c r="F34" s="149"/>
      <c r="G34" s="149"/>
      <c r="H34" s="149"/>
      <c r="I34" s="149"/>
      <c r="J34" s="149"/>
      <c r="K34" s="149"/>
      <c r="L34" s="149"/>
      <c r="M34" s="149"/>
      <c r="N34" s="149"/>
      <c r="O34" s="53"/>
    </row>
    <row r="35" spans="2:15" ht="35.15" customHeight="1" x14ac:dyDescent="0.4">
      <c r="B35" s="53"/>
      <c r="C35" s="53"/>
      <c r="D35" s="53"/>
      <c r="E35" s="153" t="s">
        <v>77</v>
      </c>
      <c r="F35" s="149"/>
      <c r="G35" s="149"/>
      <c r="H35" s="149"/>
      <c r="I35" s="149"/>
      <c r="J35" s="149"/>
      <c r="K35" s="149"/>
      <c r="L35" s="149"/>
      <c r="M35" s="149"/>
      <c r="N35" s="149"/>
      <c r="O35" s="53"/>
    </row>
    <row r="36" spans="2:15" ht="15" customHeight="1" x14ac:dyDescent="0.4">
      <c r="B36" s="53"/>
      <c r="C36" s="53"/>
      <c r="D36" s="53"/>
      <c r="E36" s="153"/>
      <c r="F36" s="53"/>
      <c r="G36" s="53"/>
      <c r="H36" s="53"/>
      <c r="I36" s="53"/>
      <c r="J36" s="53"/>
      <c r="K36" s="53"/>
      <c r="L36" s="53"/>
      <c r="M36" s="53"/>
      <c r="N36" s="53"/>
      <c r="O36" s="53"/>
    </row>
    <row r="37" spans="2:15" ht="50.15" customHeight="1" x14ac:dyDescent="0.4">
      <c r="B37" s="53"/>
      <c r="C37" s="53">
        <v>1</v>
      </c>
      <c r="D37" s="53" t="s">
        <v>249</v>
      </c>
      <c r="E37" s="166" t="s">
        <v>78</v>
      </c>
      <c r="F37" s="166"/>
      <c r="G37" s="166"/>
      <c r="H37" s="166"/>
      <c r="I37" s="166"/>
      <c r="J37" s="166"/>
      <c r="K37" s="166"/>
      <c r="L37" s="166"/>
      <c r="M37" s="166"/>
      <c r="N37" s="166"/>
      <c r="O37" s="53"/>
    </row>
    <row r="38" spans="2:15" ht="35.15" customHeight="1" x14ac:dyDescent="0.4">
      <c r="B38" s="53"/>
      <c r="C38" s="53"/>
      <c r="D38" s="53"/>
      <c r="E38" s="166" t="s">
        <v>79</v>
      </c>
      <c r="F38" s="166"/>
      <c r="G38" s="166"/>
      <c r="H38" s="166"/>
      <c r="I38" s="166"/>
      <c r="J38" s="166"/>
      <c r="K38" s="166"/>
      <c r="L38" s="166"/>
      <c r="M38" s="166"/>
      <c r="N38" s="166"/>
      <c r="O38" s="53"/>
    </row>
    <row r="39" spans="2:15" ht="15" customHeight="1" x14ac:dyDescent="0.4">
      <c r="B39" s="53"/>
      <c r="C39" s="53"/>
      <c r="D39" s="53"/>
      <c r="E39" s="153"/>
      <c r="F39" s="53"/>
      <c r="G39" s="53"/>
      <c r="H39" s="53"/>
      <c r="I39" s="53"/>
      <c r="J39" s="53"/>
      <c r="K39" s="53"/>
      <c r="L39" s="53"/>
      <c r="M39" s="53"/>
      <c r="N39" s="53"/>
      <c r="O39" s="53"/>
    </row>
    <row r="40" spans="2:15" ht="35.15" customHeight="1" x14ac:dyDescent="0.4">
      <c r="B40" s="53"/>
      <c r="C40" s="53">
        <v>1</v>
      </c>
      <c r="D40" s="53" t="s">
        <v>263</v>
      </c>
      <c r="E40" s="171" t="s">
        <v>80</v>
      </c>
      <c r="F40" s="171"/>
      <c r="G40" s="171"/>
      <c r="H40" s="171"/>
      <c r="I40" s="171"/>
      <c r="J40" s="171"/>
      <c r="K40" s="171"/>
      <c r="L40" s="171"/>
      <c r="M40" s="171"/>
      <c r="N40" s="171"/>
      <c r="O40" s="53"/>
    </row>
    <row r="41" spans="2:15" ht="50.15" customHeight="1" x14ac:dyDescent="0.4">
      <c r="B41" s="53"/>
      <c r="C41" s="53">
        <v>1</v>
      </c>
      <c r="D41" s="53" t="s">
        <v>264</v>
      </c>
      <c r="E41" s="166" t="s">
        <v>81</v>
      </c>
      <c r="F41" s="166"/>
      <c r="G41" s="166"/>
      <c r="H41" s="166"/>
      <c r="I41" s="166"/>
      <c r="J41" s="166"/>
      <c r="K41" s="166"/>
      <c r="L41" s="166"/>
      <c r="M41" s="166"/>
      <c r="N41" s="166"/>
      <c r="O41" s="53"/>
    </row>
    <row r="42" spans="2:15" ht="35.15" customHeight="1" x14ac:dyDescent="0.4">
      <c r="B42" s="53"/>
      <c r="C42" s="53">
        <v>1</v>
      </c>
      <c r="D42" s="53" t="s">
        <v>85</v>
      </c>
      <c r="E42" s="171" t="s">
        <v>82</v>
      </c>
      <c r="F42" s="171"/>
      <c r="G42" s="171"/>
      <c r="H42" s="171"/>
      <c r="I42" s="171"/>
      <c r="J42" s="171"/>
      <c r="K42" s="171"/>
      <c r="L42" s="171"/>
      <c r="M42" s="171"/>
      <c r="N42" s="171"/>
      <c r="O42" s="53"/>
    </row>
    <row r="43" spans="2:15" ht="35.15" customHeight="1" x14ac:dyDescent="0.4">
      <c r="B43" s="53"/>
      <c r="C43" s="53">
        <v>1</v>
      </c>
      <c r="D43" s="53" t="s">
        <v>265</v>
      </c>
      <c r="E43" s="153" t="s">
        <v>83</v>
      </c>
      <c r="F43" s="149"/>
      <c r="G43" s="149"/>
      <c r="H43" s="149"/>
      <c r="I43" s="149"/>
      <c r="J43" s="149"/>
      <c r="K43" s="149"/>
      <c r="L43" s="149"/>
      <c r="M43" s="149"/>
      <c r="N43" s="149"/>
      <c r="O43" s="53"/>
    </row>
    <row r="44" spans="2:15" ht="50.15" customHeight="1" x14ac:dyDescent="0.4">
      <c r="B44" s="53"/>
      <c r="C44" s="53">
        <v>1</v>
      </c>
      <c r="D44" s="53" t="s">
        <v>86</v>
      </c>
      <c r="E44" s="166" t="s">
        <v>84</v>
      </c>
      <c r="F44" s="166"/>
      <c r="G44" s="166"/>
      <c r="H44" s="166"/>
      <c r="I44" s="166"/>
      <c r="J44" s="166"/>
      <c r="K44" s="166"/>
      <c r="L44" s="166"/>
      <c r="M44" s="166"/>
      <c r="N44" s="166"/>
      <c r="O44" s="53"/>
    </row>
    <row r="45" spans="2:15" ht="50.15" customHeight="1" x14ac:dyDescent="0.4">
      <c r="B45" s="53"/>
      <c r="C45" s="53">
        <v>1</v>
      </c>
      <c r="D45" s="53" t="s">
        <v>266</v>
      </c>
      <c r="E45" s="166" t="s">
        <v>96</v>
      </c>
      <c r="F45" s="166"/>
      <c r="G45" s="166"/>
      <c r="H45" s="166"/>
      <c r="I45" s="166"/>
      <c r="J45" s="166"/>
      <c r="K45" s="166"/>
      <c r="L45" s="166"/>
      <c r="M45" s="166"/>
      <c r="N45" s="166"/>
      <c r="O45" s="53"/>
    </row>
    <row r="46" spans="2:15" ht="35.15" customHeight="1" x14ac:dyDescent="0.4">
      <c r="B46" s="53"/>
      <c r="C46" s="53"/>
      <c r="D46" s="53"/>
      <c r="E46" s="171" t="s">
        <v>97</v>
      </c>
      <c r="F46" s="171"/>
      <c r="G46" s="171"/>
      <c r="H46" s="171"/>
      <c r="I46" s="171"/>
      <c r="J46" s="171"/>
      <c r="K46" s="171"/>
      <c r="L46" s="171"/>
      <c r="M46" s="171"/>
      <c r="N46" s="171"/>
      <c r="O46" s="53"/>
    </row>
    <row r="47" spans="2:15" ht="35.15" customHeight="1" x14ac:dyDescent="0.4">
      <c r="B47" s="53"/>
      <c r="C47" s="53"/>
      <c r="D47" s="53"/>
      <c r="E47" s="171" t="s">
        <v>98</v>
      </c>
      <c r="F47" s="171"/>
      <c r="G47" s="171"/>
      <c r="H47" s="171"/>
      <c r="I47" s="171"/>
      <c r="J47" s="171"/>
      <c r="K47" s="171"/>
      <c r="L47" s="171"/>
      <c r="M47" s="171"/>
      <c r="N47" s="171"/>
      <c r="O47" s="53"/>
    </row>
    <row r="48" spans="2:15" ht="35.15" customHeight="1" x14ac:dyDescent="0.4">
      <c r="B48" s="53"/>
      <c r="C48" s="53"/>
      <c r="D48" s="53"/>
      <c r="E48" s="149"/>
      <c r="F48" s="149"/>
      <c r="G48" s="53"/>
      <c r="H48" s="53"/>
      <c r="I48" s="53"/>
      <c r="J48" s="53"/>
      <c r="K48" s="53"/>
      <c r="L48" s="53"/>
      <c r="M48" s="53"/>
      <c r="N48" s="53"/>
      <c r="O48" s="53"/>
    </row>
    <row r="49" spans="2:15" ht="35.15" customHeight="1" thickBot="1" x14ac:dyDescent="0.45">
      <c r="B49" s="53"/>
      <c r="C49" s="150"/>
      <c r="D49" s="151" t="s">
        <v>87</v>
      </c>
      <c r="E49" s="151"/>
      <c r="F49" s="151"/>
      <c r="G49" s="150"/>
      <c r="H49" s="150"/>
      <c r="I49" s="150"/>
      <c r="J49" s="150"/>
      <c r="K49" s="150"/>
      <c r="L49" s="150"/>
      <c r="M49" s="150"/>
      <c r="N49" s="150"/>
      <c r="O49" s="53"/>
    </row>
    <row r="50" spans="2:15" ht="35.15" customHeight="1" thickTop="1" x14ac:dyDescent="0.4">
      <c r="B50" s="53"/>
      <c r="C50" s="158">
        <v>1</v>
      </c>
      <c r="D50" s="159" t="s">
        <v>88</v>
      </c>
      <c r="E50" s="160"/>
      <c r="F50" s="160"/>
      <c r="G50" s="158"/>
      <c r="H50" s="158"/>
      <c r="I50" s="158"/>
      <c r="J50" s="158"/>
      <c r="K50" s="158"/>
      <c r="L50" s="158"/>
      <c r="M50" s="158"/>
      <c r="N50" s="158"/>
      <c r="O50" s="53"/>
    </row>
    <row r="51" spans="2:15" ht="35.15" customHeight="1" x14ac:dyDescent="0.4">
      <c r="B51" s="53"/>
      <c r="C51" s="158">
        <v>1</v>
      </c>
      <c r="D51" s="159" t="s">
        <v>89</v>
      </c>
      <c r="E51" s="160"/>
      <c r="F51" s="160"/>
      <c r="G51" s="158"/>
      <c r="H51" s="158"/>
      <c r="I51" s="158"/>
      <c r="J51" s="158"/>
      <c r="K51" s="158"/>
      <c r="L51" s="158"/>
      <c r="M51" s="158"/>
      <c r="N51" s="158"/>
      <c r="O51" s="53"/>
    </row>
    <row r="52" spans="2:15" ht="35.15" customHeight="1" x14ac:dyDescent="0.4">
      <c r="B52" s="53"/>
      <c r="C52" s="53">
        <v>0</v>
      </c>
      <c r="D52" s="159" t="s">
        <v>90</v>
      </c>
      <c r="E52" s="149"/>
      <c r="F52" s="149"/>
      <c r="G52" s="53"/>
      <c r="H52" s="53"/>
      <c r="I52" s="53"/>
      <c r="J52" s="53"/>
      <c r="K52" s="53"/>
      <c r="L52" s="53"/>
      <c r="M52" s="53"/>
      <c r="N52" s="53"/>
      <c r="O52" s="53"/>
    </row>
    <row r="53" spans="2:15" ht="35.15" customHeight="1" thickBot="1" x14ac:dyDescent="0.45">
      <c r="B53" s="53"/>
      <c r="C53" s="53"/>
      <c r="D53" s="161" t="s">
        <v>91</v>
      </c>
      <c r="E53" s="162"/>
      <c r="F53" s="162"/>
      <c r="G53" s="163"/>
      <c r="H53" s="163"/>
      <c r="I53" s="163"/>
      <c r="J53" s="163"/>
      <c r="K53" s="163"/>
      <c r="L53" s="163"/>
      <c r="M53" s="163"/>
      <c r="N53" s="163"/>
      <c r="O53" s="53"/>
    </row>
    <row r="54" spans="2:15" ht="158.25" customHeight="1" x14ac:dyDescent="0.4">
      <c r="B54" s="53"/>
      <c r="C54" s="53"/>
      <c r="D54" s="152"/>
      <c r="E54" s="149"/>
      <c r="F54" s="149"/>
      <c r="G54" s="53"/>
      <c r="H54" s="53"/>
      <c r="I54" s="53"/>
      <c r="J54" s="53"/>
      <c r="K54" s="53"/>
      <c r="L54" s="53"/>
      <c r="M54" s="53"/>
      <c r="N54" s="53"/>
      <c r="O54" s="53"/>
    </row>
    <row r="55" spans="2:15" ht="15" customHeight="1" x14ac:dyDescent="0.4">
      <c r="B55" s="53"/>
      <c r="C55" s="53"/>
      <c r="D55" s="152"/>
      <c r="E55" s="149"/>
      <c r="F55" s="149"/>
      <c r="G55" s="53"/>
      <c r="H55" s="53"/>
      <c r="I55" s="53"/>
      <c r="J55" s="53"/>
      <c r="K55" s="53"/>
      <c r="L55" s="53"/>
      <c r="M55" s="53"/>
      <c r="N55" s="53"/>
      <c r="O55" s="53"/>
    </row>
    <row r="56" spans="2:15" ht="35.15" customHeight="1" thickBot="1" x14ac:dyDescent="0.45">
      <c r="B56" s="53"/>
      <c r="C56" s="53"/>
      <c r="D56" s="161" t="s">
        <v>92</v>
      </c>
      <c r="E56" s="162"/>
      <c r="F56" s="162"/>
      <c r="G56" s="163"/>
      <c r="H56" s="163"/>
      <c r="I56" s="163"/>
      <c r="J56" s="163"/>
      <c r="K56" s="163"/>
      <c r="L56" s="163"/>
      <c r="M56" s="163"/>
      <c r="N56" s="163"/>
      <c r="O56" s="53"/>
    </row>
    <row r="57" spans="2:15" ht="140.25" customHeight="1" x14ac:dyDescent="0.4">
      <c r="B57" s="53"/>
      <c r="C57" s="53"/>
      <c r="D57" s="152"/>
      <c r="E57" s="149"/>
      <c r="F57" s="149"/>
      <c r="G57" s="53"/>
      <c r="H57" s="53"/>
      <c r="I57" s="53"/>
      <c r="J57" s="53"/>
      <c r="K57" s="53"/>
      <c r="L57" s="53"/>
      <c r="M57" s="53"/>
      <c r="N57" s="53"/>
      <c r="O57" s="53"/>
    </row>
    <row r="58" spans="2:15" ht="15" customHeight="1" x14ac:dyDescent="0.4">
      <c r="B58" s="53"/>
      <c r="C58" s="53"/>
      <c r="D58" s="152"/>
      <c r="E58" s="149"/>
      <c r="F58" s="149"/>
      <c r="G58" s="53"/>
      <c r="H58" s="53"/>
      <c r="I58" s="53"/>
      <c r="J58" s="53"/>
      <c r="K58" s="53"/>
      <c r="L58" s="53"/>
      <c r="M58" s="53"/>
      <c r="N58" s="53"/>
      <c r="O58" s="53"/>
    </row>
    <row r="59" spans="2:15" ht="35.15" customHeight="1" thickBot="1" x14ac:dyDescent="0.45">
      <c r="B59" s="53"/>
      <c r="C59" s="53"/>
      <c r="D59" s="161" t="s">
        <v>259</v>
      </c>
      <c r="E59" s="162"/>
      <c r="F59" s="162"/>
      <c r="G59" s="163"/>
      <c r="H59" s="163"/>
      <c r="I59" s="163"/>
      <c r="J59" s="163"/>
      <c r="K59" s="163"/>
      <c r="L59" s="163"/>
      <c r="M59" s="163"/>
      <c r="N59" s="163"/>
      <c r="O59" s="53"/>
    </row>
    <row r="60" spans="2:15" ht="162" customHeight="1" x14ac:dyDescent="0.4">
      <c r="B60" s="53"/>
      <c r="C60" s="53"/>
      <c r="D60" s="152"/>
      <c r="E60" s="149"/>
      <c r="F60" s="149"/>
      <c r="G60" s="53"/>
      <c r="H60" s="53"/>
      <c r="I60" s="53"/>
      <c r="J60" s="53"/>
      <c r="K60" s="53"/>
      <c r="L60" s="53"/>
      <c r="M60" s="53"/>
      <c r="N60" s="53"/>
      <c r="O60" s="53"/>
    </row>
    <row r="61" spans="2:15" ht="15" customHeight="1" x14ac:dyDescent="0.4">
      <c r="B61" s="53"/>
      <c r="C61" s="53"/>
      <c r="D61" s="152"/>
      <c r="E61" s="149"/>
      <c r="F61" s="149"/>
      <c r="G61" s="53"/>
      <c r="H61" s="53"/>
      <c r="I61" s="53"/>
      <c r="J61" s="53"/>
      <c r="K61" s="53"/>
      <c r="L61" s="53"/>
      <c r="M61" s="53"/>
      <c r="N61" s="53"/>
      <c r="O61" s="53"/>
    </row>
    <row r="62" spans="2:15" ht="35.15" customHeight="1" thickBot="1" x14ac:dyDescent="0.45">
      <c r="B62" s="53"/>
      <c r="C62" s="53"/>
      <c r="D62" s="161" t="s">
        <v>93</v>
      </c>
      <c r="E62" s="162"/>
      <c r="F62" s="162"/>
      <c r="G62" s="163"/>
      <c r="H62" s="163"/>
      <c r="I62" s="163"/>
      <c r="J62" s="163"/>
      <c r="K62" s="163"/>
      <c r="L62" s="163"/>
      <c r="M62" s="163"/>
      <c r="N62" s="163"/>
      <c r="O62" s="53"/>
    </row>
    <row r="63" spans="2:15" ht="34.5" customHeight="1" x14ac:dyDescent="0.4">
      <c r="B63" s="53"/>
      <c r="C63" s="53"/>
      <c r="D63" s="164" t="s">
        <v>94</v>
      </c>
      <c r="E63" s="149"/>
      <c r="F63" s="149"/>
      <c r="G63" s="53"/>
      <c r="H63" s="53"/>
      <c r="I63" s="53"/>
      <c r="J63" s="53"/>
      <c r="K63" s="53"/>
      <c r="L63" s="53"/>
      <c r="M63" s="53"/>
      <c r="N63" s="53"/>
      <c r="O63" s="53"/>
    </row>
    <row r="64" spans="2:15" ht="50.15" customHeight="1" x14ac:dyDescent="0.4">
      <c r="B64" s="53"/>
      <c r="C64" s="53"/>
      <c r="D64" s="172" t="s">
        <v>95</v>
      </c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53"/>
    </row>
    <row r="65" spans="2:15" ht="210.75" customHeight="1" x14ac:dyDescent="0.4">
      <c r="B65" s="53"/>
      <c r="C65" s="53"/>
      <c r="D65" s="152"/>
      <c r="E65" s="149"/>
      <c r="F65" s="149"/>
      <c r="G65" s="53"/>
      <c r="H65" s="53"/>
      <c r="I65" s="53"/>
      <c r="J65" s="53"/>
      <c r="K65" s="53"/>
      <c r="L65" s="53"/>
      <c r="M65" s="53"/>
      <c r="N65" s="53"/>
      <c r="O65" s="53"/>
    </row>
    <row r="66" spans="2:15" ht="8.15" customHeight="1" x14ac:dyDescent="0.4">
      <c r="B66" s="53"/>
      <c r="C66" s="53"/>
      <c r="D66" s="53"/>
      <c r="E66" s="149"/>
      <c r="F66" s="53"/>
      <c r="G66" s="53"/>
      <c r="H66" s="53"/>
      <c r="I66" s="53"/>
      <c r="J66" s="53"/>
      <c r="K66" s="53"/>
      <c r="L66" s="53"/>
      <c r="M66" s="53"/>
      <c r="N66" s="53"/>
      <c r="O66" s="53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3" customWidth="1"/>
    <col min="2" max="2" width="16.69140625" style="53" customWidth="1"/>
    <col min="3" max="3" width="34.69140625" style="53" customWidth="1"/>
    <col min="4" max="6" width="16.69140625" style="53" customWidth="1"/>
    <col min="7" max="13" width="14.69140625" style="53" customWidth="1"/>
    <col min="14" max="14" width="2.69140625" style="53" customWidth="1"/>
    <col min="15" max="15" width="9.15234375" style="53" hidden="1" customWidth="1"/>
    <col min="16" max="16384" width="9.15234375" style="53" hidden="1"/>
  </cols>
  <sheetData>
    <row r="1" spans="2:13" s="101" customFormat="1" ht="6" customHeight="1" x14ac:dyDescent="0.4"/>
    <row r="2" spans="2:13" s="102" customFormat="1" ht="10" customHeight="1" x14ac:dyDescent="0.4"/>
    <row r="3" spans="2:13" s="102" customFormat="1" ht="40" customHeight="1" x14ac:dyDescent="0.5">
      <c r="B3" s="103"/>
      <c r="C3" s="3" t="s">
        <v>307</v>
      </c>
    </row>
    <row r="4" spans="2:13" s="102" customFormat="1" ht="8.15" customHeight="1" x14ac:dyDescent="0.4">
      <c r="B4" s="103"/>
      <c r="C4" s="104"/>
    </row>
    <row r="5" spans="2:13" s="102" customFormat="1" ht="40" customHeight="1" x14ac:dyDescent="0.4">
      <c r="B5" s="103"/>
      <c r="C5" s="105" t="s">
        <v>99</v>
      </c>
    </row>
    <row r="6" spans="2:13" ht="16.5" customHeight="1" x14ac:dyDescent="0.4">
      <c r="G6" s="106"/>
      <c r="H6" s="106"/>
      <c r="I6" s="106"/>
      <c r="J6" s="106"/>
      <c r="K6" s="106"/>
    </row>
    <row r="7" spans="2:13" ht="40" customHeight="1" x14ac:dyDescent="0.4">
      <c r="B7" s="107" t="s">
        <v>100</v>
      </c>
      <c r="C7" s="108" t="s">
        <v>124</v>
      </c>
      <c r="D7" s="83" t="s">
        <v>0</v>
      </c>
      <c r="E7" s="109"/>
      <c r="F7" s="109"/>
      <c r="G7" s="109"/>
      <c r="H7" s="109"/>
      <c r="I7" s="109"/>
      <c r="J7" s="109"/>
      <c r="K7" s="109"/>
      <c r="L7" s="109"/>
      <c r="M7" s="109"/>
    </row>
    <row r="8" spans="2:13" ht="8.15" customHeight="1" x14ac:dyDescent="0.4"/>
    <row r="9" spans="2:13" ht="40" customHeight="1" x14ac:dyDescent="0.4">
      <c r="B9" s="107" t="s">
        <v>101</v>
      </c>
      <c r="C9" s="108" t="s">
        <v>129</v>
      </c>
      <c r="D9" s="108"/>
      <c r="E9" s="108"/>
      <c r="F9" s="108"/>
      <c r="G9" s="110" t="s">
        <v>306</v>
      </c>
      <c r="H9" s="174" t="s">
        <v>133</v>
      </c>
      <c r="I9" s="174"/>
      <c r="J9" s="174"/>
      <c r="K9" s="175" t="s">
        <v>134</v>
      </c>
      <c r="L9" s="175"/>
      <c r="M9" s="175"/>
    </row>
    <row r="10" spans="2:13" ht="55" customHeight="1" x14ac:dyDescent="0.4">
      <c r="B10" s="107"/>
      <c r="C10" s="108"/>
      <c r="D10" s="111" t="s">
        <v>317</v>
      </c>
      <c r="E10" s="111" t="s">
        <v>316</v>
      </c>
      <c r="F10" s="111" t="s">
        <v>305</v>
      </c>
      <c r="G10" s="112" t="s">
        <v>130</v>
      </c>
      <c r="H10" s="111" t="s">
        <v>313</v>
      </c>
      <c r="I10" s="111" t="s">
        <v>131</v>
      </c>
      <c r="J10" s="111" t="s">
        <v>132</v>
      </c>
      <c r="K10" s="111" t="s">
        <v>312</v>
      </c>
      <c r="L10" s="111" t="s">
        <v>314</v>
      </c>
      <c r="M10" s="111" t="s">
        <v>315</v>
      </c>
    </row>
    <row r="11" spans="2:13" ht="40" customHeight="1" x14ac:dyDescent="0.4">
      <c r="B11" s="107"/>
      <c r="C11" s="108"/>
      <c r="D11" s="113" t="str">
        <f>CONCATENATE(Store_Setting[[#This Row],[Product
serial number]], " | ", Store_Setting[[#This Row],[Product name]])</f>
        <v>1 | 1</v>
      </c>
      <c r="E11" s="114">
        <v>1</v>
      </c>
      <c r="F11" s="115">
        <v>1</v>
      </c>
      <c r="G11" s="116">
        <f>Store_Setting[[#This Row],[Negative
inventory
balance]]-SUM(Store_Setting[[#This Row],[Deposited]]-Store_Setting[[#This Row],[Withdrawn]])</f>
        <v>0</v>
      </c>
      <c r="H11" s="117">
        <f>SUM(UserInfo[1 - Remaining])</f>
        <v>0</v>
      </c>
      <c r="I11" s="117">
        <f>SUM(UserInfo[1 - Deposit])</f>
        <v>0</v>
      </c>
      <c r="J11" s="117">
        <f>SUM(UserInfo[1 - Withdrawal])</f>
        <v>0</v>
      </c>
      <c r="K11" s="117">
        <f>Store_Setting[[#This Row],[Inbound
subtotal]]-Store_Setting[[#This Row],[Pickup
subtotal]]</f>
        <v>0</v>
      </c>
      <c r="L11" s="117">
        <f>SUMIFS(Store_History[Quantity],Store_History[Unique identifier],Store_Setting[[#This Row],[Unique
identifier]],Store_History[Type],"入库")</f>
        <v>0</v>
      </c>
      <c r="M11" s="117">
        <f>SUMIFS(Store_History[Quantity],Store_History[Unique identifier],Store_Setting[[#This Row],[Unique
identifier]],Store_History[Type],"取货")</f>
        <v>0</v>
      </c>
    </row>
    <row r="12" spans="2:13" ht="40" customHeight="1" x14ac:dyDescent="0.4">
      <c r="B12" s="107"/>
      <c r="C12" s="108"/>
      <c r="D12" s="113" t="str">
        <f>CONCATENATE(Store_Setting[[#This Row],[Product
serial number]], " | ", Store_Setting[[#This Row],[Product name]])</f>
        <v>2 | 2</v>
      </c>
      <c r="E12" s="114">
        <v>2</v>
      </c>
      <c r="F12" s="115">
        <v>2</v>
      </c>
      <c r="G12" s="116">
        <f>Store_Setting[[#This Row],[Negative
inventory
balance]]-SUM(Store_Setting[[#This Row],[Deposited]]-Store_Setting[[#This Row],[Withdrawn]])</f>
        <v>0</v>
      </c>
      <c r="H12" s="117">
        <f>SUM(UserInfo[2 - Remaining])</f>
        <v>0</v>
      </c>
      <c r="I12" s="117">
        <f>SUM(UserInfo[2 - Deposit])</f>
        <v>0</v>
      </c>
      <c r="J12" s="117">
        <f>SUM(UserInfo[2 - Withdrawal])</f>
        <v>0</v>
      </c>
      <c r="K12" s="117">
        <f>Store_Setting[[#This Row],[Inbound
subtotal]]-Store_Setting[[#This Row],[Pickup
subtotal]]</f>
        <v>0</v>
      </c>
      <c r="L12" s="117">
        <f>SUMIFS(Store_History[Quantity],Store_History[Unique identifier],Store_Setting[[#This Row],[Unique
identifier]],Store_History[Type],"入库")</f>
        <v>0</v>
      </c>
      <c r="M12" s="117">
        <f>SUMIFS(Store_History[Quantity],Store_History[Unique identifier],Store_Setting[[#This Row],[Unique
identifier]],Store_History[Type],"取货")</f>
        <v>0</v>
      </c>
    </row>
    <row r="13" spans="2:13" ht="40" customHeight="1" x14ac:dyDescent="0.4">
      <c r="B13" s="107"/>
      <c r="C13" s="108"/>
      <c r="D13" s="113" t="str">
        <f>CONCATENATE(Store_Setting[[#This Row],[Product
serial number]], " | ", Store_Setting[[#This Row],[Product name]])</f>
        <v>3 | 3</v>
      </c>
      <c r="E13" s="114">
        <v>3</v>
      </c>
      <c r="F13" s="115">
        <v>3</v>
      </c>
      <c r="G13" s="116">
        <f>Store_Setting[[#This Row],[Negative
inventory
balance]]-SUM(Store_Setting[[#This Row],[Deposited]]-Store_Setting[[#This Row],[Withdrawn]])</f>
        <v>0</v>
      </c>
      <c r="H13" s="117">
        <f>SUM(UserInfo[3 - Remaining])</f>
        <v>0</v>
      </c>
      <c r="I13" s="117">
        <f>SUM(UserInfo[3 - Deposit])</f>
        <v>0</v>
      </c>
      <c r="J13" s="117">
        <f>SUM(UserInfo[3 - Withdrawal])</f>
        <v>0</v>
      </c>
      <c r="K13" s="117">
        <f>Store_Setting[[#This Row],[Inbound
subtotal]]-Store_Setting[[#This Row],[Pickup
subtotal]]</f>
        <v>0</v>
      </c>
      <c r="L13" s="117">
        <f>SUMIFS(Store_History[Quantity],Store_History[Unique identifier],Store_Setting[[#This Row],[Unique
identifier]],Store_History[Type],"入库")</f>
        <v>0</v>
      </c>
      <c r="M13" s="117">
        <f>SUMIFS(Store_History[Quantity],Store_History[Unique identifier],Store_Setting[[#This Row],[Unique
identifier]],Store_History[Type],"取货")</f>
        <v>0</v>
      </c>
    </row>
    <row r="14" spans="2:13" ht="40" customHeight="1" x14ac:dyDescent="0.4">
      <c r="B14" s="107"/>
      <c r="C14" s="108"/>
      <c r="D14" s="113" t="str">
        <f>CONCATENATE(Store_Setting[[#This Row],[Product
serial number]], " | ", Store_Setting[[#This Row],[Product name]])</f>
        <v>4 | 4</v>
      </c>
      <c r="E14" s="114">
        <v>4</v>
      </c>
      <c r="F14" s="115">
        <v>4</v>
      </c>
      <c r="G14" s="116">
        <f>Store_Setting[[#This Row],[Negative
inventory
balance]]-SUM(Store_Setting[[#This Row],[Deposited]]-Store_Setting[[#This Row],[Withdrawn]])</f>
        <v>0</v>
      </c>
      <c r="H14" s="117">
        <f>SUM(UserInfo[4 - Remaining])</f>
        <v>0</v>
      </c>
      <c r="I14" s="117">
        <f>SUM(UserInfo[4 - Deposit])</f>
        <v>0</v>
      </c>
      <c r="J14" s="117">
        <f>SUM(UserInfo[4 - Withdrawal])</f>
        <v>0</v>
      </c>
      <c r="K14" s="117">
        <f>Store_Setting[[#This Row],[Inbound
subtotal]]-Store_Setting[[#This Row],[Pickup
subtotal]]</f>
        <v>0</v>
      </c>
      <c r="L14" s="117">
        <f>SUMIFS(Store_History[Quantity],Store_History[Unique identifier],Store_Setting[[#This Row],[Unique
identifier]],Store_History[Type],"入库")</f>
        <v>0</v>
      </c>
      <c r="M14" s="117">
        <f>SUMIFS(Store_History[Quantity],Store_History[Unique identifier],Store_Setting[[#This Row],[Unique
identifier]],Store_History[Type],"取货")</f>
        <v>0</v>
      </c>
    </row>
    <row r="15" spans="2:13" ht="40" customHeight="1" x14ac:dyDescent="0.4">
      <c r="B15" s="107"/>
      <c r="C15" s="108"/>
      <c r="D15" s="113" t="str">
        <f>CONCATENATE(Store_Setting[[#This Row],[Product
serial number]], " | ", Store_Setting[[#This Row],[Product name]])</f>
        <v>5 | 5</v>
      </c>
      <c r="E15" s="114">
        <v>5</v>
      </c>
      <c r="F15" s="115">
        <v>5</v>
      </c>
      <c r="G15" s="116">
        <f>Store_Setting[[#This Row],[Negative
inventory
balance]]-SUM(Store_Setting[[#This Row],[Deposited]]-Store_Setting[[#This Row],[Withdrawn]])</f>
        <v>0</v>
      </c>
      <c r="H15" s="117">
        <f>SUM(UserInfo[5 - Remaining])</f>
        <v>0</v>
      </c>
      <c r="I15" s="117">
        <f>SUM(UserInfo[5 - Deposit])</f>
        <v>0</v>
      </c>
      <c r="J15" s="117">
        <f>SUM(UserInfo[5 - Withdrawal])</f>
        <v>0</v>
      </c>
      <c r="K15" s="117">
        <f>Store_Setting[[#This Row],[Inbound
subtotal]]-Store_Setting[[#This Row],[Pickup
subtotal]]</f>
        <v>0</v>
      </c>
      <c r="L15" s="117">
        <f>SUMIFS(Store_History[Quantity],Store_History[Unique identifier],Store_Setting[[#This Row],[Unique
identifier]],Store_History[Type],"入库")</f>
        <v>0</v>
      </c>
      <c r="M15" s="117">
        <f>SUMIFS(Store_History[Quantity],Store_History[Unique identifier],Store_Setting[[#This Row],[Unique
identifier]],Store_History[Type],"取货")</f>
        <v>0</v>
      </c>
    </row>
    <row r="16" spans="2:13" ht="40" customHeight="1" x14ac:dyDescent="0.4">
      <c r="B16" s="107"/>
      <c r="C16" s="108"/>
      <c r="D16" s="113" t="str">
        <f>CONCATENATE(Store_Setting[[#This Row],[Product
serial number]], " | ", Store_Setting[[#This Row],[Product name]])</f>
        <v>6 | 6</v>
      </c>
      <c r="E16" s="114">
        <v>6</v>
      </c>
      <c r="F16" s="115">
        <v>6</v>
      </c>
      <c r="G16" s="116">
        <f>Store_Setting[[#This Row],[Negative
inventory
balance]]-SUM(Store_Setting[[#This Row],[Deposited]]-Store_Setting[[#This Row],[Withdrawn]])</f>
        <v>0</v>
      </c>
      <c r="H16" s="117">
        <f>SUM(UserInfo[6 - Remaining])</f>
        <v>0</v>
      </c>
      <c r="I16" s="117">
        <f>SUM(UserInfo[6 - Deposit])</f>
        <v>0</v>
      </c>
      <c r="J16" s="117">
        <f>SUM(UserInfo[6 - Withdrawal])</f>
        <v>0</v>
      </c>
      <c r="K16" s="117">
        <f>Store_Setting[[#This Row],[Inbound
subtotal]]-Store_Setting[[#This Row],[Pickup
subtotal]]</f>
        <v>0</v>
      </c>
      <c r="L16" s="117">
        <f>SUMIFS(Store_History[Quantity],Store_History[Unique identifier],Store_Setting[[#This Row],[Unique
identifier]],Store_History[Type],"入库")</f>
        <v>0</v>
      </c>
      <c r="M16" s="117">
        <f>SUMIFS(Store_History[Quantity],Store_History[Unique identifier],Store_Setting[[#This Row],[Unique
identifier]],Store_History[Type],"取货")</f>
        <v>0</v>
      </c>
    </row>
    <row r="17" spans="2:13" ht="40" customHeight="1" x14ac:dyDescent="0.4">
      <c r="B17" s="107"/>
      <c r="C17" s="108"/>
      <c r="D17" s="113" t="str">
        <f>CONCATENATE(Store_Setting[[#This Row],[Product
serial number]], " | ", Store_Setting[[#This Row],[Product name]])</f>
        <v>7 | 7</v>
      </c>
      <c r="E17" s="114">
        <v>7</v>
      </c>
      <c r="F17" s="115">
        <v>7</v>
      </c>
      <c r="G17" s="116">
        <f>Store_Setting[[#This Row],[Negative
inventory
balance]]-SUM(Store_Setting[[#This Row],[Deposited]]-Store_Setting[[#This Row],[Withdrawn]])</f>
        <v>0</v>
      </c>
      <c r="H17" s="117">
        <f>SUM(UserInfo[7 - Remaining])</f>
        <v>0</v>
      </c>
      <c r="I17" s="117">
        <f>SUM(UserInfo[7 - Deposit])</f>
        <v>0</v>
      </c>
      <c r="J17" s="117">
        <f>SUM(UserInfo[7 - Withdrawal])</f>
        <v>0</v>
      </c>
      <c r="K17" s="117">
        <f>Store_Setting[[#This Row],[Inbound
subtotal]]-Store_Setting[[#This Row],[Pickup
subtotal]]</f>
        <v>0</v>
      </c>
      <c r="L17" s="117">
        <f>SUMIFS(Store_History[Quantity],Store_History[Unique identifier],Store_Setting[[#This Row],[Unique
identifier]],Store_History[Type],"入库")</f>
        <v>0</v>
      </c>
      <c r="M17" s="117">
        <f>SUMIFS(Store_History[Quantity],Store_History[Unique identifier],Store_Setting[[#This Row],[Unique
identifier]],Store_History[Type],"取货")</f>
        <v>0</v>
      </c>
    </row>
    <row r="18" spans="2:13" ht="40" customHeight="1" x14ac:dyDescent="0.4">
      <c r="B18" s="107"/>
      <c r="C18" s="108"/>
      <c r="D18" s="113" t="str">
        <f>CONCATENATE(Store_Setting[[#This Row],[Product
serial number]], " | ", Store_Setting[[#This Row],[Product name]])</f>
        <v>8 | 8</v>
      </c>
      <c r="E18" s="114">
        <v>8</v>
      </c>
      <c r="F18" s="115">
        <v>8</v>
      </c>
      <c r="G18" s="116">
        <f>Store_Setting[[#This Row],[Negative
inventory
balance]]-SUM(Store_Setting[[#This Row],[Deposited]]-Store_Setting[[#This Row],[Withdrawn]])</f>
        <v>0</v>
      </c>
      <c r="H18" s="117">
        <f>SUM(UserInfo[8 - Remaining])</f>
        <v>0</v>
      </c>
      <c r="I18" s="117">
        <f>SUM(UserInfo[8 - Deposit])</f>
        <v>0</v>
      </c>
      <c r="J18" s="117">
        <f>SUM(UserInfo[8 - Withdrawal])</f>
        <v>0</v>
      </c>
      <c r="K18" s="117">
        <f>Store_Setting[[#This Row],[Inbound
subtotal]]-Store_Setting[[#This Row],[Pickup
subtotal]]</f>
        <v>0</v>
      </c>
      <c r="L18" s="117">
        <f>SUMIFS(Store_History[Quantity],Store_History[Unique identifier],Store_Setting[[#This Row],[Unique
identifier]],Store_History[Type],"入库")</f>
        <v>0</v>
      </c>
      <c r="M18" s="117">
        <f>SUMIFS(Store_History[Quantity],Store_History[Unique identifier],Store_Setting[[#This Row],[Unique
identifier]],Store_History[Type],"取货")</f>
        <v>0</v>
      </c>
    </row>
    <row r="19" spans="2:13" ht="40" customHeight="1" x14ac:dyDescent="0.4">
      <c r="B19" s="107"/>
      <c r="C19" s="108"/>
      <c r="D19" s="113" t="str">
        <f>CONCATENATE(Store_Setting[[#This Row],[Product
serial number]], " | ", Store_Setting[[#This Row],[Product name]])</f>
        <v>9 | 9</v>
      </c>
      <c r="E19" s="114">
        <v>9</v>
      </c>
      <c r="F19" s="115">
        <v>9</v>
      </c>
      <c r="G19" s="116">
        <f>Store_Setting[[#This Row],[Negative
inventory
balance]]-SUM(Store_Setting[[#This Row],[Deposited]]-Store_Setting[[#This Row],[Withdrawn]])</f>
        <v>0</v>
      </c>
      <c r="H19" s="117">
        <f>SUM(UserInfo[9 - Remaining])</f>
        <v>0</v>
      </c>
      <c r="I19" s="117">
        <f>SUM(UserInfo[9 - Deposit])</f>
        <v>0</v>
      </c>
      <c r="J19" s="117">
        <f>SUM(UserInfo[9 - Withdrawal])</f>
        <v>0</v>
      </c>
      <c r="K19" s="117">
        <f>Store_Setting[[#This Row],[Inbound
subtotal]]-Store_Setting[[#This Row],[Pickup
subtotal]]</f>
        <v>0</v>
      </c>
      <c r="L19" s="117">
        <f>SUMIFS(Store_History[Quantity],Store_History[Unique identifier],Store_Setting[[#This Row],[Unique
identifier]],Store_History[Type],"入库")</f>
        <v>0</v>
      </c>
      <c r="M19" s="117">
        <f>SUMIFS(Store_History[Quantity],Store_History[Unique identifier],Store_Setting[[#This Row],[Unique
identifier]],Store_History[Type],"取货")</f>
        <v>0</v>
      </c>
    </row>
    <row r="20" spans="2:13" ht="40" customHeight="1" x14ac:dyDescent="0.4">
      <c r="B20" s="107"/>
      <c r="C20" s="108"/>
      <c r="D20" s="113" t="str">
        <f>CONCATENATE(Store_Setting[[#This Row],[Product
serial number]], " | ", Store_Setting[[#This Row],[Product name]])</f>
        <v>10 | 10</v>
      </c>
      <c r="E20" s="114">
        <v>10</v>
      </c>
      <c r="F20" s="115">
        <v>10</v>
      </c>
      <c r="G20" s="116">
        <f>Store_Setting[[#This Row],[Negative
inventory
balance]]-SUM(Store_Setting[[#This Row],[Deposited]]-Store_Setting[[#This Row],[Withdrawn]])</f>
        <v>0</v>
      </c>
      <c r="H20" s="117">
        <f>SUM(UserInfo[10 - Remaining])</f>
        <v>0</v>
      </c>
      <c r="I20" s="117">
        <f>SUM(UserInfo[10 - Deposit])</f>
        <v>0</v>
      </c>
      <c r="J20" s="117">
        <f>SUM(UserInfo[10 - Withdrawal])</f>
        <v>0</v>
      </c>
      <c r="K20" s="117">
        <f>Store_Setting[[#This Row],[Inbound
subtotal]]-Store_Setting[[#This Row],[Pickup
subtotal]]</f>
        <v>0</v>
      </c>
      <c r="L20" s="117">
        <f>SUMIFS(Store_History[Quantity],Store_History[Unique identifier],Store_Setting[[#This Row],[Unique
identifier]],Store_History[Type],"入库")</f>
        <v>0</v>
      </c>
      <c r="M20" s="117">
        <f>SUMIFS(Store_History[Quantity],Store_History[Unique identifier],Store_Setting[[#This Row],[Unique
identifier]],Store_History[Type],"取货")</f>
        <v>0</v>
      </c>
    </row>
    <row r="21" spans="2:13" ht="40" customHeight="1" x14ac:dyDescent="0.4">
      <c r="B21" s="107"/>
      <c r="C21" s="108"/>
      <c r="D21" s="113" t="str">
        <f>CONCATENATE(Store_Setting[[#This Row],[Product
serial number]], " | ", Store_Setting[[#This Row],[Product name]])</f>
        <v>11 | 11</v>
      </c>
      <c r="E21" s="114">
        <v>11</v>
      </c>
      <c r="F21" s="115">
        <v>11</v>
      </c>
      <c r="G21" s="116">
        <f>Store_Setting[[#This Row],[Negative
inventory
balance]]-SUM(Store_Setting[[#This Row],[Deposited]]-Store_Setting[[#This Row],[Withdrawn]])</f>
        <v>0</v>
      </c>
      <c r="H21" s="117">
        <f>SUM(UserInfo[11 - Remaining])</f>
        <v>0</v>
      </c>
      <c r="I21" s="117">
        <f>SUM(UserInfo[11 - Deposit])</f>
        <v>0</v>
      </c>
      <c r="J21" s="117">
        <f>SUM(UserInfo[11 - Withdrawal])</f>
        <v>0</v>
      </c>
      <c r="K21" s="117">
        <f>Store_Setting[[#This Row],[Inbound
subtotal]]-Store_Setting[[#This Row],[Pickup
subtotal]]</f>
        <v>0</v>
      </c>
      <c r="L21" s="117">
        <f>SUMIFS(Store_History[Quantity],Store_History[Unique identifier],Store_Setting[[#This Row],[Unique
identifier]],Store_History[Type],"入库")</f>
        <v>0</v>
      </c>
      <c r="M21" s="117">
        <f>SUMIFS(Store_History[Quantity],Store_History[Unique identifier],Store_Setting[[#This Row],[Unique
identifier]],Store_History[Type],"取货")</f>
        <v>0</v>
      </c>
    </row>
    <row r="22" spans="2:13" ht="40" customHeight="1" x14ac:dyDescent="0.4">
      <c r="B22" s="107"/>
      <c r="C22" s="108"/>
      <c r="D22" s="113" t="str">
        <f>CONCATENATE(Store_Setting[[#This Row],[Product
serial number]], " | ", Store_Setting[[#This Row],[Product name]])</f>
        <v>12 | 12</v>
      </c>
      <c r="E22" s="114">
        <v>12</v>
      </c>
      <c r="F22" s="115">
        <v>12</v>
      </c>
      <c r="G22" s="116">
        <f>Store_Setting[[#This Row],[Negative
inventory
balance]]-SUM(Store_Setting[[#This Row],[Deposited]]-Store_Setting[[#This Row],[Withdrawn]])</f>
        <v>0</v>
      </c>
      <c r="H22" s="117">
        <f>SUM(UserInfo[12 - Remaining])</f>
        <v>0</v>
      </c>
      <c r="I22" s="117">
        <f>SUM(UserInfo[12 - Deposit])</f>
        <v>0</v>
      </c>
      <c r="J22" s="117">
        <f>SUM(UserInfo[12 - Withdrawal])</f>
        <v>0</v>
      </c>
      <c r="K22" s="117">
        <f>Store_Setting[[#This Row],[Inbound
subtotal]]-Store_Setting[[#This Row],[Pickup
subtotal]]</f>
        <v>0</v>
      </c>
      <c r="L22" s="117">
        <f>SUMIFS(Store_History[Quantity],Store_History[Unique identifier],Store_Setting[[#This Row],[Unique
identifier]],Store_History[Type],"入库")</f>
        <v>0</v>
      </c>
      <c r="M22" s="117">
        <f>SUMIFS(Store_History[Quantity],Store_History[Unique identifier],Store_Setting[[#This Row],[Unique
identifier]],Store_History[Type],"取货")</f>
        <v>0</v>
      </c>
    </row>
    <row r="23" spans="2:13" ht="40" customHeight="1" x14ac:dyDescent="0.4">
      <c r="B23" s="107"/>
      <c r="C23" s="108"/>
      <c r="D23" s="113" t="str">
        <f>CONCATENATE(Store_Setting[[#This Row],[Product
serial number]], " | ", Store_Setting[[#This Row],[Product name]])</f>
        <v>13 | 13</v>
      </c>
      <c r="E23" s="114">
        <v>13</v>
      </c>
      <c r="F23" s="115">
        <v>13</v>
      </c>
      <c r="G23" s="116">
        <f>Store_Setting[[#This Row],[Negative
inventory
balance]]-SUM(Store_Setting[[#This Row],[Deposited]]-Store_Setting[[#This Row],[Withdrawn]])</f>
        <v>0</v>
      </c>
      <c r="H23" s="117">
        <f>SUM(UserInfo[13 - Remaining])</f>
        <v>0</v>
      </c>
      <c r="I23" s="117">
        <f>SUM(UserInfo[13 - Deposit])</f>
        <v>0</v>
      </c>
      <c r="J23" s="117">
        <f>SUM(UserInfo[13 - Withdrawal])</f>
        <v>0</v>
      </c>
      <c r="K23" s="117">
        <f>Store_Setting[[#This Row],[Inbound
subtotal]]-Store_Setting[[#This Row],[Pickup
subtotal]]</f>
        <v>0</v>
      </c>
      <c r="L23" s="117">
        <f>SUMIFS(Store_History[Quantity],Store_History[Unique identifier],Store_Setting[[#This Row],[Unique
identifier]],Store_History[Type],"入库")</f>
        <v>0</v>
      </c>
      <c r="M23" s="117">
        <f>SUMIFS(Store_History[Quantity],Store_History[Unique identifier],Store_Setting[[#This Row],[Unique
identifier]],Store_History[Type],"取货")</f>
        <v>0</v>
      </c>
    </row>
    <row r="24" spans="2:13" ht="40" customHeight="1" x14ac:dyDescent="0.4">
      <c r="B24" s="107"/>
      <c r="C24" s="108"/>
      <c r="D24" s="113" t="str">
        <f>CONCATENATE(Store_Setting[[#This Row],[Product
serial number]], " | ", Store_Setting[[#This Row],[Product name]])</f>
        <v>14 | 14</v>
      </c>
      <c r="E24" s="114">
        <v>14</v>
      </c>
      <c r="F24" s="115">
        <v>14</v>
      </c>
      <c r="G24" s="116">
        <f>Store_Setting[[#This Row],[Negative
inventory
balance]]-SUM(Store_Setting[[#This Row],[Deposited]]-Store_Setting[[#This Row],[Withdrawn]])</f>
        <v>0</v>
      </c>
      <c r="H24" s="117">
        <f>SUM(UserInfo[14 - Remaining])</f>
        <v>0</v>
      </c>
      <c r="I24" s="117">
        <f>SUM(UserInfo[14 - Deposit])</f>
        <v>0</v>
      </c>
      <c r="J24" s="117">
        <f>SUM(UserInfo[14 - Withdrawal])</f>
        <v>0</v>
      </c>
      <c r="K24" s="117">
        <f>Store_Setting[[#This Row],[Inbound
subtotal]]-Store_Setting[[#This Row],[Pickup
subtotal]]</f>
        <v>0</v>
      </c>
      <c r="L24" s="117">
        <f>SUMIFS(Store_History[Quantity],Store_History[Unique identifier],Store_Setting[[#This Row],[Unique
identifier]],Store_History[Type],"入库")</f>
        <v>0</v>
      </c>
      <c r="M24" s="117">
        <f>SUMIFS(Store_History[Quantity],Store_History[Unique identifier],Store_Setting[[#This Row],[Unique
identifier]],Store_History[Type],"取货")</f>
        <v>0</v>
      </c>
    </row>
    <row r="25" spans="2:13" ht="40" customHeight="1" x14ac:dyDescent="0.4">
      <c r="B25" s="107"/>
      <c r="C25" s="108"/>
      <c r="D25" s="113" t="str">
        <f>CONCATENATE(Store_Setting[[#This Row],[Product
serial number]], " | ", Store_Setting[[#This Row],[Product name]])</f>
        <v>15 | 15</v>
      </c>
      <c r="E25" s="114">
        <v>15</v>
      </c>
      <c r="F25" s="115">
        <v>15</v>
      </c>
      <c r="G25" s="116">
        <f>Store_Setting[[#This Row],[Negative
inventory
balance]]-SUM(Store_Setting[[#This Row],[Deposited]]-Store_Setting[[#This Row],[Withdrawn]])</f>
        <v>0</v>
      </c>
      <c r="H25" s="117">
        <f>SUM(UserInfo[15 - Remaining])</f>
        <v>0</v>
      </c>
      <c r="I25" s="117">
        <f>SUM(UserInfo[15 - Deposit])</f>
        <v>0</v>
      </c>
      <c r="J25" s="117">
        <f>SUM(UserInfo[15 - Withdrawal])</f>
        <v>0</v>
      </c>
      <c r="K25" s="117">
        <f>Store_Setting[[#This Row],[Inbound
subtotal]]-Store_Setting[[#This Row],[Pickup
subtotal]]</f>
        <v>0</v>
      </c>
      <c r="L25" s="117">
        <f>SUMIFS(Store_History[Quantity],Store_History[Unique identifier],Store_Setting[[#This Row],[Unique
identifier]],Store_History[Type],"入库")</f>
        <v>0</v>
      </c>
      <c r="M25" s="117">
        <f>SUMIFS(Store_History[Quantity],Store_History[Unique identifier],Store_Setting[[#This Row],[Unique
identifier]],Store_History[Type],"取货")</f>
        <v>0</v>
      </c>
    </row>
    <row r="26" spans="2:13" ht="40" customHeight="1" x14ac:dyDescent="0.4">
      <c r="B26" s="107"/>
      <c r="C26" s="108"/>
      <c r="D26" s="113" t="str">
        <f>CONCATENATE(Store_Setting[[#This Row],[Product
serial number]], " | ", Store_Setting[[#This Row],[Product name]])</f>
        <v>16 | 16</v>
      </c>
      <c r="E26" s="114">
        <v>16</v>
      </c>
      <c r="F26" s="115">
        <v>16</v>
      </c>
      <c r="G26" s="116">
        <f>Store_Setting[[#This Row],[Negative
inventory
balance]]-SUM(Store_Setting[[#This Row],[Deposited]]-Store_Setting[[#This Row],[Withdrawn]])</f>
        <v>0</v>
      </c>
      <c r="H26" s="117">
        <f>SUM(UserInfo[16 - Remaining])</f>
        <v>0</v>
      </c>
      <c r="I26" s="117">
        <f>SUM(UserInfo[16 - Deposit])</f>
        <v>0</v>
      </c>
      <c r="J26" s="117">
        <f>SUM(UserInfo[16 - Withdrawal])</f>
        <v>0</v>
      </c>
      <c r="K26" s="117">
        <f>Store_Setting[[#This Row],[Inbound
subtotal]]-Store_Setting[[#This Row],[Pickup
subtotal]]</f>
        <v>0</v>
      </c>
      <c r="L26" s="117">
        <f>SUMIFS(Store_History[Quantity],Store_History[Unique identifier],Store_Setting[[#This Row],[Unique
identifier]],Store_History[Type],"入库")</f>
        <v>0</v>
      </c>
      <c r="M26" s="117">
        <f>SUMIFS(Store_History[Quantity],Store_History[Unique identifier],Store_Setting[[#This Row],[Unique
identifier]],Store_History[Type],"取货")</f>
        <v>0</v>
      </c>
    </row>
    <row r="27" spans="2:13" ht="40" customHeight="1" x14ac:dyDescent="0.4">
      <c r="B27" s="107"/>
      <c r="C27" s="108"/>
      <c r="D27" s="113" t="str">
        <f>CONCATENATE(Store_Setting[[#This Row],[Product
serial number]], " | ", Store_Setting[[#This Row],[Product name]])</f>
        <v>17 | 17</v>
      </c>
      <c r="E27" s="114">
        <v>17</v>
      </c>
      <c r="F27" s="115">
        <v>17</v>
      </c>
      <c r="G27" s="116">
        <f>Store_Setting[[#This Row],[Negative
inventory
balance]]-SUM(Store_Setting[[#This Row],[Deposited]]-Store_Setting[[#This Row],[Withdrawn]])</f>
        <v>0</v>
      </c>
      <c r="H27" s="117">
        <f>SUM(UserInfo[17 - Remaining])</f>
        <v>0</v>
      </c>
      <c r="I27" s="117">
        <f>SUM(UserInfo[17 - Deposit])</f>
        <v>0</v>
      </c>
      <c r="J27" s="117">
        <f>SUM(UserInfo[17 - Withdrawal])</f>
        <v>0</v>
      </c>
      <c r="K27" s="117">
        <f>Store_Setting[[#This Row],[Inbound
subtotal]]-Store_Setting[[#This Row],[Pickup
subtotal]]</f>
        <v>0</v>
      </c>
      <c r="L27" s="117">
        <f>SUMIFS(Store_History[Quantity],Store_History[Unique identifier],Store_Setting[[#This Row],[Unique
identifier]],Store_History[Type],"入库")</f>
        <v>0</v>
      </c>
      <c r="M27" s="117">
        <f>SUMIFS(Store_History[Quantity],Store_History[Unique identifier],Store_Setting[[#This Row],[Unique
identifier]],Store_History[Type],"取货")</f>
        <v>0</v>
      </c>
    </row>
    <row r="28" spans="2:13" ht="40" customHeight="1" x14ac:dyDescent="0.4">
      <c r="B28" s="107"/>
      <c r="C28" s="108"/>
      <c r="D28" s="113" t="str">
        <f>CONCATENATE(Store_Setting[[#This Row],[Product
serial number]], " | ", Store_Setting[[#This Row],[Product name]])</f>
        <v>18 | 18</v>
      </c>
      <c r="E28" s="114">
        <v>18</v>
      </c>
      <c r="F28" s="115">
        <v>18</v>
      </c>
      <c r="G28" s="116">
        <f>Store_Setting[[#This Row],[Negative
inventory
balance]]-SUM(Store_Setting[[#This Row],[Deposited]]-Store_Setting[[#This Row],[Withdrawn]])</f>
        <v>0</v>
      </c>
      <c r="H28" s="117">
        <f>SUM(UserInfo[18 - Remaining])</f>
        <v>0</v>
      </c>
      <c r="I28" s="117">
        <f>SUM(UserInfo[18 - Deposit])</f>
        <v>0</v>
      </c>
      <c r="J28" s="117">
        <f>SUM(UserInfo[18 - Withdrawal])</f>
        <v>0</v>
      </c>
      <c r="K28" s="117">
        <f>Store_Setting[[#This Row],[Inbound
subtotal]]-Store_Setting[[#This Row],[Pickup
subtotal]]</f>
        <v>0</v>
      </c>
      <c r="L28" s="117">
        <f>SUMIFS(Store_History[Quantity],Store_History[Unique identifier],Store_Setting[[#This Row],[Unique
identifier]],Store_History[Type],"入库")</f>
        <v>0</v>
      </c>
      <c r="M28" s="117">
        <f>SUMIFS(Store_History[Quantity],Store_History[Unique identifier],Store_Setting[[#This Row],[Unique
identifier]],Store_History[Type],"取货")</f>
        <v>0</v>
      </c>
    </row>
    <row r="29" spans="2:13" ht="40" customHeight="1" x14ac:dyDescent="0.4">
      <c r="B29" s="107"/>
      <c r="C29" s="108"/>
      <c r="D29" s="113" t="str">
        <f>CONCATENATE(Store_Setting[[#This Row],[Product
serial number]], " | ", Store_Setting[[#This Row],[Product name]])</f>
        <v>19 | 19</v>
      </c>
      <c r="E29" s="114">
        <v>19</v>
      </c>
      <c r="F29" s="115">
        <v>19</v>
      </c>
      <c r="G29" s="116">
        <f>Store_Setting[[#This Row],[Negative
inventory
balance]]-SUM(Store_Setting[[#This Row],[Deposited]]-Store_Setting[[#This Row],[Withdrawn]])</f>
        <v>0</v>
      </c>
      <c r="H29" s="117">
        <f>SUM(UserInfo[19 - Remaining])</f>
        <v>0</v>
      </c>
      <c r="I29" s="117">
        <f>SUM(UserInfo[19 - Deposit])</f>
        <v>0</v>
      </c>
      <c r="J29" s="117">
        <f>SUM(UserInfo[19 - Withdrawal])</f>
        <v>0</v>
      </c>
      <c r="K29" s="117">
        <f>Store_Setting[[#This Row],[Inbound
subtotal]]-Store_Setting[[#This Row],[Pickup
subtotal]]</f>
        <v>0</v>
      </c>
      <c r="L29" s="117">
        <f>SUMIFS(Store_History[Quantity],Store_History[Unique identifier],Store_Setting[[#This Row],[Unique
identifier]],Store_History[Type],"入库")</f>
        <v>0</v>
      </c>
      <c r="M29" s="117">
        <f>SUMIFS(Store_History[Quantity],Store_History[Unique identifier],Store_Setting[[#This Row],[Unique
identifier]],Store_History[Type],"取货")</f>
        <v>0</v>
      </c>
    </row>
    <row r="30" spans="2:13" ht="40" customHeight="1" x14ac:dyDescent="0.4">
      <c r="B30" s="107"/>
      <c r="C30" s="108"/>
      <c r="D30" s="113" t="str">
        <f>CONCATENATE(Store_Setting[[#This Row],[Product
serial number]], " | ", Store_Setting[[#This Row],[Product name]])</f>
        <v>20 | 20</v>
      </c>
      <c r="E30" s="114">
        <v>20</v>
      </c>
      <c r="F30" s="115">
        <v>20</v>
      </c>
      <c r="G30" s="116">
        <f>Store_Setting[[#This Row],[Negative
inventory
balance]]-SUM(Store_Setting[[#This Row],[Deposited]]-Store_Setting[[#This Row],[Withdrawn]])</f>
        <v>0</v>
      </c>
      <c r="H30" s="117">
        <f>SUM(UserInfo[20 - Remaining])</f>
        <v>0</v>
      </c>
      <c r="I30" s="117">
        <f>SUM(UserInfo[20 - Deposit])</f>
        <v>0</v>
      </c>
      <c r="J30" s="117">
        <f>SUM(UserInfo[20 - Withdrawal])</f>
        <v>0</v>
      </c>
      <c r="K30" s="117">
        <f>Store_Setting[[#This Row],[Inbound
subtotal]]-Store_Setting[[#This Row],[Pickup
subtotal]]</f>
        <v>0</v>
      </c>
      <c r="L30" s="117">
        <f>SUMIFS(Store_History[Quantity],Store_History[Unique identifier],Store_Setting[[#This Row],[Unique
identifier]],Store_History[Type],"入库")</f>
        <v>0</v>
      </c>
      <c r="M30" s="117">
        <f>SUMIFS(Store_History[Quantity],Store_History[Unique identifier],Store_Setting[[#This Row],[Unique
identifier]],Store_History[Type],"取货")</f>
        <v>0</v>
      </c>
    </row>
    <row r="31" spans="2:13" ht="40" customHeight="1" x14ac:dyDescent="0.4">
      <c r="B31" s="107"/>
      <c r="C31" s="108"/>
      <c r="D31" s="113" t="str">
        <f>CONCATENATE(Store_Setting[[#This Row],[Product
serial number]], " | ", Store_Setting[[#This Row],[Product name]])</f>
        <v>21 | 21</v>
      </c>
      <c r="E31" s="114">
        <v>21</v>
      </c>
      <c r="F31" s="115">
        <v>21</v>
      </c>
      <c r="G31" s="116">
        <f>Store_Setting[[#This Row],[Negative
inventory
balance]]-SUM(Store_Setting[[#This Row],[Deposited]]-Store_Setting[[#This Row],[Withdrawn]])</f>
        <v>0</v>
      </c>
      <c r="H31" s="117">
        <f>SUM(UserInfo[21 - Remaining])</f>
        <v>0</v>
      </c>
      <c r="I31" s="117">
        <f>SUM(UserInfo[21 - Deposit])</f>
        <v>0</v>
      </c>
      <c r="J31" s="117">
        <f>SUM(UserInfo[21 - Withdrawal])</f>
        <v>0</v>
      </c>
      <c r="K31" s="117">
        <f>Store_Setting[[#This Row],[Inbound
subtotal]]-Store_Setting[[#This Row],[Pickup
subtotal]]</f>
        <v>0</v>
      </c>
      <c r="L31" s="117">
        <f>SUMIFS(Store_History[Quantity],Store_History[Unique identifier],Store_Setting[[#This Row],[Unique
identifier]],Store_History[Type],"入库")</f>
        <v>0</v>
      </c>
      <c r="M31" s="117">
        <f>SUMIFS(Store_History[Quantity],Store_History[Unique identifier],Store_Setting[[#This Row],[Unique
identifier]],Store_History[Type],"取货")</f>
        <v>0</v>
      </c>
    </row>
    <row r="32" spans="2:13" ht="40" customHeight="1" x14ac:dyDescent="0.4">
      <c r="B32" s="107"/>
      <c r="C32" s="108"/>
      <c r="D32" s="113" t="str">
        <f>CONCATENATE(Store_Setting[[#This Row],[Product
serial number]], " | ", Store_Setting[[#This Row],[Product name]])</f>
        <v>22 | 22</v>
      </c>
      <c r="E32" s="114">
        <v>22</v>
      </c>
      <c r="F32" s="115">
        <v>22</v>
      </c>
      <c r="G32" s="116">
        <f>Store_Setting[[#This Row],[Negative
inventory
balance]]-SUM(Store_Setting[[#This Row],[Deposited]]-Store_Setting[[#This Row],[Withdrawn]])</f>
        <v>0</v>
      </c>
      <c r="H32" s="117">
        <f>SUM(UserInfo[22 - Remaining])</f>
        <v>0</v>
      </c>
      <c r="I32" s="117">
        <f>SUM(UserInfo[22 - Deposit])</f>
        <v>0</v>
      </c>
      <c r="J32" s="117">
        <f>SUM(UserInfo[22 - Withdrawal])</f>
        <v>0</v>
      </c>
      <c r="K32" s="117">
        <f>Store_Setting[[#This Row],[Inbound
subtotal]]-Store_Setting[[#This Row],[Pickup
subtotal]]</f>
        <v>0</v>
      </c>
      <c r="L32" s="117">
        <f>SUMIFS(Store_History[Quantity],Store_History[Unique identifier],Store_Setting[[#This Row],[Unique
identifier]],Store_History[Type],"入库")</f>
        <v>0</v>
      </c>
      <c r="M32" s="117">
        <f>SUMIFS(Store_History[Quantity],Store_History[Unique identifier],Store_Setting[[#This Row],[Unique
identifier]],Store_History[Type],"取货")</f>
        <v>0</v>
      </c>
    </row>
    <row r="33" spans="2:13" ht="40" customHeight="1" x14ac:dyDescent="0.4">
      <c r="B33" s="107"/>
      <c r="C33" s="108"/>
      <c r="D33" s="113" t="str">
        <f>CONCATENATE(Store_Setting[[#This Row],[Product
serial number]], " | ", Store_Setting[[#This Row],[Product name]])</f>
        <v>23 | 23</v>
      </c>
      <c r="E33" s="114">
        <v>23</v>
      </c>
      <c r="F33" s="115">
        <v>23</v>
      </c>
      <c r="G33" s="116">
        <f>Store_Setting[[#This Row],[Negative
inventory
balance]]-SUM(Store_Setting[[#This Row],[Deposited]]-Store_Setting[[#This Row],[Withdrawn]])</f>
        <v>0</v>
      </c>
      <c r="H33" s="117">
        <f>SUM(UserInfo[23 - Remaining])</f>
        <v>0</v>
      </c>
      <c r="I33" s="117">
        <f>SUM(UserInfo[23 - Deposit])</f>
        <v>0</v>
      </c>
      <c r="J33" s="117">
        <f>SUM(UserInfo[23 - Withdrawal])</f>
        <v>0</v>
      </c>
      <c r="K33" s="117">
        <f>Store_Setting[[#This Row],[Inbound
subtotal]]-Store_Setting[[#This Row],[Pickup
subtotal]]</f>
        <v>0</v>
      </c>
      <c r="L33" s="117">
        <f>SUMIFS(Store_History[Quantity],Store_History[Unique identifier],Store_Setting[[#This Row],[Unique
identifier]],Store_History[Type],"入库")</f>
        <v>0</v>
      </c>
      <c r="M33" s="117">
        <f>SUMIFS(Store_History[Quantity],Store_History[Unique identifier],Store_Setting[[#This Row],[Unique
identifier]],Store_History[Type],"取货")</f>
        <v>0</v>
      </c>
    </row>
    <row r="34" spans="2:13" ht="40" customHeight="1" x14ac:dyDescent="0.4">
      <c r="B34" s="107"/>
      <c r="C34" s="108"/>
      <c r="D34" s="113" t="str">
        <f>CONCATENATE(Store_Setting[[#This Row],[Product
serial number]], " | ", Store_Setting[[#This Row],[Product name]])</f>
        <v>24 | 24</v>
      </c>
      <c r="E34" s="114">
        <v>24</v>
      </c>
      <c r="F34" s="115">
        <v>24</v>
      </c>
      <c r="G34" s="116">
        <f>Store_Setting[[#This Row],[Negative
inventory
balance]]-SUM(Store_Setting[[#This Row],[Deposited]]-Store_Setting[[#This Row],[Withdrawn]])</f>
        <v>0</v>
      </c>
      <c r="H34" s="117">
        <f>SUM(UserInfo[24 - Remaining])</f>
        <v>0</v>
      </c>
      <c r="I34" s="117">
        <f>SUM(UserInfo[24 - Deposit])</f>
        <v>0</v>
      </c>
      <c r="J34" s="117">
        <f>SUM(UserInfo[24 - Withdrawal])</f>
        <v>0</v>
      </c>
      <c r="K34" s="117">
        <f>Store_Setting[[#This Row],[Inbound
subtotal]]-Store_Setting[[#This Row],[Pickup
subtotal]]</f>
        <v>0</v>
      </c>
      <c r="L34" s="117">
        <f>SUMIFS(Store_History[Quantity],Store_History[Unique identifier],Store_Setting[[#This Row],[Unique
identifier]],Store_History[Type],"入库")</f>
        <v>0</v>
      </c>
      <c r="M34" s="117">
        <f>SUMIFS(Store_History[Quantity],Store_History[Unique identifier],Store_Setting[[#This Row],[Unique
identifier]],Store_History[Type],"取货")</f>
        <v>0</v>
      </c>
    </row>
    <row r="35" spans="2:13" ht="40" customHeight="1" x14ac:dyDescent="0.4">
      <c r="B35" s="107"/>
      <c r="C35" s="108"/>
      <c r="D35" s="113" t="str">
        <f>CONCATENATE(Store_Setting[[#This Row],[Product
serial number]], " | ", Store_Setting[[#This Row],[Product name]])</f>
        <v>25 | 25</v>
      </c>
      <c r="E35" s="114">
        <v>25</v>
      </c>
      <c r="F35" s="115">
        <v>25</v>
      </c>
      <c r="G35" s="116">
        <f>Store_Setting[[#This Row],[Negative
inventory
balance]]-SUM(Store_Setting[[#This Row],[Deposited]]-Store_Setting[[#This Row],[Withdrawn]])</f>
        <v>0</v>
      </c>
      <c r="H35" s="117">
        <f>SUM(UserInfo[25 - Remaining])</f>
        <v>0</v>
      </c>
      <c r="I35" s="117">
        <f>SUM(UserInfo[25 - Deposit])</f>
        <v>0</v>
      </c>
      <c r="J35" s="117">
        <f>SUM(UserInfo[25 - Withdrawal])</f>
        <v>0</v>
      </c>
      <c r="K35" s="117">
        <f>Store_Setting[[#This Row],[Inbound
subtotal]]-Store_Setting[[#This Row],[Pickup
subtotal]]</f>
        <v>0</v>
      </c>
      <c r="L35" s="117">
        <f>SUMIFS(Store_History[Quantity],Store_History[Unique identifier],Store_Setting[[#This Row],[Unique
identifier]],Store_History[Type],"入库")</f>
        <v>0</v>
      </c>
      <c r="M35" s="117">
        <f>SUMIFS(Store_History[Quantity],Store_History[Unique identifier],Store_Setting[[#This Row],[Unique
identifier]],Store_History[Type],"取货")</f>
        <v>0</v>
      </c>
    </row>
    <row r="36" spans="2:13" ht="40" customHeight="1" x14ac:dyDescent="0.4">
      <c r="B36" s="107"/>
      <c r="C36" s="108"/>
      <c r="D36" s="113" t="str">
        <f>CONCATENATE(Store_Setting[[#This Row],[Product
serial number]], " | ", Store_Setting[[#This Row],[Product name]])</f>
        <v>26 | 26</v>
      </c>
      <c r="E36" s="114">
        <v>26</v>
      </c>
      <c r="F36" s="115">
        <v>26</v>
      </c>
      <c r="G36" s="116">
        <f>Store_Setting[[#This Row],[Negative
inventory
balance]]-SUM(Store_Setting[[#This Row],[Deposited]]-Store_Setting[[#This Row],[Withdrawn]])</f>
        <v>0</v>
      </c>
      <c r="H36" s="117">
        <f>SUM(UserInfo[26 - Remaining])</f>
        <v>0</v>
      </c>
      <c r="I36" s="117">
        <f>SUM(UserInfo[26 - Deposit])</f>
        <v>0</v>
      </c>
      <c r="J36" s="117">
        <f>SUM(UserInfo[26 - Withdrawal])</f>
        <v>0</v>
      </c>
      <c r="K36" s="117">
        <f>Store_Setting[[#This Row],[Inbound
subtotal]]-Store_Setting[[#This Row],[Pickup
subtotal]]</f>
        <v>0</v>
      </c>
      <c r="L36" s="117">
        <f>SUMIFS(Store_History[Quantity],Store_History[Unique identifier],Store_Setting[[#This Row],[Unique
identifier]],Store_History[Type],"入库")</f>
        <v>0</v>
      </c>
      <c r="M36" s="117">
        <f>SUMIFS(Store_History[Quantity],Store_History[Unique identifier],Store_Setting[[#This Row],[Unique
identifier]],Store_History[Type],"取货")</f>
        <v>0</v>
      </c>
    </row>
    <row r="37" spans="2:13" ht="40" customHeight="1" x14ac:dyDescent="0.4">
      <c r="B37" s="107"/>
      <c r="C37" s="108"/>
      <c r="D37" s="113" t="str">
        <f>CONCATENATE(Store_Setting[[#This Row],[Product
serial number]], " | ", Store_Setting[[#This Row],[Product name]])</f>
        <v>27 | 27</v>
      </c>
      <c r="E37" s="114">
        <v>27</v>
      </c>
      <c r="F37" s="115">
        <v>27</v>
      </c>
      <c r="G37" s="116">
        <f>Store_Setting[[#This Row],[Negative
inventory
balance]]-SUM(Store_Setting[[#This Row],[Deposited]]-Store_Setting[[#This Row],[Withdrawn]])</f>
        <v>0</v>
      </c>
      <c r="H37" s="117">
        <f>SUM(UserInfo[27 - Remaining])</f>
        <v>0</v>
      </c>
      <c r="I37" s="117">
        <f>SUM(UserInfo[27 - Deposit])</f>
        <v>0</v>
      </c>
      <c r="J37" s="117">
        <f>SUM(UserInfo[27 - Withdrawal])</f>
        <v>0</v>
      </c>
      <c r="K37" s="117">
        <f>Store_Setting[[#This Row],[Inbound
subtotal]]-Store_Setting[[#This Row],[Pickup
subtotal]]</f>
        <v>0</v>
      </c>
      <c r="L37" s="117">
        <f>SUMIFS(Store_History[Quantity],Store_History[Unique identifier],Store_Setting[[#This Row],[Unique
identifier]],Store_History[Type],"入库")</f>
        <v>0</v>
      </c>
      <c r="M37" s="117">
        <f>SUMIFS(Store_History[Quantity],Store_History[Unique identifier],Store_Setting[[#This Row],[Unique
identifier]],Store_History[Type],"取货")</f>
        <v>0</v>
      </c>
    </row>
    <row r="38" spans="2:13" ht="40" customHeight="1" x14ac:dyDescent="0.4">
      <c r="B38" s="107"/>
      <c r="C38" s="108"/>
      <c r="D38" s="113" t="str">
        <f>CONCATENATE(Store_Setting[[#This Row],[Product
serial number]], " | ", Store_Setting[[#This Row],[Product name]])</f>
        <v>28 | 28</v>
      </c>
      <c r="E38" s="114">
        <v>28</v>
      </c>
      <c r="F38" s="115">
        <v>28</v>
      </c>
      <c r="G38" s="116">
        <f>Store_Setting[[#This Row],[Negative
inventory
balance]]-SUM(Store_Setting[[#This Row],[Deposited]]-Store_Setting[[#This Row],[Withdrawn]])</f>
        <v>0</v>
      </c>
      <c r="H38" s="117">
        <f>SUM(UserInfo[28 - Remaining])</f>
        <v>0</v>
      </c>
      <c r="I38" s="117">
        <f>SUM(UserInfo[28 - Deposit])</f>
        <v>0</v>
      </c>
      <c r="J38" s="117">
        <f>SUM(UserInfo[28 - Withdrawal])</f>
        <v>0</v>
      </c>
      <c r="K38" s="117">
        <f>Store_Setting[[#This Row],[Inbound
subtotal]]-Store_Setting[[#This Row],[Pickup
subtotal]]</f>
        <v>0</v>
      </c>
      <c r="L38" s="117">
        <f>SUMIFS(Store_History[Quantity],Store_History[Unique identifier],Store_Setting[[#This Row],[Unique
identifier]],Store_History[Type],"入库")</f>
        <v>0</v>
      </c>
      <c r="M38" s="117">
        <f>SUMIFS(Store_History[Quantity],Store_History[Unique identifier],Store_Setting[[#This Row],[Unique
identifier]],Store_History[Type],"取货")</f>
        <v>0</v>
      </c>
    </row>
    <row r="39" spans="2:13" ht="40" customHeight="1" x14ac:dyDescent="0.4">
      <c r="B39" s="107"/>
      <c r="C39" s="108"/>
      <c r="D39" s="113" t="str">
        <f>CONCATENATE(Store_Setting[[#This Row],[Product
serial number]], " | ", Store_Setting[[#This Row],[Product name]])</f>
        <v>29 | 29</v>
      </c>
      <c r="E39" s="114">
        <v>29</v>
      </c>
      <c r="F39" s="115">
        <v>29</v>
      </c>
      <c r="G39" s="116">
        <f>Store_Setting[[#This Row],[Negative
inventory
balance]]-SUM(Store_Setting[[#This Row],[Deposited]]-Store_Setting[[#This Row],[Withdrawn]])</f>
        <v>0</v>
      </c>
      <c r="H39" s="117">
        <f>SUM(UserInfo[29 - Remaining])</f>
        <v>0</v>
      </c>
      <c r="I39" s="117">
        <f>SUM(UserInfo[29 - Deposit])</f>
        <v>0</v>
      </c>
      <c r="J39" s="117">
        <f>SUM(UserInfo[29 - Withdrawal])</f>
        <v>0</v>
      </c>
      <c r="K39" s="117">
        <f>Store_Setting[[#This Row],[Inbound
subtotal]]-Store_Setting[[#This Row],[Pickup
subtotal]]</f>
        <v>0</v>
      </c>
      <c r="L39" s="117">
        <f>SUMIFS(Store_History[Quantity],Store_History[Unique identifier],Store_Setting[[#This Row],[Unique
identifier]],Store_History[Type],"入库")</f>
        <v>0</v>
      </c>
      <c r="M39" s="117">
        <f>SUMIFS(Store_History[Quantity],Store_History[Unique identifier],Store_Setting[[#This Row],[Unique
identifier]],Store_History[Type],"取货")</f>
        <v>0</v>
      </c>
    </row>
    <row r="40" spans="2:13" ht="40" customHeight="1" x14ac:dyDescent="0.4">
      <c r="B40" s="107"/>
      <c r="C40" s="108"/>
      <c r="D40" s="113" t="str">
        <f>CONCATENATE(Store_Setting[[#This Row],[Product
serial number]], " | ", Store_Setting[[#This Row],[Product name]])</f>
        <v>30 | 30</v>
      </c>
      <c r="E40" s="114">
        <v>30</v>
      </c>
      <c r="F40" s="115">
        <v>30</v>
      </c>
      <c r="G40" s="116">
        <f>Store_Setting[[#This Row],[Negative
inventory
balance]]-SUM(Store_Setting[[#This Row],[Deposited]]-Store_Setting[[#This Row],[Withdrawn]])</f>
        <v>0</v>
      </c>
      <c r="H40" s="117">
        <f>SUM(UserInfo[30 - Remaining])</f>
        <v>0</v>
      </c>
      <c r="I40" s="117">
        <f>SUM(UserInfo[30 - Deposit])</f>
        <v>0</v>
      </c>
      <c r="J40" s="117">
        <f>SUM(UserInfo[30 - Withdrawal])</f>
        <v>0</v>
      </c>
      <c r="K40" s="117">
        <f>Store_Setting[[#This Row],[Inbound
subtotal]]-Store_Setting[[#This Row],[Pickup
subtotal]]</f>
        <v>0</v>
      </c>
      <c r="L40" s="117">
        <f>SUMIFS(Store_History[Quantity],Store_History[Unique identifier],Store_Setting[[#This Row],[Unique
identifier]],Store_History[Type],"入库")</f>
        <v>0</v>
      </c>
      <c r="M40" s="117">
        <f>SUMIFS(Store_History[Quantity],Store_History[Unique identifier],Store_Setting[[#This Row],[Unique
identifier]],Store_History[Type],"取货")</f>
        <v>0</v>
      </c>
    </row>
    <row r="41" spans="2:13" ht="40" customHeight="1" x14ac:dyDescent="0.4">
      <c r="B41" s="107"/>
      <c r="C41" s="108"/>
      <c r="D41" s="113" t="str">
        <f>CONCATENATE(Store_Setting[[#This Row],[Product
serial number]], " | ", Store_Setting[[#This Row],[Product name]])</f>
        <v>31 | 31</v>
      </c>
      <c r="E41" s="114">
        <v>31</v>
      </c>
      <c r="F41" s="115">
        <v>31</v>
      </c>
      <c r="G41" s="116">
        <f>Store_Setting[[#This Row],[Negative
inventory
balance]]-SUM(Store_Setting[[#This Row],[Deposited]]-Store_Setting[[#This Row],[Withdrawn]])</f>
        <v>0</v>
      </c>
      <c r="H41" s="117">
        <f>SUM(UserInfo[31 - Remaining])</f>
        <v>0</v>
      </c>
      <c r="I41" s="117">
        <f>SUM(UserInfo[31 - Deposit])</f>
        <v>0</v>
      </c>
      <c r="J41" s="117">
        <f>SUM(UserInfo[31 - Withdrawal])</f>
        <v>0</v>
      </c>
      <c r="K41" s="117">
        <f>Store_Setting[[#This Row],[Inbound
subtotal]]-Store_Setting[[#This Row],[Pickup
subtotal]]</f>
        <v>0</v>
      </c>
      <c r="L41" s="117">
        <f>SUMIFS(Store_History[Quantity],Store_History[Unique identifier],Store_Setting[[#This Row],[Unique
identifier]],Store_History[Type],"入库")</f>
        <v>0</v>
      </c>
      <c r="M41" s="117">
        <f>SUMIFS(Store_History[Quantity],Store_History[Unique identifier],Store_Setting[[#This Row],[Unique
identifier]],Store_History[Type],"取货")</f>
        <v>0</v>
      </c>
    </row>
    <row r="42" spans="2:13" ht="40" customHeight="1" x14ac:dyDescent="0.4">
      <c r="B42" s="107"/>
      <c r="C42" s="108"/>
      <c r="D42" s="113" t="str">
        <f>CONCATENATE(Store_Setting[[#This Row],[Product
serial number]], " | ", Store_Setting[[#This Row],[Product name]])</f>
        <v>32 | 32</v>
      </c>
      <c r="E42" s="114">
        <v>32</v>
      </c>
      <c r="F42" s="115">
        <v>32</v>
      </c>
      <c r="G42" s="116">
        <f>Store_Setting[[#This Row],[Negative
inventory
balance]]-SUM(Store_Setting[[#This Row],[Deposited]]-Store_Setting[[#This Row],[Withdrawn]])</f>
        <v>0</v>
      </c>
      <c r="H42" s="117">
        <f>SUM(UserInfo[32 - Remaining])</f>
        <v>0</v>
      </c>
      <c r="I42" s="117">
        <f>SUM(UserInfo[32 - Deposit])</f>
        <v>0</v>
      </c>
      <c r="J42" s="117">
        <f>SUM(UserInfo[32 - Withdrawal])</f>
        <v>0</v>
      </c>
      <c r="K42" s="117">
        <f>Store_Setting[[#This Row],[Inbound
subtotal]]-Store_Setting[[#This Row],[Pickup
subtotal]]</f>
        <v>0</v>
      </c>
      <c r="L42" s="117">
        <f>SUMIFS(Store_History[Quantity],Store_History[Unique identifier],Store_Setting[[#This Row],[Unique
identifier]],Store_History[Type],"入库")</f>
        <v>0</v>
      </c>
      <c r="M42" s="117">
        <f>SUMIFS(Store_History[Quantity],Store_History[Unique identifier],Store_Setting[[#This Row],[Unique
identifier]],Store_History[Type],"取货")</f>
        <v>0</v>
      </c>
    </row>
    <row r="43" spans="2:13" ht="40" customHeight="1" x14ac:dyDescent="0.4">
      <c r="B43" s="107"/>
      <c r="C43" s="108"/>
      <c r="D43" s="113" t="str">
        <f>CONCATENATE(Store_Setting[[#This Row],[Product
serial number]], " | ", Store_Setting[[#This Row],[Product name]])</f>
        <v>33 | 33</v>
      </c>
      <c r="E43" s="114">
        <v>33</v>
      </c>
      <c r="F43" s="115">
        <v>33</v>
      </c>
      <c r="G43" s="116">
        <f>Store_Setting[[#This Row],[Negative
inventory
balance]]-SUM(Store_Setting[[#This Row],[Deposited]]-Store_Setting[[#This Row],[Withdrawn]])</f>
        <v>0</v>
      </c>
      <c r="H43" s="117">
        <f>SUM(UserInfo[33 - Remaining])</f>
        <v>0</v>
      </c>
      <c r="I43" s="117">
        <f>SUM(UserInfo[33 - Deposit])</f>
        <v>0</v>
      </c>
      <c r="J43" s="117">
        <f>SUM(UserInfo[33 - Withdrawal])</f>
        <v>0</v>
      </c>
      <c r="K43" s="117">
        <f>Store_Setting[[#This Row],[Inbound
subtotal]]-Store_Setting[[#This Row],[Pickup
subtotal]]</f>
        <v>0</v>
      </c>
      <c r="L43" s="117">
        <f>SUMIFS(Store_History[Quantity],Store_History[Unique identifier],Store_Setting[[#This Row],[Unique
identifier]],Store_History[Type],"入库")</f>
        <v>0</v>
      </c>
      <c r="M43" s="117">
        <f>SUMIFS(Store_History[Quantity],Store_History[Unique identifier],Store_Setting[[#This Row],[Unique
identifier]],Store_History[Type],"取货")</f>
        <v>0</v>
      </c>
    </row>
    <row r="44" spans="2:13" ht="40" customHeight="1" x14ac:dyDescent="0.4">
      <c r="B44" s="107"/>
      <c r="C44" s="108"/>
      <c r="D44" s="113" t="str">
        <f>CONCATENATE(Store_Setting[[#This Row],[Product
serial number]], " | ", Store_Setting[[#This Row],[Product name]])</f>
        <v>34 | 34</v>
      </c>
      <c r="E44" s="114">
        <v>34</v>
      </c>
      <c r="F44" s="115">
        <v>34</v>
      </c>
      <c r="G44" s="116">
        <f>Store_Setting[[#This Row],[Negative
inventory
balance]]-SUM(Store_Setting[[#This Row],[Deposited]]-Store_Setting[[#This Row],[Withdrawn]])</f>
        <v>0</v>
      </c>
      <c r="H44" s="117">
        <f>SUM(UserInfo[34 - Remaining])</f>
        <v>0</v>
      </c>
      <c r="I44" s="117">
        <f>SUM(UserInfo[34 - Deposit])</f>
        <v>0</v>
      </c>
      <c r="J44" s="117">
        <f>SUM(UserInfo[34 - Withdrawal])</f>
        <v>0</v>
      </c>
      <c r="K44" s="117">
        <f>Store_Setting[[#This Row],[Inbound
subtotal]]-Store_Setting[[#This Row],[Pickup
subtotal]]</f>
        <v>0</v>
      </c>
      <c r="L44" s="117">
        <f>SUMIFS(Store_History[Quantity],Store_History[Unique identifier],Store_Setting[[#This Row],[Unique
identifier]],Store_History[Type],"入库")</f>
        <v>0</v>
      </c>
      <c r="M44" s="117">
        <f>SUMIFS(Store_History[Quantity],Store_History[Unique identifier],Store_Setting[[#This Row],[Unique
identifier]],Store_History[Type],"取货")</f>
        <v>0</v>
      </c>
    </row>
    <row r="45" spans="2:13" ht="40" customHeight="1" x14ac:dyDescent="0.4">
      <c r="B45" s="107"/>
      <c r="C45" s="108"/>
      <c r="D45" s="113" t="str">
        <f>CONCATENATE(Store_Setting[[#This Row],[Product
serial number]], " | ", Store_Setting[[#This Row],[Product name]])</f>
        <v>35 | 35</v>
      </c>
      <c r="E45" s="114">
        <v>35</v>
      </c>
      <c r="F45" s="115">
        <v>35</v>
      </c>
      <c r="G45" s="116">
        <f>Store_Setting[[#This Row],[Negative
inventory
balance]]-SUM(Store_Setting[[#This Row],[Deposited]]-Store_Setting[[#This Row],[Withdrawn]])</f>
        <v>0</v>
      </c>
      <c r="H45" s="117">
        <f>SUM(UserInfo[35 - Remaining])</f>
        <v>0</v>
      </c>
      <c r="I45" s="117">
        <f>SUM(UserInfo[35 - Deposit])</f>
        <v>0</v>
      </c>
      <c r="J45" s="117">
        <f>SUM(UserInfo[35 - Withdrawal])</f>
        <v>0</v>
      </c>
      <c r="K45" s="117">
        <f>Store_Setting[[#This Row],[Inbound
subtotal]]-Store_Setting[[#This Row],[Pickup
subtotal]]</f>
        <v>0</v>
      </c>
      <c r="L45" s="117">
        <f>SUMIFS(Store_History[Quantity],Store_History[Unique identifier],Store_Setting[[#This Row],[Unique
identifier]],Store_History[Type],"入库")</f>
        <v>0</v>
      </c>
      <c r="M45" s="117">
        <f>SUMIFS(Store_History[Quantity],Store_History[Unique identifier],Store_Setting[[#This Row],[Unique
identifier]],Store_History[Type],"取货")</f>
        <v>0</v>
      </c>
    </row>
    <row r="46" spans="2:13" ht="40" customHeight="1" x14ac:dyDescent="0.4">
      <c r="B46" s="107"/>
      <c r="C46" s="108"/>
      <c r="D46" s="113" t="str">
        <f>CONCATENATE(Store_Setting[[#This Row],[Product
serial number]], " | ", Store_Setting[[#This Row],[Product name]])</f>
        <v>36 | 36</v>
      </c>
      <c r="E46" s="114">
        <v>36</v>
      </c>
      <c r="F46" s="115">
        <v>36</v>
      </c>
      <c r="G46" s="116">
        <f>Store_Setting[[#This Row],[Negative
inventory
balance]]-SUM(Store_Setting[[#This Row],[Deposited]]-Store_Setting[[#This Row],[Withdrawn]])</f>
        <v>0</v>
      </c>
      <c r="H46" s="117">
        <f>SUM(UserInfo[36 - Remaining])</f>
        <v>0</v>
      </c>
      <c r="I46" s="117">
        <f>SUM(UserInfo[36 - Deposit])</f>
        <v>0</v>
      </c>
      <c r="J46" s="117">
        <f>SUM(UserInfo[36 - Withdrawal])</f>
        <v>0</v>
      </c>
      <c r="K46" s="117">
        <f>Store_Setting[[#This Row],[Inbound
subtotal]]-Store_Setting[[#This Row],[Pickup
subtotal]]</f>
        <v>0</v>
      </c>
      <c r="L46" s="117">
        <f>SUMIFS(Store_History[Quantity],Store_History[Unique identifier],Store_Setting[[#This Row],[Unique
identifier]],Store_History[Type],"入库")</f>
        <v>0</v>
      </c>
      <c r="M46" s="117">
        <f>SUMIFS(Store_History[Quantity],Store_History[Unique identifier],Store_Setting[[#This Row],[Unique
identifier]],Store_History[Type],"取货")</f>
        <v>0</v>
      </c>
    </row>
    <row r="47" spans="2:13" ht="40" customHeight="1" x14ac:dyDescent="0.4">
      <c r="B47" s="107"/>
      <c r="C47" s="108"/>
      <c r="D47" s="113" t="str">
        <f>CONCATENATE(Store_Setting[[#This Row],[Product
serial number]], " | ", Store_Setting[[#This Row],[Product name]])</f>
        <v>37 | 37</v>
      </c>
      <c r="E47" s="114">
        <v>37</v>
      </c>
      <c r="F47" s="115">
        <v>37</v>
      </c>
      <c r="G47" s="116">
        <f>Store_Setting[[#This Row],[Negative
inventory
balance]]-SUM(Store_Setting[[#This Row],[Deposited]]-Store_Setting[[#This Row],[Withdrawn]])</f>
        <v>0</v>
      </c>
      <c r="H47" s="117">
        <f>SUM(UserInfo[37 - Remaining])</f>
        <v>0</v>
      </c>
      <c r="I47" s="117">
        <f>SUM(UserInfo[37 - Deposit])</f>
        <v>0</v>
      </c>
      <c r="J47" s="117">
        <f>SUM(UserInfo[37 - Withdrawal])</f>
        <v>0</v>
      </c>
      <c r="K47" s="117">
        <f>Store_Setting[[#This Row],[Inbound
subtotal]]-Store_Setting[[#This Row],[Pickup
subtotal]]</f>
        <v>0</v>
      </c>
      <c r="L47" s="117">
        <f>SUMIFS(Store_History[Quantity],Store_History[Unique identifier],Store_Setting[[#This Row],[Unique
identifier]],Store_History[Type],"入库")</f>
        <v>0</v>
      </c>
      <c r="M47" s="117">
        <f>SUMIFS(Store_History[Quantity],Store_History[Unique identifier],Store_Setting[[#This Row],[Unique
identifier]],Store_History[Type],"取货")</f>
        <v>0</v>
      </c>
    </row>
    <row r="48" spans="2:13" ht="40" customHeight="1" x14ac:dyDescent="0.4">
      <c r="B48" s="107"/>
      <c r="C48" s="108"/>
      <c r="D48" s="113" t="str">
        <f>CONCATENATE(Store_Setting[[#This Row],[Product
serial number]], " | ", Store_Setting[[#This Row],[Product name]])</f>
        <v>38 | 38</v>
      </c>
      <c r="E48" s="114">
        <v>38</v>
      </c>
      <c r="F48" s="115">
        <v>38</v>
      </c>
      <c r="G48" s="116">
        <f>Store_Setting[[#This Row],[Negative
inventory
balance]]-SUM(Store_Setting[[#This Row],[Deposited]]-Store_Setting[[#This Row],[Withdrawn]])</f>
        <v>0</v>
      </c>
      <c r="H48" s="117">
        <f>SUM(UserInfo[38 - Remaining])</f>
        <v>0</v>
      </c>
      <c r="I48" s="117">
        <f>SUM(UserInfo[38 - Deposit])</f>
        <v>0</v>
      </c>
      <c r="J48" s="117">
        <f>SUM(UserInfo[38 - Withdrawal])</f>
        <v>0</v>
      </c>
      <c r="K48" s="117">
        <f>Store_Setting[[#This Row],[Inbound
subtotal]]-Store_Setting[[#This Row],[Pickup
subtotal]]</f>
        <v>0</v>
      </c>
      <c r="L48" s="117">
        <f>SUMIFS(Store_History[Quantity],Store_History[Unique identifier],Store_Setting[[#This Row],[Unique
identifier]],Store_History[Type],"入库")</f>
        <v>0</v>
      </c>
      <c r="M48" s="117">
        <f>SUMIFS(Store_History[Quantity],Store_History[Unique identifier],Store_Setting[[#This Row],[Unique
identifier]],Store_History[Type],"取货")</f>
        <v>0</v>
      </c>
    </row>
    <row r="49" spans="2:13" ht="40" customHeight="1" x14ac:dyDescent="0.4">
      <c r="B49" s="107"/>
      <c r="C49" s="108"/>
      <c r="D49" s="113" t="str">
        <f>CONCATENATE(Store_Setting[[#This Row],[Product
serial number]], " | ", Store_Setting[[#This Row],[Product name]])</f>
        <v>39 | 39</v>
      </c>
      <c r="E49" s="114">
        <v>39</v>
      </c>
      <c r="F49" s="115">
        <v>39</v>
      </c>
      <c r="G49" s="116">
        <f>Store_Setting[[#This Row],[Negative
inventory
balance]]-SUM(Store_Setting[[#This Row],[Deposited]]-Store_Setting[[#This Row],[Withdrawn]])</f>
        <v>0</v>
      </c>
      <c r="H49" s="117">
        <f>SUM(UserInfo[39 - Remaining])</f>
        <v>0</v>
      </c>
      <c r="I49" s="117">
        <f>SUM(UserInfo[39 - Deposit])</f>
        <v>0</v>
      </c>
      <c r="J49" s="117">
        <f>SUM(UserInfo[39 - Withdrawal])</f>
        <v>0</v>
      </c>
      <c r="K49" s="117">
        <f>Store_Setting[[#This Row],[Inbound
subtotal]]-Store_Setting[[#This Row],[Pickup
subtotal]]</f>
        <v>0</v>
      </c>
      <c r="L49" s="117">
        <f>SUMIFS(Store_History[Quantity],Store_History[Unique identifier],Store_Setting[[#This Row],[Unique
identifier]],Store_History[Type],"入库")</f>
        <v>0</v>
      </c>
      <c r="M49" s="117">
        <f>SUMIFS(Store_History[Quantity],Store_History[Unique identifier],Store_Setting[[#This Row],[Unique
identifier]],Store_History[Type],"取货")</f>
        <v>0</v>
      </c>
    </row>
    <row r="50" spans="2:13" ht="40" customHeight="1" x14ac:dyDescent="0.4">
      <c r="B50" s="107"/>
      <c r="C50" s="108"/>
      <c r="D50" s="113" t="str">
        <f>CONCATENATE(Store_Setting[[#This Row],[Product
serial number]], " | ", Store_Setting[[#This Row],[Product name]])</f>
        <v>40 | 40</v>
      </c>
      <c r="E50" s="114">
        <v>40</v>
      </c>
      <c r="F50" s="115">
        <v>40</v>
      </c>
      <c r="G50" s="116">
        <f>Store_Setting[[#This Row],[Negative
inventory
balance]]-SUM(Store_Setting[[#This Row],[Deposited]]-Store_Setting[[#This Row],[Withdrawn]])</f>
        <v>0</v>
      </c>
      <c r="H50" s="117">
        <f>SUM(UserInfo[40 - Remaining])</f>
        <v>0</v>
      </c>
      <c r="I50" s="117">
        <f>SUM(UserInfo[40 - Deposit])</f>
        <v>0</v>
      </c>
      <c r="J50" s="117">
        <f>SUM(UserInfo[40 - Withdrawal])</f>
        <v>0</v>
      </c>
      <c r="K50" s="117">
        <f>Store_Setting[[#This Row],[Inbound
subtotal]]-Store_Setting[[#This Row],[Pickup
subtotal]]</f>
        <v>0</v>
      </c>
      <c r="L50" s="117">
        <f>SUMIFS(Store_History[Quantity],Store_History[Unique identifier],Store_Setting[[#This Row],[Unique
identifier]],Store_History[Type],"入库")</f>
        <v>0</v>
      </c>
      <c r="M50" s="117">
        <f>SUMIFS(Store_History[Quantity],Store_History[Unique identifier],Store_Setting[[#This Row],[Unique
identifier]],Store_History[Type],"取货")</f>
        <v>0</v>
      </c>
    </row>
    <row r="51" spans="2:13" ht="8.15" customHeight="1" x14ac:dyDescent="0.4">
      <c r="G51" s="9"/>
    </row>
    <row r="52" spans="2:13" ht="40" customHeight="1" x14ac:dyDescent="0.4">
      <c r="B52" s="107" t="s">
        <v>102</v>
      </c>
      <c r="C52" s="108" t="s">
        <v>251</v>
      </c>
      <c r="D52" s="118" t="s">
        <v>140</v>
      </c>
      <c r="E52" s="119"/>
      <c r="F52" s="119"/>
      <c r="G52" s="119"/>
      <c r="H52" s="119"/>
      <c r="I52" s="119"/>
      <c r="J52" s="119"/>
      <c r="K52" s="119"/>
      <c r="L52" s="119"/>
      <c r="M52" s="119"/>
    </row>
    <row r="53" spans="2:13" ht="40" customHeight="1" x14ac:dyDescent="0.4">
      <c r="B53" s="107"/>
      <c r="C53" s="108" t="s">
        <v>252</v>
      </c>
      <c r="D53" s="120" t="s">
        <v>139</v>
      </c>
      <c r="E53" s="120" t="s">
        <v>140</v>
      </c>
      <c r="F53" s="120"/>
      <c r="G53" s="121"/>
      <c r="H53" s="121"/>
      <c r="I53" s="121"/>
      <c r="J53" s="121"/>
      <c r="K53" s="121"/>
      <c r="L53" s="121"/>
      <c r="M53" s="121"/>
    </row>
    <row r="54" spans="2:13" ht="40" customHeight="1" x14ac:dyDescent="0.4">
      <c r="B54" s="107"/>
      <c r="C54" s="108" t="s">
        <v>250</v>
      </c>
      <c r="D54" s="120"/>
      <c r="E54" s="120"/>
      <c r="F54" s="120"/>
      <c r="G54" s="121"/>
      <c r="H54" s="121"/>
      <c r="I54" s="121"/>
      <c r="J54" s="121"/>
      <c r="K54" s="121"/>
      <c r="L54" s="121"/>
      <c r="M54" s="121"/>
    </row>
    <row r="55" spans="2:13" ht="8.15" customHeight="1" x14ac:dyDescent="0.4">
      <c r="B55" s="122"/>
      <c r="D55" s="123"/>
      <c r="E55" s="123"/>
      <c r="F55" s="123"/>
      <c r="G55" s="123"/>
      <c r="H55" s="123"/>
      <c r="I55" s="123"/>
      <c r="J55" s="123"/>
      <c r="K55" s="123"/>
      <c r="L55" s="123"/>
      <c r="M55" s="123"/>
    </row>
    <row r="56" spans="2:13" ht="40" customHeight="1" x14ac:dyDescent="0.4">
      <c r="B56" s="107" t="s">
        <v>103</v>
      </c>
      <c r="C56" s="119" t="s">
        <v>114</v>
      </c>
      <c r="D56" s="124" t="s">
        <v>124</v>
      </c>
      <c r="E56" s="125" t="s">
        <v>125</v>
      </c>
      <c r="F56" s="125" t="s">
        <v>126</v>
      </c>
      <c r="G56" s="126" t="s">
        <v>127</v>
      </c>
      <c r="H56" s="126" t="s">
        <v>1</v>
      </c>
      <c r="I56" s="126" t="s">
        <v>128</v>
      </c>
      <c r="J56" s="127"/>
      <c r="K56" s="127"/>
      <c r="L56" s="127"/>
      <c r="M56" s="127"/>
    </row>
    <row r="57" spans="2:13" ht="40" customHeight="1" x14ac:dyDescent="0.4">
      <c r="B57" s="107"/>
      <c r="C57" s="119"/>
      <c r="D57" s="128" t="s">
        <v>137</v>
      </c>
      <c r="E57" s="128" t="s">
        <v>138</v>
      </c>
      <c r="F57" s="128" t="s">
        <v>138</v>
      </c>
      <c r="G57" s="128" t="s">
        <v>138</v>
      </c>
      <c r="H57" s="128" t="s">
        <v>138</v>
      </c>
      <c r="I57" s="128" t="s">
        <v>138</v>
      </c>
      <c r="J57" s="127"/>
      <c r="K57" s="127"/>
      <c r="L57" s="127"/>
      <c r="M57" s="127"/>
    </row>
    <row r="58" spans="2:13" ht="50.15" customHeight="1" x14ac:dyDescent="0.4">
      <c r="B58" s="107"/>
      <c r="C58" s="119" t="s">
        <v>115</v>
      </c>
      <c r="D58" s="128" t="s">
        <v>138</v>
      </c>
      <c r="E58" s="176" t="s">
        <v>136</v>
      </c>
      <c r="F58" s="176"/>
      <c r="G58" s="176"/>
      <c r="H58" s="176"/>
      <c r="I58" s="176"/>
      <c r="J58" s="176"/>
      <c r="K58" s="176"/>
      <c r="L58" s="176"/>
      <c r="M58" s="176"/>
    </row>
    <row r="59" spans="2:13" ht="50.15" customHeight="1" x14ac:dyDescent="0.4">
      <c r="B59" s="107"/>
      <c r="C59" s="119" t="s">
        <v>318</v>
      </c>
      <c r="D59" s="128" t="s">
        <v>137</v>
      </c>
      <c r="E59" s="176" t="s">
        <v>320</v>
      </c>
      <c r="F59" s="176"/>
      <c r="G59" s="176"/>
      <c r="H59" s="176"/>
      <c r="I59" s="176"/>
      <c r="J59" s="176"/>
      <c r="K59" s="176"/>
      <c r="L59" s="176"/>
      <c r="M59" s="176"/>
    </row>
    <row r="60" spans="2:13" ht="50.15" customHeight="1" x14ac:dyDescent="0.4">
      <c r="B60" s="107"/>
      <c r="C60" s="119" t="s">
        <v>321</v>
      </c>
      <c r="D60" s="128" t="s">
        <v>137</v>
      </c>
      <c r="E60" s="176" t="s">
        <v>319</v>
      </c>
      <c r="F60" s="176"/>
      <c r="G60" s="176"/>
      <c r="H60" s="176"/>
      <c r="I60" s="176"/>
      <c r="J60" s="176"/>
      <c r="K60" s="176"/>
      <c r="L60" s="176"/>
      <c r="M60" s="176"/>
    </row>
    <row r="61" spans="2:13" ht="8.15" customHeight="1" x14ac:dyDescent="0.4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</row>
    <row r="62" spans="2:13" ht="40" customHeight="1" x14ac:dyDescent="0.4">
      <c r="B62" s="107" t="s">
        <v>104</v>
      </c>
      <c r="C62" s="119" t="s">
        <v>151</v>
      </c>
      <c r="D62" s="118" t="s">
        <v>242</v>
      </c>
      <c r="E62" s="118" t="s">
        <v>243</v>
      </c>
      <c r="F62" s="118" t="s">
        <v>122</v>
      </c>
      <c r="G62" s="118" t="s">
        <v>244</v>
      </c>
      <c r="H62" s="118" t="s">
        <v>245</v>
      </c>
      <c r="I62" s="118" t="s">
        <v>123</v>
      </c>
      <c r="J62" s="118" t="s">
        <v>246</v>
      </c>
      <c r="K62" s="118"/>
      <c r="L62" s="118"/>
      <c r="M62" s="118"/>
    </row>
    <row r="63" spans="2:13" ht="50.25" customHeight="1" x14ac:dyDescent="0.4">
      <c r="B63" s="107"/>
      <c r="C63" s="119" t="s">
        <v>116</v>
      </c>
      <c r="D63" s="128" t="s">
        <v>137</v>
      </c>
      <c r="E63" s="173" t="s">
        <v>135</v>
      </c>
      <c r="F63" s="173"/>
      <c r="G63" s="173"/>
      <c r="H63" s="173"/>
      <c r="I63" s="173"/>
      <c r="J63" s="173"/>
      <c r="K63" s="173"/>
      <c r="L63" s="173"/>
      <c r="M63" s="173"/>
    </row>
    <row r="64" spans="2:13" ht="50.25" customHeight="1" x14ac:dyDescent="0.4">
      <c r="B64" s="107"/>
      <c r="C64" s="119" t="s">
        <v>322</v>
      </c>
      <c r="D64" s="128" t="s">
        <v>137</v>
      </c>
      <c r="E64" s="173" t="s">
        <v>324</v>
      </c>
      <c r="F64" s="173"/>
      <c r="G64" s="173"/>
      <c r="H64" s="173"/>
      <c r="I64" s="173"/>
      <c r="J64" s="173"/>
      <c r="K64" s="173"/>
      <c r="L64" s="173"/>
      <c r="M64" s="173"/>
    </row>
    <row r="65" spans="2:13" ht="50.25" customHeight="1" x14ac:dyDescent="0.4">
      <c r="B65" s="107"/>
      <c r="C65" s="119" t="s">
        <v>323</v>
      </c>
      <c r="D65" s="128" t="s">
        <v>137</v>
      </c>
      <c r="E65" s="173" t="s">
        <v>325</v>
      </c>
      <c r="F65" s="173"/>
      <c r="G65" s="173"/>
      <c r="H65" s="173"/>
      <c r="I65" s="173"/>
      <c r="J65" s="173"/>
      <c r="K65" s="173"/>
      <c r="L65" s="173"/>
      <c r="M65" s="173"/>
    </row>
    <row r="66" spans="2:13" ht="8.15" customHeight="1" x14ac:dyDescent="0.4">
      <c r="C66" s="123"/>
    </row>
    <row r="67" spans="2:13" ht="40" customHeight="1" x14ac:dyDescent="0.4">
      <c r="B67" s="129" t="s">
        <v>105</v>
      </c>
      <c r="C67" s="119" t="s">
        <v>149</v>
      </c>
      <c r="D67" s="130" t="s">
        <v>118</v>
      </c>
      <c r="E67" s="130" t="s">
        <v>120</v>
      </c>
      <c r="F67" s="131"/>
      <c r="G67" s="131"/>
      <c r="H67" s="131"/>
      <c r="I67" s="131"/>
      <c r="J67" s="131"/>
      <c r="K67" s="131"/>
      <c r="L67" s="131"/>
      <c r="M67" s="131"/>
    </row>
    <row r="68" spans="2:13" ht="8.15" customHeight="1" x14ac:dyDescent="0.4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2:13" ht="40" customHeight="1" x14ac:dyDescent="0.4">
      <c r="B69" s="129" t="s">
        <v>106</v>
      </c>
      <c r="C69" s="119" t="s">
        <v>117</v>
      </c>
      <c r="D69" s="130" t="s">
        <v>119</v>
      </c>
      <c r="E69" s="130" t="s">
        <v>121</v>
      </c>
      <c r="F69" s="131"/>
      <c r="G69" s="131"/>
      <c r="H69" s="131"/>
      <c r="I69" s="131"/>
      <c r="J69" s="131"/>
      <c r="K69" s="131"/>
      <c r="L69" s="131"/>
      <c r="M69" s="131"/>
    </row>
    <row r="70" spans="2:13" ht="8.15" customHeight="1" x14ac:dyDescent="0.4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</row>
    <row r="71" spans="2:13" ht="40" customHeight="1" x14ac:dyDescent="0.4">
      <c r="B71" s="129" t="s">
        <v>107</v>
      </c>
      <c r="C71" s="119" t="s">
        <v>125</v>
      </c>
      <c r="D71" s="130" t="s">
        <v>247</v>
      </c>
      <c r="E71" s="130" t="s">
        <v>248</v>
      </c>
      <c r="F71" s="131"/>
      <c r="G71" s="131"/>
      <c r="H71" s="131"/>
      <c r="I71" s="131"/>
      <c r="J71" s="131"/>
      <c r="K71" s="131"/>
      <c r="L71" s="131"/>
      <c r="M71" s="131"/>
    </row>
    <row r="72" spans="2:13" ht="8.15" customHeight="1" x14ac:dyDescent="0.4">
      <c r="B72" s="122"/>
      <c r="D72" s="123"/>
      <c r="E72" s="123"/>
      <c r="F72" s="123"/>
      <c r="G72" s="123"/>
      <c r="H72" s="123"/>
      <c r="I72" s="123"/>
      <c r="J72" s="123"/>
      <c r="K72" s="123"/>
      <c r="L72" s="123"/>
      <c r="M72" s="123"/>
    </row>
    <row r="73" spans="2:13" ht="40" customHeight="1" x14ac:dyDescent="0.4">
      <c r="B73" s="129" t="s">
        <v>306</v>
      </c>
      <c r="C73" s="132" t="s">
        <v>62</v>
      </c>
      <c r="D73" s="133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7"/>
      <c r="F73" s="108"/>
      <c r="G73" s="108"/>
      <c r="H73" s="108"/>
      <c r="I73" s="108"/>
      <c r="J73" s="108"/>
      <c r="K73" s="108"/>
      <c r="L73" s="108"/>
      <c r="M73" s="108"/>
    </row>
    <row r="74" spans="2:13" ht="40" customHeight="1" x14ac:dyDescent="0.4">
      <c r="B74" s="129"/>
      <c r="C74" s="134" t="s">
        <v>113</v>
      </c>
      <c r="D74" s="133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7"/>
      <c r="F74" s="108"/>
      <c r="G74" s="108"/>
      <c r="H74" s="108"/>
      <c r="I74" s="108"/>
      <c r="J74" s="108"/>
      <c r="K74" s="108"/>
      <c r="L74" s="108"/>
      <c r="M74" s="108"/>
    </row>
    <row r="75" spans="2:13" ht="40" customHeight="1" x14ac:dyDescent="0.4">
      <c r="B75" s="129"/>
      <c r="C75" s="132" t="s">
        <v>249</v>
      </c>
      <c r="D75" s="133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7"/>
      <c r="F75" s="108"/>
      <c r="G75" s="135"/>
      <c r="H75" s="108"/>
      <c r="I75" s="108"/>
      <c r="J75" s="108"/>
      <c r="K75" s="108"/>
      <c r="L75" s="108"/>
      <c r="M75" s="108"/>
    </row>
    <row r="76" spans="2:13" ht="40" customHeight="1" x14ac:dyDescent="0.4">
      <c r="B76" s="129"/>
      <c r="C76" s="132" t="s">
        <v>63</v>
      </c>
      <c r="D76" s="133" t="str">
        <f>_xlfn.CONCAT("Shared ", COUNTA(Get_Staff_Member)," employees")</f>
        <v>Shared 2 employees</v>
      </c>
      <c r="E76" s="127"/>
      <c r="F76" s="108"/>
      <c r="G76" s="108"/>
      <c r="H76" s="108"/>
      <c r="I76" s="108"/>
      <c r="J76" s="108"/>
      <c r="K76" s="108"/>
      <c r="L76" s="108"/>
      <c r="M76" s="108"/>
    </row>
    <row r="77" spans="2:13" ht="40" customHeight="1" x14ac:dyDescent="0.4">
      <c r="B77" s="129"/>
      <c r="C77" s="132" t="s">
        <v>151</v>
      </c>
      <c r="D77" s="133" t="str">
        <f>_xlfn.CONCAT("Has been set ", COUNTA(Get_Work_Unit)," units")</f>
        <v>Has been set 7 units</v>
      </c>
      <c r="E77" s="127"/>
      <c r="F77" s="108"/>
      <c r="G77" s="108"/>
      <c r="H77" s="108"/>
      <c r="I77" s="108"/>
      <c r="J77" s="108"/>
      <c r="K77" s="108"/>
      <c r="L77" s="108"/>
      <c r="M77" s="108"/>
    </row>
    <row r="78" spans="2:13" ht="16" customHeight="1" x14ac:dyDescent="0.4"/>
    <row r="79" spans="2:13" ht="40" customHeight="1" x14ac:dyDescent="0.4">
      <c r="B79" s="136" t="s">
        <v>108</v>
      </c>
      <c r="C79" s="137"/>
      <c r="D79" s="137"/>
      <c r="E79" s="137"/>
    </row>
    <row r="80" spans="2:13" ht="40" customHeight="1" x14ac:dyDescent="0.4">
      <c r="B80" s="138" t="s">
        <v>109</v>
      </c>
      <c r="C80" s="139" t="s">
        <v>23</v>
      </c>
      <c r="D80" s="140"/>
      <c r="E80" s="140"/>
    </row>
    <row r="81" spans="2:5" ht="40" customHeight="1" x14ac:dyDescent="0.4">
      <c r="B81" s="138" t="s">
        <v>110</v>
      </c>
      <c r="C81" s="141" t="s">
        <v>0</v>
      </c>
      <c r="D81" s="142"/>
      <c r="E81" s="142"/>
    </row>
    <row r="82" spans="2:5" ht="40" customHeight="1" x14ac:dyDescent="0.4">
      <c r="B82" s="138" t="s">
        <v>111</v>
      </c>
      <c r="C82" s="139" t="s">
        <v>22</v>
      </c>
      <c r="D82" s="140"/>
      <c r="E82" s="140"/>
    </row>
    <row r="83" spans="2:5" ht="40" customHeight="1" x14ac:dyDescent="0.4">
      <c r="B83" s="138" t="s">
        <v>112</v>
      </c>
      <c r="C83" s="139" t="s">
        <v>326</v>
      </c>
      <c r="D83" s="139"/>
      <c r="E83" s="139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9" customWidth="1"/>
    <col min="3" max="3" width="22.69140625" style="89" customWidth="1"/>
    <col min="4" max="4" width="25.69140625" style="89" customWidth="1"/>
    <col min="5" max="5" width="44.69140625" style="89" customWidth="1"/>
    <col min="6" max="6" width="5.69140625" style="90" customWidth="1"/>
    <col min="7" max="8" width="2.69140625" style="89" customWidth="1"/>
    <col min="9" max="16384" width="9.15234375" style="89" hidden="1"/>
  </cols>
  <sheetData>
    <row r="1" spans="1:8" s="61" customFormat="1" ht="6" customHeight="1" x14ac:dyDescent="0.4">
      <c r="F1" s="87"/>
    </row>
    <row r="2" spans="1:8" ht="55" customHeight="1" x14ac:dyDescent="0.4">
      <c r="A2" s="63"/>
      <c r="B2" s="2" t="str">
        <f>Setting!D7 &amp;" - Added new warehousing pickup"</f>
        <v>Yi - Added new warehousing pickup</v>
      </c>
      <c r="C2" s="62"/>
      <c r="D2" s="62"/>
      <c r="E2" s="63"/>
      <c r="F2" s="88"/>
      <c r="G2" s="63"/>
      <c r="H2" s="63"/>
    </row>
    <row r="3" spans="1:8" ht="14.15" customHeight="1" x14ac:dyDescent="0.4"/>
    <row r="4" spans="1:8" ht="14.15" customHeight="1" x14ac:dyDescent="0.4">
      <c r="B4" s="53"/>
      <c r="C4" s="53"/>
      <c r="D4" s="53"/>
      <c r="E4" s="53"/>
      <c r="F4" s="91"/>
      <c r="G4" s="53"/>
    </row>
    <row r="5" spans="1:8" ht="35.15" customHeight="1" x14ac:dyDescent="0.4">
      <c r="B5" s="53"/>
      <c r="C5" s="92" t="s">
        <v>308</v>
      </c>
      <c r="D5" s="73"/>
      <c r="E5" s="93"/>
      <c r="F5" s="94"/>
      <c r="G5" s="53"/>
    </row>
    <row r="6" spans="1:8" ht="14.15" customHeight="1" x14ac:dyDescent="0.4">
      <c r="B6" s="53"/>
      <c r="C6" s="53"/>
      <c r="D6" s="53"/>
      <c r="E6" s="53"/>
      <c r="F6" s="91"/>
      <c r="G6" s="53"/>
    </row>
    <row r="7" spans="1:8" ht="35.15" customHeight="1" x14ac:dyDescent="0.4">
      <c r="B7" s="53"/>
      <c r="C7" s="53" t="s">
        <v>129</v>
      </c>
      <c r="D7" s="95" t="s">
        <v>148</v>
      </c>
      <c r="E7" s="96"/>
      <c r="F7" s="80">
        <v>-1</v>
      </c>
      <c r="G7" s="9"/>
    </row>
    <row r="8" spans="1:8" ht="35.15" customHeight="1" x14ac:dyDescent="0.4">
      <c r="B8" s="53"/>
      <c r="C8" s="53"/>
      <c r="D8" s="97" t="s">
        <v>309</v>
      </c>
      <c r="E8" s="98" t="str">
        <f>IFERROR(VLOOKUP(E7,Store_Setting[[Unique
identifier]:[Pickup
subtotal]],2,0)&amp;"","")</f>
        <v/>
      </c>
      <c r="F8" s="36"/>
      <c r="G8" s="9"/>
    </row>
    <row r="9" spans="1:8" ht="35.15" customHeight="1" x14ac:dyDescent="0.4">
      <c r="B9" s="53"/>
      <c r="C9" s="53"/>
      <c r="D9" s="97" t="s">
        <v>305</v>
      </c>
      <c r="E9" s="98" t="str">
        <f>IFERROR(VLOOKUP(E7,Store_Setting[[Unique
identifier]:[Pickup
subtotal]],3,0)&amp;"","")</f>
        <v/>
      </c>
      <c r="F9" s="36"/>
      <c r="G9" s="9"/>
    </row>
    <row r="10" spans="1:8" ht="15" customHeight="1" x14ac:dyDescent="0.4">
      <c r="B10" s="53"/>
      <c r="C10" s="53"/>
      <c r="D10" s="53"/>
      <c r="E10" s="53"/>
      <c r="F10" s="36"/>
      <c r="G10" s="9"/>
    </row>
    <row r="11" spans="1:8" ht="35.15" customHeight="1" x14ac:dyDescent="0.4">
      <c r="B11" s="53"/>
      <c r="C11" s="53" t="s">
        <v>147</v>
      </c>
      <c r="D11" s="95" t="s">
        <v>149</v>
      </c>
      <c r="E11" s="99"/>
      <c r="F11" s="82">
        <v>-1</v>
      </c>
      <c r="G11" s="9"/>
    </row>
    <row r="12" spans="1:8" ht="35.15" customHeight="1" x14ac:dyDescent="0.4">
      <c r="B12" s="53"/>
      <c r="C12" s="53"/>
      <c r="D12" s="95" t="s">
        <v>150</v>
      </c>
      <c r="E12" s="100"/>
      <c r="F12" s="82">
        <v>-1</v>
      </c>
      <c r="G12" s="9"/>
    </row>
    <row r="13" spans="1:8" ht="35.15" customHeight="1" x14ac:dyDescent="0.4">
      <c r="B13" s="53"/>
      <c r="C13" s="53"/>
      <c r="D13" s="95" t="s">
        <v>151</v>
      </c>
      <c r="E13" s="96"/>
      <c r="F13" s="80">
        <v>-1</v>
      </c>
      <c r="G13" s="9"/>
    </row>
    <row r="14" spans="1:8" ht="15" customHeight="1" x14ac:dyDescent="0.4">
      <c r="B14" s="53"/>
      <c r="C14" s="53"/>
      <c r="D14" s="53"/>
      <c r="E14" s="53"/>
      <c r="F14" s="36"/>
      <c r="G14" s="9"/>
    </row>
    <row r="15" spans="1:8" ht="35.15" customHeight="1" x14ac:dyDescent="0.4">
      <c r="B15" s="53"/>
      <c r="C15" s="53"/>
      <c r="D15" s="95" t="s">
        <v>143</v>
      </c>
      <c r="E15" s="79"/>
      <c r="F15" s="86"/>
      <c r="G15" s="9"/>
    </row>
    <row r="16" spans="1:8" ht="15" customHeight="1" x14ac:dyDescent="0.4">
      <c r="B16" s="53"/>
      <c r="C16" s="53"/>
      <c r="D16" s="53"/>
      <c r="E16" s="53"/>
      <c r="F16" s="36"/>
      <c r="G16" s="9"/>
    </row>
    <row r="17" spans="2:12" ht="35.15" customHeight="1" x14ac:dyDescent="0.4">
      <c r="B17" s="53"/>
      <c r="C17" s="53" t="s">
        <v>310</v>
      </c>
      <c r="D17" s="95" t="s">
        <v>144</v>
      </c>
      <c r="E17" s="99" t="s">
        <v>140</v>
      </c>
      <c r="F17" s="36"/>
      <c r="G17" s="9"/>
    </row>
    <row r="18" spans="2:12" ht="14.15" customHeight="1" x14ac:dyDescent="0.4">
      <c r="B18" s="53"/>
      <c r="C18" s="53"/>
      <c r="D18" s="53"/>
      <c r="E18" s="53"/>
      <c r="F18" s="91"/>
      <c r="G18" s="53"/>
    </row>
    <row r="19" spans="2:12" ht="14.15" customHeight="1" x14ac:dyDescent="0.4"/>
    <row r="20" spans="2:12" ht="40" hidden="1" customHeight="1" x14ac:dyDescent="0.4">
      <c r="L20" s="8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53" customWidth="1"/>
    <col min="2" max="2" width="8.69140625" style="53" customWidth="1"/>
    <col min="3" max="3" width="41.69140625" style="69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60" customWidth="1"/>
    <col min="10" max="10" width="2.69140625" style="53" customWidth="1"/>
    <col min="11" max="12" width="0" style="53" hidden="1" customWidth="1"/>
    <col min="13" max="16384" width="9.15234375" style="53" hidden="1"/>
  </cols>
  <sheetData>
    <row r="1" spans="2:9" s="61" customFormat="1" ht="6" customHeight="1" x14ac:dyDescent="0.4"/>
    <row r="2" spans="2:9" s="63" customFormat="1" ht="55" customHeight="1" x14ac:dyDescent="0.4">
      <c r="B2" s="2" t="str">
        <f>Setting!D7 &amp;" - Pick up goods from warehouse"</f>
        <v>Yi - Pick up goods from warehouse</v>
      </c>
      <c r="I2" s="165"/>
    </row>
    <row r="3" spans="2:9" ht="8.15" customHeight="1" x14ac:dyDescent="0.4">
      <c r="C3" s="53"/>
      <c r="D3" s="53"/>
      <c r="E3" s="53"/>
      <c r="F3" s="53"/>
      <c r="G3" s="53"/>
      <c r="H3" s="53"/>
      <c r="I3" s="53"/>
    </row>
    <row r="4" spans="2:9" ht="6" customHeight="1" x14ac:dyDescent="0.4">
      <c r="B4" s="64"/>
      <c r="C4" s="65"/>
      <c r="D4" s="65"/>
      <c r="E4" s="65"/>
      <c r="F4" s="65"/>
      <c r="G4" s="65"/>
      <c r="H4" s="65"/>
      <c r="I4" s="65"/>
    </row>
    <row r="5" spans="2:9" ht="8.15" customHeight="1" x14ac:dyDescent="0.4">
      <c r="C5" s="53"/>
      <c r="D5" s="53"/>
      <c r="E5" s="53"/>
      <c r="F5" s="53"/>
      <c r="G5" s="53"/>
      <c r="H5" s="53"/>
      <c r="I5" s="53"/>
    </row>
    <row r="6" spans="2:9" ht="40" customHeight="1" x14ac:dyDescent="0.4">
      <c r="B6" s="66" t="s">
        <v>154</v>
      </c>
      <c r="C6" s="66" t="s">
        <v>148</v>
      </c>
      <c r="D6" s="66" t="s">
        <v>149</v>
      </c>
      <c r="E6" s="66" t="s">
        <v>150</v>
      </c>
      <c r="F6" s="66" t="s">
        <v>151</v>
      </c>
      <c r="G6" s="66" t="s">
        <v>152</v>
      </c>
      <c r="H6" s="66" t="s">
        <v>144</v>
      </c>
      <c r="I6" s="66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7"/>
      <c r="F7" s="68"/>
      <c r="G7" s="21">
        <v>45268.505555555559</v>
      </c>
      <c r="H7" s="20" t="s">
        <v>140</v>
      </c>
      <c r="I7" s="50" t="s">
        <v>153</v>
      </c>
    </row>
  </sheetData>
  <sheetProtection sheet="1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71" customWidth="1"/>
    <col min="3" max="3" width="22.69140625" style="71" customWidth="1"/>
    <col min="4" max="4" width="25.69140625" style="71" customWidth="1"/>
    <col min="5" max="5" width="44.69140625" style="71" customWidth="1"/>
    <col min="6" max="6" width="5.69140625" style="70" customWidth="1"/>
    <col min="7" max="8" width="2.69140625" style="70" customWidth="1"/>
    <col min="9" max="16384" width="9.15234375" style="70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4"/>
      <c r="G2" s="34"/>
      <c r="H2" s="34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2" t="s">
        <v>308</v>
      </c>
      <c r="D5" s="73"/>
      <c r="E5" s="74"/>
      <c r="F5" s="75"/>
      <c r="G5" s="36"/>
    </row>
    <row r="6" spans="1:8" ht="14.15" customHeight="1" x14ac:dyDescent="0.4">
      <c r="B6" s="9"/>
      <c r="C6" s="9"/>
      <c r="D6" s="9"/>
      <c r="E6" s="9"/>
      <c r="F6" s="36"/>
      <c r="G6" s="36"/>
    </row>
    <row r="7" spans="1:8" ht="35.15" customHeight="1" x14ac:dyDescent="0.4">
      <c r="B7" s="9"/>
      <c r="C7" s="9" t="s">
        <v>145</v>
      </c>
      <c r="D7" s="76" t="s">
        <v>148</v>
      </c>
      <c r="E7" s="77" t="str">
        <f>CONCATENATE(IF(E8="","", _xlfn.CONCAT(E8)), IF(E9="","", _xlfn.CONCAT(" ",E9)), IF(E10="","", _xlfn.CONCAT(" | ",E10)), IF(E14="","", _xlfn.CONCAT(" | ",E14)))</f>
        <v/>
      </c>
      <c r="F7" s="36"/>
      <c r="G7" s="36"/>
    </row>
    <row r="8" spans="1:8" ht="35.15" customHeight="1" x14ac:dyDescent="0.4">
      <c r="B8" s="9"/>
      <c r="C8" s="9"/>
      <c r="D8" s="78" t="s">
        <v>141</v>
      </c>
      <c r="E8" s="79"/>
      <c r="F8" s="80">
        <v>-1</v>
      </c>
      <c r="G8" s="36"/>
    </row>
    <row r="9" spans="1:8" ht="35.15" customHeight="1" x14ac:dyDescent="0.4">
      <c r="B9" s="9"/>
      <c r="C9" s="9"/>
      <c r="D9" s="78" t="s">
        <v>124</v>
      </c>
      <c r="E9" s="81"/>
      <c r="F9" s="82">
        <v>-1</v>
      </c>
      <c r="G9" s="36"/>
    </row>
    <row r="10" spans="1:8" ht="35.15" customHeight="1" x14ac:dyDescent="0.4">
      <c r="B10" s="9"/>
      <c r="C10" s="9"/>
      <c r="D10" s="78" t="s">
        <v>125</v>
      </c>
      <c r="E10" s="81"/>
      <c r="F10" s="82"/>
      <c r="G10" s="36"/>
    </row>
    <row r="11" spans="1:8" ht="35.15" customHeight="1" x14ac:dyDescent="0.4">
      <c r="B11" s="9"/>
      <c r="C11" s="9"/>
      <c r="D11" s="78" t="s">
        <v>240</v>
      </c>
      <c r="E11" s="83"/>
      <c r="F11" s="82"/>
      <c r="G11" s="36"/>
    </row>
    <row r="12" spans="1:8" ht="35.15" customHeight="1" x14ac:dyDescent="0.4">
      <c r="B12" s="9"/>
      <c r="C12" s="9"/>
      <c r="D12" s="78" t="s">
        <v>127</v>
      </c>
      <c r="E12" s="84"/>
      <c r="F12" s="82"/>
      <c r="G12" s="36"/>
    </row>
    <row r="13" spans="1:8" ht="15" customHeight="1" x14ac:dyDescent="0.4">
      <c r="B13" s="9"/>
      <c r="C13" s="9"/>
      <c r="D13" s="9"/>
      <c r="E13" s="9"/>
      <c r="F13" s="36"/>
      <c r="G13" s="36"/>
    </row>
    <row r="14" spans="1:8" ht="35.15" customHeight="1" x14ac:dyDescent="0.4">
      <c r="B14" s="9"/>
      <c r="C14" s="9" t="s">
        <v>146</v>
      </c>
      <c r="D14" s="78" t="s">
        <v>142</v>
      </c>
      <c r="E14" s="81"/>
      <c r="F14" s="82">
        <v>-1</v>
      </c>
      <c r="G14" s="36"/>
    </row>
    <row r="15" spans="1:8" ht="35.15" customHeight="1" x14ac:dyDescent="0.4">
      <c r="B15" s="9"/>
      <c r="C15" s="9"/>
      <c r="D15" s="78" t="s">
        <v>1</v>
      </c>
      <c r="E15" s="81"/>
      <c r="F15" s="82"/>
      <c r="G15" s="36"/>
    </row>
    <row r="16" spans="1:8" ht="35.15" customHeight="1" x14ac:dyDescent="0.4">
      <c r="B16" s="9"/>
      <c r="C16" s="9"/>
      <c r="D16" s="78" t="s">
        <v>128</v>
      </c>
      <c r="E16" s="79"/>
      <c r="F16" s="80"/>
      <c r="G16" s="36"/>
    </row>
    <row r="17" spans="2:7" ht="15" customHeight="1" x14ac:dyDescent="0.4">
      <c r="B17" s="9"/>
      <c r="C17" s="9"/>
      <c r="D17" s="9"/>
      <c r="E17" s="9"/>
      <c r="F17" s="36"/>
      <c r="G17" s="36"/>
    </row>
    <row r="18" spans="2:7" ht="35.15" customHeight="1" x14ac:dyDescent="0.4">
      <c r="B18" s="9"/>
      <c r="C18" s="9"/>
      <c r="D18" s="85" t="s">
        <v>143</v>
      </c>
      <c r="E18" s="79"/>
      <c r="F18" s="86"/>
      <c r="G18" s="36"/>
    </row>
    <row r="19" spans="2:7" ht="15" customHeight="1" x14ac:dyDescent="0.4">
      <c r="B19" s="9"/>
      <c r="C19" s="9"/>
      <c r="D19" s="9"/>
      <c r="E19" s="9"/>
      <c r="F19" s="36"/>
      <c r="G19" s="36"/>
    </row>
    <row r="20" spans="2:7" ht="35.15" customHeight="1" x14ac:dyDescent="0.4">
      <c r="B20" s="9"/>
      <c r="C20" s="9" t="s">
        <v>310</v>
      </c>
      <c r="D20" s="85" t="s">
        <v>144</v>
      </c>
      <c r="E20" s="81" t="s">
        <v>140</v>
      </c>
      <c r="F20" s="36"/>
      <c r="G20" s="36"/>
    </row>
    <row r="21" spans="2:7" ht="14.15" customHeight="1" x14ac:dyDescent="0.4">
      <c r="B21" s="9"/>
      <c r="C21" s="9"/>
      <c r="D21" s="9"/>
      <c r="E21" s="9"/>
      <c r="F21" s="36"/>
      <c r="G21" s="36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4" customWidth="1"/>
    <col min="4" max="123" width="16.69140625" style="55" customWidth="1"/>
    <col min="124" max="124" width="16.69140625" style="56" customWidth="1"/>
    <col min="125" max="125" width="26.69140625" style="57" customWidth="1"/>
    <col min="126" max="126" width="8.69140625" style="27" customWidth="1"/>
    <col min="127" max="127" width="24.69140625" style="58" customWidth="1"/>
    <col min="128" max="128" width="12.69140625" style="27" customWidth="1"/>
    <col min="129" max="129" width="20.69140625" style="58" customWidth="1"/>
    <col min="130" max="130" width="28.69140625" style="58" customWidth="1"/>
    <col min="131" max="131" width="44.69140625" style="58" customWidth="1"/>
    <col min="132" max="132" width="26.69140625" style="28" customWidth="1"/>
    <col min="133" max="133" width="18.69140625" style="59" customWidth="1"/>
    <col min="134" max="134" width="44.69140625" style="60" customWidth="1"/>
    <col min="135" max="135" width="2.69140625" style="53" customWidth="1"/>
    <col min="136" max="16384" width="9.15234375" style="37" hidden="1"/>
  </cols>
  <sheetData>
    <row r="1" spans="1:135" s="32" customFormat="1" ht="6" customHeight="1" x14ac:dyDescent="0.4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</row>
    <row r="2" spans="1:135" s="35" customFormat="1" ht="55" customHeight="1" x14ac:dyDescent="0.4">
      <c r="A2" s="7"/>
      <c r="B2" s="1" t="str">
        <f>Setting!D7 &amp;" - Member details"</f>
        <v>Yi - Member details</v>
      </c>
      <c r="C2" s="7"/>
      <c r="D2" s="3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34"/>
      <c r="DX2" s="7"/>
      <c r="DY2" s="7"/>
      <c r="DZ2" s="34"/>
      <c r="EA2" s="34"/>
      <c r="EB2" s="7"/>
      <c r="EC2" s="34"/>
      <c r="ED2" s="34"/>
      <c r="EE2" s="7"/>
    </row>
    <row r="3" spans="1:135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36"/>
      <c r="EA3" s="36"/>
      <c r="EB3" s="9"/>
      <c r="EC3" s="36"/>
      <c r="ED3" s="36"/>
      <c r="EE3" s="12"/>
    </row>
    <row r="4" spans="1:135" ht="6" customHeight="1" x14ac:dyDescent="0.4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1"/>
      <c r="DU4" s="11"/>
      <c r="DV4" s="11"/>
      <c r="DW4" s="11"/>
      <c r="DX4" s="11"/>
      <c r="DY4" s="11"/>
      <c r="DZ4" s="38"/>
      <c r="EA4" s="38"/>
      <c r="EB4" s="11"/>
      <c r="EC4" s="38"/>
      <c r="ED4" s="38"/>
      <c r="EE4" s="12"/>
    </row>
    <row r="5" spans="1:135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36"/>
      <c r="EA5" s="36"/>
      <c r="EB5" s="9"/>
      <c r="EC5" s="36"/>
      <c r="ED5" s="36"/>
      <c r="EE5" s="12"/>
    </row>
    <row r="6" spans="1:135" ht="40" customHeight="1" x14ac:dyDescent="0.4">
      <c r="C6" s="39"/>
      <c r="D6" s="14">
        <f>Setting!F11</f>
        <v>1</v>
      </c>
      <c r="E6" s="179" t="str">
        <f>Setting!F11 &amp;" - History record"</f>
        <v>1 - History record</v>
      </c>
      <c r="F6" s="179"/>
      <c r="G6" s="15">
        <f>Setting!F12</f>
        <v>2</v>
      </c>
      <c r="H6" s="177" t="str">
        <f>Setting!F12 &amp;" - History record"</f>
        <v>2 - History record</v>
      </c>
      <c r="I6" s="177"/>
      <c r="J6" s="14">
        <f>Setting!F13</f>
        <v>3</v>
      </c>
      <c r="K6" s="179" t="str">
        <f>Setting!F13 &amp;" - History record"</f>
        <v>3 - History record</v>
      </c>
      <c r="L6" s="179"/>
      <c r="M6" s="15">
        <f>Setting!F14</f>
        <v>4</v>
      </c>
      <c r="N6" s="177" t="str">
        <f>Setting!F14 &amp;" - History record"</f>
        <v>4 - History record</v>
      </c>
      <c r="O6" s="177"/>
      <c r="P6" s="14">
        <f>Setting!F15</f>
        <v>5</v>
      </c>
      <c r="Q6" s="179" t="str">
        <f>Setting!F15 &amp;" - History record"</f>
        <v>5 - History record</v>
      </c>
      <c r="R6" s="179"/>
      <c r="S6" s="15">
        <f>Setting!F16</f>
        <v>6</v>
      </c>
      <c r="T6" s="177" t="str">
        <f>Setting!F16 &amp;" - History record"</f>
        <v>6 - History record</v>
      </c>
      <c r="U6" s="177"/>
      <c r="V6" s="14">
        <f>Setting!F17</f>
        <v>7</v>
      </c>
      <c r="W6" s="179" t="str">
        <f>Setting!F17 &amp;" - History record"</f>
        <v>7 - History record</v>
      </c>
      <c r="X6" s="179"/>
      <c r="Y6" s="15">
        <f>Setting!F18</f>
        <v>8</v>
      </c>
      <c r="Z6" s="177" t="str">
        <f>Setting!F18 &amp;" - History record"</f>
        <v>8 - History record</v>
      </c>
      <c r="AA6" s="177"/>
      <c r="AB6" s="14">
        <f>Setting!F19</f>
        <v>9</v>
      </c>
      <c r="AC6" s="179" t="str">
        <f>Setting!F19 &amp;" - History record"</f>
        <v>9 - History record</v>
      </c>
      <c r="AD6" s="179"/>
      <c r="AE6" s="15">
        <f>Setting!F20</f>
        <v>10</v>
      </c>
      <c r="AF6" s="177" t="str">
        <f>Setting!F20 &amp;" - History record"</f>
        <v>10 - History record</v>
      </c>
      <c r="AG6" s="177"/>
      <c r="AH6" s="14">
        <f>Setting!F21</f>
        <v>11</v>
      </c>
      <c r="AI6" s="179" t="str">
        <f>Setting!F21 &amp;" - History record"</f>
        <v>11 - History record</v>
      </c>
      <c r="AJ6" s="179"/>
      <c r="AK6" s="15">
        <f>Setting!F22</f>
        <v>12</v>
      </c>
      <c r="AL6" s="177" t="str">
        <f>Setting!F22 &amp;" - History record"</f>
        <v>12 - History record</v>
      </c>
      <c r="AM6" s="177"/>
      <c r="AN6" s="14">
        <f>Setting!F23</f>
        <v>13</v>
      </c>
      <c r="AO6" s="179" t="str">
        <f>Setting!F23 &amp;" - History record"</f>
        <v>13 - History record</v>
      </c>
      <c r="AP6" s="179"/>
      <c r="AQ6" s="15">
        <f>Setting!F24</f>
        <v>14</v>
      </c>
      <c r="AR6" s="177" t="str">
        <f>Setting!F24 &amp;" - History record"</f>
        <v>14 - History record</v>
      </c>
      <c r="AS6" s="177"/>
      <c r="AT6" s="14">
        <f>Setting!F25</f>
        <v>15</v>
      </c>
      <c r="AU6" s="179" t="str">
        <f>Setting!F25 &amp;" - History record"</f>
        <v>15 - History record</v>
      </c>
      <c r="AV6" s="179"/>
      <c r="AW6" s="15">
        <f>Setting!F26</f>
        <v>16</v>
      </c>
      <c r="AX6" s="177" t="str">
        <f>Setting!F26 &amp;" - History record"</f>
        <v>16 - History record</v>
      </c>
      <c r="AY6" s="177"/>
      <c r="AZ6" s="14">
        <f>Setting!F27</f>
        <v>17</v>
      </c>
      <c r="BA6" s="179" t="str">
        <f>Setting!F27 &amp;" - History record"</f>
        <v>17 - History record</v>
      </c>
      <c r="BB6" s="179"/>
      <c r="BC6" s="15">
        <f>Setting!F28</f>
        <v>18</v>
      </c>
      <c r="BD6" s="177" t="str">
        <f>Setting!F28 &amp;" - History record"</f>
        <v>18 - History record</v>
      </c>
      <c r="BE6" s="177"/>
      <c r="BF6" s="14">
        <f>Setting!F29</f>
        <v>19</v>
      </c>
      <c r="BG6" s="179" t="str">
        <f>Setting!F29 &amp;" - History record"</f>
        <v>19 - History record</v>
      </c>
      <c r="BH6" s="179"/>
      <c r="BI6" s="15">
        <f>Setting!F30</f>
        <v>20</v>
      </c>
      <c r="BJ6" s="177" t="str">
        <f>Setting!F30 &amp;" - History record"</f>
        <v>20 - History record</v>
      </c>
      <c r="BK6" s="177"/>
      <c r="BL6" s="40">
        <f>Setting!F31</f>
        <v>21</v>
      </c>
      <c r="BM6" s="178" t="str">
        <f>Setting!F31 &amp;" - History record"</f>
        <v>21 - History record</v>
      </c>
      <c r="BN6" s="178"/>
      <c r="BO6" s="15">
        <f>Setting!F32</f>
        <v>22</v>
      </c>
      <c r="BP6" s="177" t="str">
        <f>Setting!F32 &amp;" - History record"</f>
        <v>22 - History record</v>
      </c>
      <c r="BQ6" s="177"/>
      <c r="BR6" s="40">
        <f>Setting!F33</f>
        <v>23</v>
      </c>
      <c r="BS6" s="178" t="str">
        <f>Setting!F33 &amp;" - History record"</f>
        <v>23 - History record</v>
      </c>
      <c r="BT6" s="178"/>
      <c r="BU6" s="15">
        <f>Setting!F34</f>
        <v>24</v>
      </c>
      <c r="BV6" s="177" t="str">
        <f>Setting!F34 &amp;" - History record"</f>
        <v>24 - History record</v>
      </c>
      <c r="BW6" s="177"/>
      <c r="BX6" s="40">
        <f>Setting!F35</f>
        <v>25</v>
      </c>
      <c r="BY6" s="178" t="str">
        <f>Setting!F35 &amp;" - History record"</f>
        <v>25 - History record</v>
      </c>
      <c r="BZ6" s="178"/>
      <c r="CA6" s="15">
        <f>Setting!F36</f>
        <v>26</v>
      </c>
      <c r="CB6" s="177" t="str">
        <f>Setting!F36 &amp;" - History record"</f>
        <v>26 - History record</v>
      </c>
      <c r="CC6" s="177"/>
      <c r="CD6" s="40">
        <f>Setting!F37</f>
        <v>27</v>
      </c>
      <c r="CE6" s="178" t="str">
        <f>Setting!F37 &amp;" - History record"</f>
        <v>27 - History record</v>
      </c>
      <c r="CF6" s="178"/>
      <c r="CG6" s="15">
        <f>Setting!F38</f>
        <v>28</v>
      </c>
      <c r="CH6" s="177" t="str">
        <f>Setting!F38 &amp;" - History record"</f>
        <v>28 - History record</v>
      </c>
      <c r="CI6" s="177"/>
      <c r="CJ6" s="40">
        <f>Setting!F39</f>
        <v>29</v>
      </c>
      <c r="CK6" s="178" t="str">
        <f>Setting!F39 &amp;" - History record"</f>
        <v>29 - History record</v>
      </c>
      <c r="CL6" s="178"/>
      <c r="CM6" s="15">
        <f>Setting!F40</f>
        <v>30</v>
      </c>
      <c r="CN6" s="177" t="str">
        <f>Setting!F40 &amp;" - History record"</f>
        <v>30 - History record</v>
      </c>
      <c r="CO6" s="177"/>
      <c r="CP6" s="40">
        <f>Setting!F41</f>
        <v>31</v>
      </c>
      <c r="CQ6" s="178" t="str">
        <f>Setting!F41 &amp;" - History record"</f>
        <v>31 - History record</v>
      </c>
      <c r="CR6" s="178"/>
      <c r="CS6" s="15">
        <f>Setting!F42</f>
        <v>32</v>
      </c>
      <c r="CT6" s="177" t="str">
        <f>Setting!F42 &amp;" - History record"</f>
        <v>32 - History record</v>
      </c>
      <c r="CU6" s="177"/>
      <c r="CV6" s="40">
        <f>Setting!F43</f>
        <v>33</v>
      </c>
      <c r="CW6" s="178" t="str">
        <f>Setting!F43 &amp;" - History record"</f>
        <v>33 - History record</v>
      </c>
      <c r="CX6" s="178"/>
      <c r="CY6" s="15">
        <f>Setting!F44</f>
        <v>34</v>
      </c>
      <c r="CZ6" s="177" t="str">
        <f>Setting!F44 &amp;" - History record"</f>
        <v>34 - History record</v>
      </c>
      <c r="DA6" s="177"/>
      <c r="DB6" s="40">
        <f>Setting!F45</f>
        <v>35</v>
      </c>
      <c r="DC6" s="178" t="str">
        <f>Setting!F45 &amp;" - History record"</f>
        <v>35 - History record</v>
      </c>
      <c r="DD6" s="178"/>
      <c r="DE6" s="15">
        <f>Setting!F46</f>
        <v>36</v>
      </c>
      <c r="DF6" s="177" t="str">
        <f>Setting!F46 &amp;" - History record"</f>
        <v>36 - History record</v>
      </c>
      <c r="DG6" s="177"/>
      <c r="DH6" s="40">
        <f>Setting!F47</f>
        <v>37</v>
      </c>
      <c r="DI6" s="178" t="str">
        <f>Setting!F47 &amp;" - History record"</f>
        <v>37 - History record</v>
      </c>
      <c r="DJ6" s="178"/>
      <c r="DK6" s="15">
        <f>Setting!F48</f>
        <v>38</v>
      </c>
      <c r="DL6" s="177" t="str">
        <f>Setting!F48 &amp;" - History record"</f>
        <v>38 - History record</v>
      </c>
      <c r="DM6" s="177"/>
      <c r="DN6" s="40">
        <f>Setting!F49</f>
        <v>39</v>
      </c>
      <c r="DO6" s="178" t="str">
        <f>Setting!F49 &amp;" - History record"</f>
        <v>39 - History record</v>
      </c>
      <c r="DP6" s="178"/>
      <c r="DQ6" s="15">
        <f>Setting!F50</f>
        <v>40</v>
      </c>
      <c r="DR6" s="177" t="str">
        <f>Setting!F50 &amp;" - History record"</f>
        <v>40 - History record</v>
      </c>
      <c r="DS6" s="177"/>
      <c r="DT6" s="179" t="s">
        <v>237</v>
      </c>
      <c r="DU6" s="179"/>
      <c r="DV6" s="179"/>
      <c r="DW6" s="179"/>
      <c r="DX6" s="179"/>
      <c r="DY6" s="179" t="s">
        <v>238</v>
      </c>
      <c r="DZ6" s="179"/>
      <c r="EA6" s="179"/>
      <c r="EB6" s="179" t="s">
        <v>239</v>
      </c>
      <c r="EC6" s="179"/>
      <c r="ED6" s="41"/>
      <c r="EE6" s="12"/>
    </row>
    <row r="7" spans="1:135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6"/>
      <c r="EA7" s="36"/>
      <c r="EB7" s="9"/>
      <c r="EC7" s="36"/>
      <c r="ED7" s="36"/>
      <c r="EE7" s="12"/>
    </row>
    <row r="8" spans="1:135" ht="40" customHeight="1" x14ac:dyDescent="0.4">
      <c r="A8" s="12"/>
      <c r="B8" s="16" t="s">
        <v>154</v>
      </c>
      <c r="C8" s="16" t="s">
        <v>148</v>
      </c>
      <c r="D8" s="16" t="s">
        <v>267</v>
      </c>
      <c r="E8" s="16" t="s">
        <v>155</v>
      </c>
      <c r="F8" s="16" t="s">
        <v>156</v>
      </c>
      <c r="G8" s="16" t="s">
        <v>268</v>
      </c>
      <c r="H8" s="16" t="s">
        <v>157</v>
      </c>
      <c r="I8" s="16" t="s">
        <v>158</v>
      </c>
      <c r="J8" s="16" t="s">
        <v>269</v>
      </c>
      <c r="K8" s="16" t="s">
        <v>159</v>
      </c>
      <c r="L8" s="16" t="s">
        <v>160</v>
      </c>
      <c r="M8" s="16" t="s">
        <v>270</v>
      </c>
      <c r="N8" s="16" t="s">
        <v>161</v>
      </c>
      <c r="O8" s="16" t="s">
        <v>162</v>
      </c>
      <c r="P8" s="16" t="s">
        <v>271</v>
      </c>
      <c r="Q8" s="16" t="s">
        <v>163</v>
      </c>
      <c r="R8" s="16" t="s">
        <v>164</v>
      </c>
      <c r="S8" s="16" t="s">
        <v>272</v>
      </c>
      <c r="T8" s="16" t="s">
        <v>165</v>
      </c>
      <c r="U8" s="16" t="s">
        <v>166</v>
      </c>
      <c r="V8" s="16" t="s">
        <v>273</v>
      </c>
      <c r="W8" s="16" t="s">
        <v>167</v>
      </c>
      <c r="X8" s="16" t="s">
        <v>168</v>
      </c>
      <c r="Y8" s="16" t="s">
        <v>274</v>
      </c>
      <c r="Z8" s="16" t="s">
        <v>169</v>
      </c>
      <c r="AA8" s="16" t="s">
        <v>170</v>
      </c>
      <c r="AB8" s="16" t="s">
        <v>275</v>
      </c>
      <c r="AC8" s="16" t="s">
        <v>171</v>
      </c>
      <c r="AD8" s="16" t="s">
        <v>172</v>
      </c>
      <c r="AE8" s="16" t="s">
        <v>276</v>
      </c>
      <c r="AF8" s="16" t="s">
        <v>173</v>
      </c>
      <c r="AG8" s="16" t="s">
        <v>174</v>
      </c>
      <c r="AH8" s="16" t="s">
        <v>277</v>
      </c>
      <c r="AI8" s="16" t="s">
        <v>175</v>
      </c>
      <c r="AJ8" s="16" t="s">
        <v>176</v>
      </c>
      <c r="AK8" s="16" t="s">
        <v>278</v>
      </c>
      <c r="AL8" s="16" t="s">
        <v>177</v>
      </c>
      <c r="AM8" s="16" t="s">
        <v>178</v>
      </c>
      <c r="AN8" s="16" t="s">
        <v>279</v>
      </c>
      <c r="AO8" s="16" t="s">
        <v>179</v>
      </c>
      <c r="AP8" s="16" t="s">
        <v>180</v>
      </c>
      <c r="AQ8" s="16" t="s">
        <v>280</v>
      </c>
      <c r="AR8" s="16" t="s">
        <v>181</v>
      </c>
      <c r="AS8" s="16" t="s">
        <v>182</v>
      </c>
      <c r="AT8" s="16" t="s">
        <v>281</v>
      </c>
      <c r="AU8" s="16" t="s">
        <v>183</v>
      </c>
      <c r="AV8" s="16" t="s">
        <v>184</v>
      </c>
      <c r="AW8" s="16" t="s">
        <v>282</v>
      </c>
      <c r="AX8" s="16" t="s">
        <v>185</v>
      </c>
      <c r="AY8" s="16" t="s">
        <v>186</v>
      </c>
      <c r="AZ8" s="16" t="s">
        <v>283</v>
      </c>
      <c r="BA8" s="16" t="s">
        <v>187</v>
      </c>
      <c r="BB8" s="16" t="s">
        <v>188</v>
      </c>
      <c r="BC8" s="16" t="s">
        <v>284</v>
      </c>
      <c r="BD8" s="16" t="s">
        <v>189</v>
      </c>
      <c r="BE8" s="16" t="s">
        <v>190</v>
      </c>
      <c r="BF8" s="16" t="s">
        <v>285</v>
      </c>
      <c r="BG8" s="16" t="s">
        <v>191</v>
      </c>
      <c r="BH8" s="16" t="s">
        <v>192</v>
      </c>
      <c r="BI8" s="16" t="s">
        <v>286</v>
      </c>
      <c r="BJ8" s="16" t="s">
        <v>193</v>
      </c>
      <c r="BK8" s="16" t="s">
        <v>194</v>
      </c>
      <c r="BL8" s="16" t="s">
        <v>287</v>
      </c>
      <c r="BM8" s="16" t="s">
        <v>195</v>
      </c>
      <c r="BN8" s="16" t="s">
        <v>196</v>
      </c>
      <c r="BO8" s="16" t="s">
        <v>288</v>
      </c>
      <c r="BP8" s="16" t="s">
        <v>197</v>
      </c>
      <c r="BQ8" s="16" t="s">
        <v>198</v>
      </c>
      <c r="BR8" s="16" t="s">
        <v>289</v>
      </c>
      <c r="BS8" s="16" t="s">
        <v>199</v>
      </c>
      <c r="BT8" s="16" t="s">
        <v>200</v>
      </c>
      <c r="BU8" s="16" t="s">
        <v>290</v>
      </c>
      <c r="BV8" s="16" t="s">
        <v>201</v>
      </c>
      <c r="BW8" s="16" t="s">
        <v>202</v>
      </c>
      <c r="BX8" s="16" t="s">
        <v>291</v>
      </c>
      <c r="BY8" s="16" t="s">
        <v>203</v>
      </c>
      <c r="BZ8" s="16" t="s">
        <v>204</v>
      </c>
      <c r="CA8" s="16" t="s">
        <v>292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293</v>
      </c>
      <c r="CH8" s="16" t="s">
        <v>210</v>
      </c>
      <c r="CI8" s="16" t="s">
        <v>211</v>
      </c>
      <c r="CJ8" s="16" t="s">
        <v>294</v>
      </c>
      <c r="CK8" s="16" t="s">
        <v>212</v>
      </c>
      <c r="CL8" s="16" t="s">
        <v>213</v>
      </c>
      <c r="CM8" s="16" t="s">
        <v>295</v>
      </c>
      <c r="CN8" s="16" t="s">
        <v>214</v>
      </c>
      <c r="CO8" s="16" t="s">
        <v>215</v>
      </c>
      <c r="CP8" s="16" t="s">
        <v>296</v>
      </c>
      <c r="CQ8" s="16" t="s">
        <v>216</v>
      </c>
      <c r="CR8" s="16" t="s">
        <v>217</v>
      </c>
      <c r="CS8" s="16" t="s">
        <v>297</v>
      </c>
      <c r="CT8" s="16" t="s">
        <v>218</v>
      </c>
      <c r="CU8" s="16" t="s">
        <v>219</v>
      </c>
      <c r="CV8" s="16" t="s">
        <v>298</v>
      </c>
      <c r="CW8" s="16" t="s">
        <v>220</v>
      </c>
      <c r="CX8" s="16" t="s">
        <v>221</v>
      </c>
      <c r="CY8" s="16" t="s">
        <v>299</v>
      </c>
      <c r="CZ8" s="16" t="s">
        <v>222</v>
      </c>
      <c r="DA8" s="16" t="s">
        <v>223</v>
      </c>
      <c r="DB8" s="16" t="s">
        <v>300</v>
      </c>
      <c r="DC8" s="16" t="s">
        <v>224</v>
      </c>
      <c r="DD8" s="16" t="s">
        <v>225</v>
      </c>
      <c r="DE8" s="16" t="s">
        <v>301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302</v>
      </c>
      <c r="DL8" s="16" t="s">
        <v>231</v>
      </c>
      <c r="DM8" s="16" t="s">
        <v>232</v>
      </c>
      <c r="DN8" s="16" t="s">
        <v>303</v>
      </c>
      <c r="DO8" s="16" t="s">
        <v>233</v>
      </c>
      <c r="DP8" s="16" t="s">
        <v>234</v>
      </c>
      <c r="DQ8" s="16" t="s">
        <v>304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2" t="s">
        <v>1</v>
      </c>
      <c r="EA8" s="42" t="s">
        <v>128</v>
      </c>
      <c r="EB8" s="43" t="s">
        <v>241</v>
      </c>
      <c r="EC8" s="42" t="s">
        <v>144</v>
      </c>
      <c r="ED8" s="42" t="s">
        <v>143</v>
      </c>
      <c r="EE8" s="12"/>
    </row>
    <row r="9" spans="1:135" ht="40" customHeight="1" x14ac:dyDescent="0.4">
      <c r="B9" s="17" cm="1">
        <f t="array" ref="B9">SN</f>
        <v>1</v>
      </c>
      <c r="C9" s="44" t="str" cm="1">
        <f t="array" ref="C9">GUID</f>
        <v>Feng Yi | Male | 9955</v>
      </c>
      <c r="D9" s="45" cm="1">
        <f t="array" ref="D9">Get_1_Calc</f>
        <v>0</v>
      </c>
      <c r="E9" s="17" cm="1">
        <f t="array" ref="E9">Get_1_Add</f>
        <v>0</v>
      </c>
      <c r="F9" s="17" cm="1">
        <f t="array" ref="F9">Get_1_Del</f>
        <v>0</v>
      </c>
      <c r="G9" s="45" cm="1">
        <f t="array" ref="G9">Get_2_Calc</f>
        <v>0</v>
      </c>
      <c r="H9" s="17" cm="1">
        <f t="array" ref="H9">Get_2_Add</f>
        <v>0</v>
      </c>
      <c r="I9" s="17" cm="1">
        <f t="array" ref="I9">Get_2_Del</f>
        <v>0</v>
      </c>
      <c r="J9" s="45" cm="1">
        <f t="array" ref="J9">Get_3_Calc</f>
        <v>0</v>
      </c>
      <c r="K9" s="17" cm="1">
        <f t="array" ref="K9">Get_3_Add</f>
        <v>0</v>
      </c>
      <c r="L9" s="17" cm="1">
        <f t="array" ref="L9">Get_3_Del</f>
        <v>0</v>
      </c>
      <c r="M9" s="45" cm="1">
        <f t="array" ref="M9">Get_4_Calc</f>
        <v>0</v>
      </c>
      <c r="N9" s="17" cm="1">
        <f t="array" ref="N9">Get_4_Add</f>
        <v>0</v>
      </c>
      <c r="O9" s="17" cm="1">
        <f t="array" ref="O9">Get_4_Del</f>
        <v>0</v>
      </c>
      <c r="P9" s="45" cm="1">
        <f t="array" ref="P9">Get_5_Calc</f>
        <v>0</v>
      </c>
      <c r="Q9" s="17" cm="1">
        <f t="array" ref="Q9">Get_5_Add</f>
        <v>0</v>
      </c>
      <c r="R9" s="17" cm="1">
        <f t="array" ref="R9">Get_5_Del</f>
        <v>0</v>
      </c>
      <c r="S9" s="45" cm="1">
        <f t="array" ref="S9">Get_6_Calc</f>
        <v>0</v>
      </c>
      <c r="T9" s="17" cm="1">
        <f t="array" ref="T9">Get_6_Add</f>
        <v>0</v>
      </c>
      <c r="U9" s="17" cm="1">
        <f t="array" ref="U9">Get_6_Del</f>
        <v>0</v>
      </c>
      <c r="V9" s="45" cm="1">
        <f t="array" ref="V9">Get_7_Calc</f>
        <v>0</v>
      </c>
      <c r="W9" s="17" cm="1">
        <f t="array" ref="W9">Get_7_Add</f>
        <v>0</v>
      </c>
      <c r="X9" s="17" cm="1">
        <f t="array" ref="X9">Get_7_Del</f>
        <v>0</v>
      </c>
      <c r="Y9" s="45" cm="1">
        <f t="array" ref="Y9">Get_8_Calc</f>
        <v>0</v>
      </c>
      <c r="Z9" s="17" cm="1">
        <f t="array" ref="Z9">Get_8_Add</f>
        <v>0</v>
      </c>
      <c r="AA9" s="17" cm="1">
        <f t="array" ref="AA9">Get_8_Del</f>
        <v>0</v>
      </c>
      <c r="AB9" s="45" cm="1">
        <f t="array" ref="AB9">Get_9_Calc</f>
        <v>0</v>
      </c>
      <c r="AC9" s="17" cm="1">
        <f t="array" ref="AC9">Get_9_Add</f>
        <v>0</v>
      </c>
      <c r="AD9" s="17" cm="1">
        <f t="array" ref="AD9">Get_9_Del</f>
        <v>0</v>
      </c>
      <c r="AE9" s="45" cm="1">
        <f t="array" ref="AE9">Get_10_Calc</f>
        <v>0</v>
      </c>
      <c r="AF9" s="17" cm="1">
        <f t="array" ref="AF9">Get_10_Add</f>
        <v>0</v>
      </c>
      <c r="AG9" s="17" cm="1">
        <f t="array" ref="AG9">Get_10_Del</f>
        <v>0</v>
      </c>
      <c r="AH9" s="45" cm="1">
        <f t="array" ref="AH9">Get_11_Calc</f>
        <v>0</v>
      </c>
      <c r="AI9" s="17" cm="1">
        <f t="array" ref="AI9">Get_11_Add</f>
        <v>0</v>
      </c>
      <c r="AJ9" s="17" cm="1">
        <f t="array" ref="AJ9">Get_11_Del</f>
        <v>0</v>
      </c>
      <c r="AK9" s="45" cm="1">
        <f t="array" ref="AK9">Get_12_Calc</f>
        <v>0</v>
      </c>
      <c r="AL9" s="17" cm="1">
        <f t="array" ref="AL9">Get_12_Add</f>
        <v>0</v>
      </c>
      <c r="AM9" s="17" cm="1">
        <f t="array" ref="AM9">Get_12_Del</f>
        <v>0</v>
      </c>
      <c r="AN9" s="45" cm="1">
        <f t="array" ref="AN9">Get_13_Calc</f>
        <v>0</v>
      </c>
      <c r="AO9" s="17" cm="1">
        <f t="array" ref="AO9">Get_13_Add</f>
        <v>0</v>
      </c>
      <c r="AP9" s="17" cm="1">
        <f t="array" ref="AP9">Get_13_Del</f>
        <v>0</v>
      </c>
      <c r="AQ9" s="45" cm="1">
        <f t="array" ref="AQ9">Get_14_Calc</f>
        <v>0</v>
      </c>
      <c r="AR9" s="17" cm="1">
        <f t="array" ref="AR9">Get_14_Add</f>
        <v>0</v>
      </c>
      <c r="AS9" s="17" cm="1">
        <f t="array" ref="AS9">Get_14_Del</f>
        <v>0</v>
      </c>
      <c r="AT9" s="45" cm="1">
        <f t="array" ref="AT9">Get_15_Calc</f>
        <v>0</v>
      </c>
      <c r="AU9" s="17" cm="1">
        <f t="array" ref="AU9">Get_15_Add</f>
        <v>0</v>
      </c>
      <c r="AV9" s="17" cm="1">
        <f t="array" ref="AV9">Get_15_Del</f>
        <v>0</v>
      </c>
      <c r="AW9" s="45" cm="1">
        <f t="array" ref="AW9">Get_16_Calc</f>
        <v>0</v>
      </c>
      <c r="AX9" s="17" cm="1">
        <f t="array" ref="AX9">Get_16_Add</f>
        <v>0</v>
      </c>
      <c r="AY9" s="17" cm="1">
        <f t="array" ref="AY9">Get_16_Del</f>
        <v>0</v>
      </c>
      <c r="AZ9" s="45" cm="1">
        <f t="array" ref="AZ9">Get_17_Calc</f>
        <v>0</v>
      </c>
      <c r="BA9" s="17" cm="1">
        <f t="array" ref="BA9">Get_17_Add</f>
        <v>0</v>
      </c>
      <c r="BB9" s="17" cm="1">
        <f t="array" ref="BB9">Get_17_Del</f>
        <v>0</v>
      </c>
      <c r="BC9" s="45" cm="1">
        <f t="array" ref="BC9">Get_18_Calc</f>
        <v>0</v>
      </c>
      <c r="BD9" s="17" cm="1">
        <f t="array" ref="BD9">Get_18_Add</f>
        <v>0</v>
      </c>
      <c r="BE9" s="17" cm="1">
        <f t="array" ref="BE9">Get_18_Del</f>
        <v>0</v>
      </c>
      <c r="BF9" s="45" cm="1">
        <f t="array" ref="BF9">Get_19_Calc</f>
        <v>0</v>
      </c>
      <c r="BG9" s="17" cm="1">
        <f t="array" ref="BG9">Get_19_Add</f>
        <v>0</v>
      </c>
      <c r="BH9" s="17" cm="1">
        <f t="array" ref="BH9">Get_19_Del</f>
        <v>0</v>
      </c>
      <c r="BI9" s="45" cm="1">
        <f t="array" ref="BI9">Get_20_Calc</f>
        <v>0</v>
      </c>
      <c r="BJ9" s="17" cm="1">
        <f t="array" ref="BJ9">Get_20_Add</f>
        <v>0</v>
      </c>
      <c r="BK9" s="17" cm="1">
        <f t="array" ref="BK9">Get_20_Del</f>
        <v>0</v>
      </c>
      <c r="BL9" s="17" cm="1">
        <f t="array" ref="BL9">Get_21_Calc</f>
        <v>0</v>
      </c>
      <c r="BM9" s="17" cm="1">
        <f t="array" ref="BM9">Get_21_Add</f>
        <v>0</v>
      </c>
      <c r="BN9" s="17" cm="1">
        <f t="array" ref="BN9">Get_21_Del</f>
        <v>0</v>
      </c>
      <c r="BO9" s="17" cm="1">
        <f t="array" ref="BO9">Get_22_Calc</f>
        <v>0</v>
      </c>
      <c r="BP9" s="17" cm="1">
        <f t="array" ref="BP9">Get_22_Add</f>
        <v>0</v>
      </c>
      <c r="BQ9" s="17" cm="1">
        <f t="array" ref="BQ9">Get_22_Del</f>
        <v>0</v>
      </c>
      <c r="BR9" s="17" cm="1">
        <f t="array" ref="BR9">Get_23_Calc</f>
        <v>0</v>
      </c>
      <c r="BS9" s="17" cm="1">
        <f t="array" ref="BS9">Get_23_Add</f>
        <v>0</v>
      </c>
      <c r="BT9" s="17" cm="1">
        <f t="array" ref="BT9">Get_23_Del</f>
        <v>0</v>
      </c>
      <c r="BU9" s="17" cm="1">
        <f t="array" ref="BU9">Get_24_Calc</f>
        <v>0</v>
      </c>
      <c r="BV9" s="17" cm="1">
        <f t="array" ref="BV9">Get_24_Add</f>
        <v>0</v>
      </c>
      <c r="BW9" s="17" cm="1">
        <f t="array" ref="BW9">Get_24_Del</f>
        <v>0</v>
      </c>
      <c r="BX9" s="17" cm="1">
        <f t="array" ref="BX9">Get_25_Calc</f>
        <v>0</v>
      </c>
      <c r="BY9" s="17" cm="1">
        <f t="array" ref="BY9">Get_25_Add</f>
        <v>0</v>
      </c>
      <c r="BZ9" s="17" cm="1">
        <f t="array" ref="BZ9">Get_25_Del</f>
        <v>0</v>
      </c>
      <c r="CA9" s="17" cm="1">
        <f t="array" ref="CA9">Get_26_Calc</f>
        <v>0</v>
      </c>
      <c r="CB9" s="17" cm="1">
        <f t="array" ref="CB9">Get_26_Add</f>
        <v>0</v>
      </c>
      <c r="CC9" s="17" cm="1">
        <f t="array" ref="CC9">Get_26_Del</f>
        <v>0</v>
      </c>
      <c r="CD9" s="17" cm="1">
        <f t="array" ref="CD9">Get_27_Calc</f>
        <v>0</v>
      </c>
      <c r="CE9" s="17" cm="1">
        <f t="array" ref="CE9">Get_27_Add</f>
        <v>0</v>
      </c>
      <c r="CF9" s="17" cm="1">
        <f t="array" ref="CF9">Get_27_Del</f>
        <v>0</v>
      </c>
      <c r="CG9" s="17" cm="1">
        <f t="array" ref="CG9">Get_28_Calc</f>
        <v>0</v>
      </c>
      <c r="CH9" s="17" cm="1">
        <f t="array" ref="CH9">Get_28_Add</f>
        <v>0</v>
      </c>
      <c r="CI9" s="17" cm="1">
        <f t="array" ref="CI9">Get_28_Del</f>
        <v>0</v>
      </c>
      <c r="CJ9" s="17" cm="1">
        <f t="array" ref="CJ9">Get_29_Calc</f>
        <v>0</v>
      </c>
      <c r="CK9" s="17" cm="1">
        <f t="array" ref="CK9">Get_29_Add</f>
        <v>0</v>
      </c>
      <c r="CL9" s="17" cm="1">
        <f t="array" ref="CL9">Get_29_Del</f>
        <v>0</v>
      </c>
      <c r="CM9" s="17" cm="1">
        <f t="array" ref="CM9">Get_30_Calc</f>
        <v>0</v>
      </c>
      <c r="CN9" s="17" cm="1">
        <f t="array" ref="CN9">Get_30_Add</f>
        <v>0</v>
      </c>
      <c r="CO9" s="17" cm="1">
        <f t="array" ref="CO9">Get_30_Del</f>
        <v>0</v>
      </c>
      <c r="CP9" s="17" cm="1">
        <f t="array" ref="CP9">Get_31_Calc</f>
        <v>0</v>
      </c>
      <c r="CQ9" s="17" cm="1">
        <f t="array" ref="CQ9">Get_31_Add</f>
        <v>0</v>
      </c>
      <c r="CR9" s="17" cm="1">
        <f t="array" ref="CR9">Get_31_Del</f>
        <v>0</v>
      </c>
      <c r="CS9" s="17" cm="1">
        <f t="array" ref="CS9">Get_32_Calc</f>
        <v>0</v>
      </c>
      <c r="CT9" s="17" cm="1">
        <f t="array" ref="CT9">Get_32_Add</f>
        <v>0</v>
      </c>
      <c r="CU9" s="17" cm="1">
        <f t="array" ref="CU9">Get_32_Del</f>
        <v>0</v>
      </c>
      <c r="CV9" s="17" cm="1">
        <f t="array" ref="CV9">Get_33_Calc</f>
        <v>0</v>
      </c>
      <c r="CW9" s="17" cm="1">
        <f t="array" ref="CW9">Get_33_Add</f>
        <v>0</v>
      </c>
      <c r="CX9" s="17" cm="1">
        <f t="array" ref="CX9">Get_33_Del</f>
        <v>0</v>
      </c>
      <c r="CY9" s="17" cm="1">
        <f t="array" ref="CY9">Get_34_Calc</f>
        <v>0</v>
      </c>
      <c r="CZ9" s="17" cm="1">
        <f t="array" ref="CZ9">Get_34_Add</f>
        <v>0</v>
      </c>
      <c r="DA9" s="17" cm="1">
        <f t="array" ref="DA9">Get_34_Del</f>
        <v>0</v>
      </c>
      <c r="DB9" s="17" cm="1">
        <f t="array" ref="DB9">Get_35_Calc</f>
        <v>0</v>
      </c>
      <c r="DC9" s="17" cm="1">
        <f t="array" ref="DC9">Get_35_Add</f>
        <v>0</v>
      </c>
      <c r="DD9" s="17" cm="1">
        <f t="array" ref="DD9">Get_35_Del</f>
        <v>0</v>
      </c>
      <c r="DE9" s="17" cm="1">
        <f t="array" ref="DE9">Get_36_Calc</f>
        <v>0</v>
      </c>
      <c r="DF9" s="17" cm="1">
        <f t="array" ref="DF9">Get_36_Add</f>
        <v>0</v>
      </c>
      <c r="DG9" s="17" cm="1">
        <f t="array" ref="DG9">Get_36_Del</f>
        <v>0</v>
      </c>
      <c r="DH9" s="17" cm="1">
        <f t="array" ref="DH9">Get_37_Calc</f>
        <v>0</v>
      </c>
      <c r="DI9" s="17" cm="1">
        <f t="array" ref="DI9">Get_37_Add</f>
        <v>0</v>
      </c>
      <c r="DJ9" s="17" cm="1">
        <f t="array" ref="DJ9">Get_37_Del</f>
        <v>0</v>
      </c>
      <c r="DK9" s="17" cm="1">
        <f t="array" ref="DK9">Get_38_Calc</f>
        <v>0</v>
      </c>
      <c r="DL9" s="17" cm="1">
        <f t="array" ref="DL9">Get_38_Add</f>
        <v>0</v>
      </c>
      <c r="DM9" s="17" cm="1">
        <f t="array" ref="DM9">Get_38_Del</f>
        <v>0</v>
      </c>
      <c r="DN9" s="17" cm="1">
        <f t="array" ref="DN9">Get_39_Calc</f>
        <v>0</v>
      </c>
      <c r="DO9" s="17" cm="1">
        <f t="array" ref="DO9">Get_39_Add</f>
        <v>0</v>
      </c>
      <c r="DP9" s="17" cm="1">
        <f t="array" ref="DP9">Get_39_Del</f>
        <v>0</v>
      </c>
      <c r="DQ9" s="17" cm="1">
        <f t="array" ref="DQ9">Get_40_Calc</f>
        <v>0</v>
      </c>
      <c r="DR9" s="17" cm="1">
        <f t="array" ref="DR9">Get_40_Add</f>
        <v>0</v>
      </c>
      <c r="DS9" s="17" cm="1">
        <f t="array" ref="DS9">Get_40_Del</f>
        <v>0</v>
      </c>
      <c r="DT9" s="46" t="s">
        <v>253</v>
      </c>
      <c r="DU9" s="47" t="s">
        <v>0</v>
      </c>
      <c r="DV9" s="48" t="s">
        <v>247</v>
      </c>
      <c r="DW9" s="48"/>
      <c r="DX9" s="20"/>
      <c r="DY9" s="48" t="s">
        <v>46</v>
      </c>
      <c r="DZ9" s="48" t="s">
        <v>44</v>
      </c>
      <c r="EA9" s="48"/>
      <c r="EB9" s="21">
        <v>45268.505555555559</v>
      </c>
      <c r="EC9" s="49" t="s">
        <v>140</v>
      </c>
      <c r="ED9" s="50" t="s">
        <v>255</v>
      </c>
      <c r="EE9" s="37"/>
    </row>
    <row r="10" spans="1:135" ht="40" customHeight="1" x14ac:dyDescent="0.4">
      <c r="B10" s="23" cm="1">
        <f t="array" ref="B10">SN</f>
        <v>2</v>
      </c>
      <c r="C10" s="51" t="str" cm="1">
        <f t="array" ref="C10">GUID</f>
        <v>Li Yi | Female | 7551</v>
      </c>
      <c r="D10" s="52" cm="1">
        <f t="array" ref="D10">Get_1_Calc</f>
        <v>0</v>
      </c>
      <c r="E10" s="23" cm="1">
        <f t="array" ref="E10">Get_1_Add</f>
        <v>0</v>
      </c>
      <c r="F10" s="23" cm="1">
        <f t="array" ref="F10">Get_1_Del</f>
        <v>0</v>
      </c>
      <c r="G10" s="52" cm="1">
        <f t="array" ref="G10">Get_2_Calc</f>
        <v>0</v>
      </c>
      <c r="H10" s="23" cm="1">
        <f t="array" ref="H10">Get_2_Add</f>
        <v>0</v>
      </c>
      <c r="I10" s="23" cm="1">
        <f t="array" ref="I10">Get_2_Del</f>
        <v>0</v>
      </c>
      <c r="J10" s="52" cm="1">
        <f t="array" ref="J10">Get_3_Calc</f>
        <v>0</v>
      </c>
      <c r="K10" s="23" cm="1">
        <f t="array" ref="K10">Get_3_Add</f>
        <v>0</v>
      </c>
      <c r="L10" s="23" cm="1">
        <f t="array" ref="L10">Get_3_Del</f>
        <v>0</v>
      </c>
      <c r="M10" s="52" cm="1">
        <f t="array" ref="M10">Get_4_Calc</f>
        <v>0</v>
      </c>
      <c r="N10" s="23" cm="1">
        <f t="array" ref="N10">Get_4_Add</f>
        <v>0</v>
      </c>
      <c r="O10" s="23" cm="1">
        <f t="array" ref="O10">Get_4_Del</f>
        <v>0</v>
      </c>
      <c r="P10" s="52" cm="1">
        <f t="array" ref="P10">Get_5_Calc</f>
        <v>0</v>
      </c>
      <c r="Q10" s="23" cm="1">
        <f t="array" ref="Q10">Get_5_Add</f>
        <v>0</v>
      </c>
      <c r="R10" s="23" cm="1">
        <f t="array" ref="R10">Get_5_Del</f>
        <v>0</v>
      </c>
      <c r="S10" s="52" cm="1">
        <f t="array" ref="S10">Get_6_Calc</f>
        <v>0</v>
      </c>
      <c r="T10" s="23" cm="1">
        <f t="array" ref="T10">Get_6_Add</f>
        <v>0</v>
      </c>
      <c r="U10" s="23" cm="1">
        <f t="array" ref="U10">Get_6_Del</f>
        <v>0</v>
      </c>
      <c r="V10" s="52" cm="1">
        <f t="array" ref="V10">Get_7_Calc</f>
        <v>0</v>
      </c>
      <c r="W10" s="23" cm="1">
        <f t="array" ref="W10">Get_7_Add</f>
        <v>0</v>
      </c>
      <c r="X10" s="23" cm="1">
        <f t="array" ref="X10">Get_7_Del</f>
        <v>0</v>
      </c>
      <c r="Y10" s="52" cm="1">
        <f t="array" ref="Y10">Get_8_Calc</f>
        <v>0</v>
      </c>
      <c r="Z10" s="23" cm="1">
        <f t="array" ref="Z10">Get_8_Add</f>
        <v>0</v>
      </c>
      <c r="AA10" s="23" cm="1">
        <f t="array" ref="AA10">Get_8_Del</f>
        <v>0</v>
      </c>
      <c r="AB10" s="52" cm="1">
        <f t="array" ref="AB10">Get_9_Calc</f>
        <v>0</v>
      </c>
      <c r="AC10" s="23" cm="1">
        <f t="array" ref="AC10">Get_9_Add</f>
        <v>0</v>
      </c>
      <c r="AD10" s="23" cm="1">
        <f t="array" ref="AD10">Get_9_Del</f>
        <v>0</v>
      </c>
      <c r="AE10" s="52" cm="1">
        <f t="array" ref="AE10">Get_10_Calc</f>
        <v>0</v>
      </c>
      <c r="AF10" s="23" cm="1">
        <f t="array" ref="AF10">Get_10_Add</f>
        <v>0</v>
      </c>
      <c r="AG10" s="23" cm="1">
        <f t="array" ref="AG10">Get_10_Del</f>
        <v>0</v>
      </c>
      <c r="AH10" s="52" cm="1">
        <f t="array" ref="AH10">Get_11_Calc</f>
        <v>0</v>
      </c>
      <c r="AI10" s="23" cm="1">
        <f t="array" ref="AI10">Get_11_Add</f>
        <v>0</v>
      </c>
      <c r="AJ10" s="23" cm="1">
        <f t="array" ref="AJ10">Get_11_Del</f>
        <v>0</v>
      </c>
      <c r="AK10" s="52" cm="1">
        <f t="array" ref="AK10">Get_12_Calc</f>
        <v>0</v>
      </c>
      <c r="AL10" s="23" cm="1">
        <f t="array" ref="AL10">Get_12_Add</f>
        <v>0</v>
      </c>
      <c r="AM10" s="23" cm="1">
        <f t="array" ref="AM10">Get_12_Del</f>
        <v>0</v>
      </c>
      <c r="AN10" s="52" cm="1">
        <f t="array" ref="AN10">Get_13_Calc</f>
        <v>0</v>
      </c>
      <c r="AO10" s="23" cm="1">
        <f t="array" ref="AO10">Get_13_Add</f>
        <v>0</v>
      </c>
      <c r="AP10" s="23" cm="1">
        <f t="array" ref="AP10">Get_13_Del</f>
        <v>0</v>
      </c>
      <c r="AQ10" s="52" cm="1">
        <f t="array" ref="AQ10">Get_14_Calc</f>
        <v>0</v>
      </c>
      <c r="AR10" s="23" cm="1">
        <f t="array" ref="AR10">Get_14_Add</f>
        <v>0</v>
      </c>
      <c r="AS10" s="23" cm="1">
        <f t="array" ref="AS10">Get_14_Del</f>
        <v>0</v>
      </c>
      <c r="AT10" s="52" cm="1">
        <f t="array" ref="AT10">Get_15_Calc</f>
        <v>0</v>
      </c>
      <c r="AU10" s="23" cm="1">
        <f t="array" ref="AU10">Get_15_Add</f>
        <v>0</v>
      </c>
      <c r="AV10" s="23" cm="1">
        <f t="array" ref="AV10">Get_15_Del</f>
        <v>0</v>
      </c>
      <c r="AW10" s="52" cm="1">
        <f t="array" ref="AW10">Get_16_Calc</f>
        <v>0</v>
      </c>
      <c r="AX10" s="23" cm="1">
        <f t="array" ref="AX10">Get_16_Add</f>
        <v>0</v>
      </c>
      <c r="AY10" s="23" cm="1">
        <f t="array" ref="AY10">Get_16_Del</f>
        <v>0</v>
      </c>
      <c r="AZ10" s="52" cm="1">
        <f t="array" ref="AZ10">Get_17_Calc</f>
        <v>0</v>
      </c>
      <c r="BA10" s="23" cm="1">
        <f t="array" ref="BA10">Get_17_Add</f>
        <v>0</v>
      </c>
      <c r="BB10" s="23" cm="1">
        <f t="array" ref="BB10">Get_17_Del</f>
        <v>0</v>
      </c>
      <c r="BC10" s="52" cm="1">
        <f t="array" ref="BC10">Get_18_Calc</f>
        <v>0</v>
      </c>
      <c r="BD10" s="23" cm="1">
        <f t="array" ref="BD10">Get_18_Add</f>
        <v>0</v>
      </c>
      <c r="BE10" s="23" cm="1">
        <f t="array" ref="BE10">Get_18_Del</f>
        <v>0</v>
      </c>
      <c r="BF10" s="52" cm="1">
        <f t="array" ref="BF10">Get_19_Calc</f>
        <v>0</v>
      </c>
      <c r="BG10" s="23" cm="1">
        <f t="array" ref="BG10">Get_19_Add</f>
        <v>0</v>
      </c>
      <c r="BH10" s="23" cm="1">
        <f t="array" ref="BH10">Get_19_Del</f>
        <v>0</v>
      </c>
      <c r="BI10" s="52" cm="1">
        <f t="array" ref="BI10">Get_20_Calc</f>
        <v>0</v>
      </c>
      <c r="BJ10" s="23" cm="1">
        <f t="array" ref="BJ10">Get_20_Add</f>
        <v>0</v>
      </c>
      <c r="BK10" s="23" cm="1">
        <f t="array" ref="BK10">Get_20_Del</f>
        <v>0</v>
      </c>
      <c r="BL10" s="17" cm="1">
        <f t="array" ref="BL10">Get_21_Calc</f>
        <v>0</v>
      </c>
      <c r="BM10" s="17" cm="1">
        <f t="array" ref="BM10">Get_21_Add</f>
        <v>0</v>
      </c>
      <c r="BN10" s="17" cm="1">
        <f t="array" ref="BN10">Get_21_Del</f>
        <v>0</v>
      </c>
      <c r="BO10" s="23" cm="1">
        <f t="array" ref="BO10">Get_22_Calc</f>
        <v>0</v>
      </c>
      <c r="BP10" s="23" cm="1">
        <f t="array" ref="BP10">Get_22_Add</f>
        <v>0</v>
      </c>
      <c r="BQ10" s="23" cm="1">
        <f t="array" ref="BQ10">Get_22_Del</f>
        <v>0</v>
      </c>
      <c r="BR10" s="23" cm="1">
        <f t="array" ref="BR10">Get_23_Calc</f>
        <v>0</v>
      </c>
      <c r="BS10" s="23" cm="1">
        <f t="array" ref="BS10">Get_23_Add</f>
        <v>0</v>
      </c>
      <c r="BT10" s="23" cm="1">
        <f t="array" ref="BT10">Get_23_Del</f>
        <v>0</v>
      </c>
      <c r="BU10" s="23" cm="1">
        <f t="array" ref="BU10">Get_24_Calc</f>
        <v>0</v>
      </c>
      <c r="BV10" s="23" cm="1">
        <f t="array" ref="BV10">Get_24_Add</f>
        <v>0</v>
      </c>
      <c r="BW10" s="23" cm="1">
        <f t="array" ref="BW10">Get_24_Del</f>
        <v>0</v>
      </c>
      <c r="BX10" s="23" cm="1">
        <f t="array" ref="BX10">Get_25_Calc</f>
        <v>0</v>
      </c>
      <c r="BY10" s="23" cm="1">
        <f t="array" ref="BY10">Get_25_Add</f>
        <v>0</v>
      </c>
      <c r="BZ10" s="23" cm="1">
        <f t="array" ref="BZ10">Get_25_Del</f>
        <v>0</v>
      </c>
      <c r="CA10" s="23" cm="1">
        <f t="array" ref="CA10">Get_26_Calc</f>
        <v>0</v>
      </c>
      <c r="CB10" s="23" cm="1">
        <f t="array" ref="CB10">Get_26_Add</f>
        <v>0</v>
      </c>
      <c r="CC10" s="23" cm="1">
        <f t="array" ref="CC10">Get_26_Del</f>
        <v>0</v>
      </c>
      <c r="CD10" s="23" cm="1">
        <f t="array" ref="CD10">Get_27_Calc</f>
        <v>0</v>
      </c>
      <c r="CE10" s="23" cm="1">
        <f t="array" ref="CE10">Get_27_Add</f>
        <v>0</v>
      </c>
      <c r="CF10" s="23" cm="1">
        <f t="array" ref="CF10">Get_27_Del</f>
        <v>0</v>
      </c>
      <c r="CG10" s="23" cm="1">
        <f t="array" ref="CG10">Get_28_Calc</f>
        <v>0</v>
      </c>
      <c r="CH10" s="23" cm="1">
        <f t="array" ref="CH10">Get_28_Add</f>
        <v>0</v>
      </c>
      <c r="CI10" s="23" cm="1">
        <f t="array" ref="CI10">Get_28_Del</f>
        <v>0</v>
      </c>
      <c r="CJ10" s="23" cm="1">
        <f t="array" ref="CJ10">Get_29_Calc</f>
        <v>0</v>
      </c>
      <c r="CK10" s="23" cm="1">
        <f t="array" ref="CK10">Get_29_Add</f>
        <v>0</v>
      </c>
      <c r="CL10" s="23" cm="1">
        <f t="array" ref="CL10">Get_29_Del</f>
        <v>0</v>
      </c>
      <c r="CM10" s="23" cm="1">
        <f t="array" ref="CM10">Get_30_Calc</f>
        <v>0</v>
      </c>
      <c r="CN10" s="23" cm="1">
        <f t="array" ref="CN10">Get_30_Add</f>
        <v>0</v>
      </c>
      <c r="CO10" s="23" cm="1">
        <f t="array" ref="CO10">Get_30_Del</f>
        <v>0</v>
      </c>
      <c r="CP10" s="23" cm="1">
        <f t="array" ref="CP10">Get_31_Calc</f>
        <v>0</v>
      </c>
      <c r="CQ10" s="23" cm="1">
        <f t="array" ref="CQ10">Get_31_Add</f>
        <v>0</v>
      </c>
      <c r="CR10" s="23" cm="1">
        <f t="array" ref="CR10">Get_31_Del</f>
        <v>0</v>
      </c>
      <c r="CS10" s="23" cm="1">
        <f t="array" ref="CS10">Get_32_Calc</f>
        <v>0</v>
      </c>
      <c r="CT10" s="23" cm="1">
        <f t="array" ref="CT10">Get_32_Add</f>
        <v>0</v>
      </c>
      <c r="CU10" s="23" cm="1">
        <f t="array" ref="CU10">Get_32_Del</f>
        <v>0</v>
      </c>
      <c r="CV10" s="23" cm="1">
        <f t="array" ref="CV10">Get_33_Calc</f>
        <v>0</v>
      </c>
      <c r="CW10" s="23" cm="1">
        <f t="array" ref="CW10">Get_33_Add</f>
        <v>0</v>
      </c>
      <c r="CX10" s="23" cm="1">
        <f t="array" ref="CX10">Get_33_Del</f>
        <v>0</v>
      </c>
      <c r="CY10" s="23" cm="1">
        <f t="array" ref="CY10">Get_34_Calc</f>
        <v>0</v>
      </c>
      <c r="CZ10" s="23" cm="1">
        <f t="array" ref="CZ10">Get_34_Add</f>
        <v>0</v>
      </c>
      <c r="DA10" s="23" cm="1">
        <f t="array" ref="DA10">Get_34_Del</f>
        <v>0</v>
      </c>
      <c r="DB10" s="23" cm="1">
        <f t="array" ref="DB10">Get_35_Calc</f>
        <v>0</v>
      </c>
      <c r="DC10" s="23" cm="1">
        <f t="array" ref="DC10">Get_35_Add</f>
        <v>0</v>
      </c>
      <c r="DD10" s="23" cm="1">
        <f t="array" ref="DD10">Get_35_Del</f>
        <v>0</v>
      </c>
      <c r="DE10" s="23" cm="1">
        <f t="array" ref="DE10">Get_36_Calc</f>
        <v>0</v>
      </c>
      <c r="DF10" s="23" cm="1">
        <f t="array" ref="DF10">Get_36_Add</f>
        <v>0</v>
      </c>
      <c r="DG10" s="23" cm="1">
        <f t="array" ref="DG10">Get_36_Del</f>
        <v>0</v>
      </c>
      <c r="DH10" s="23" cm="1">
        <f t="array" ref="DH10">Get_37_Calc</f>
        <v>0</v>
      </c>
      <c r="DI10" s="23" cm="1">
        <f t="array" ref="DI10">Get_37_Add</f>
        <v>0</v>
      </c>
      <c r="DJ10" s="23" cm="1">
        <f t="array" ref="DJ10">Get_37_Del</f>
        <v>0</v>
      </c>
      <c r="DK10" s="23" cm="1">
        <f t="array" ref="DK10">Get_38_Calc</f>
        <v>0</v>
      </c>
      <c r="DL10" s="23" cm="1">
        <f t="array" ref="DL10">Get_38_Add</f>
        <v>0</v>
      </c>
      <c r="DM10" s="23" cm="1">
        <f t="array" ref="DM10">Get_38_Del</f>
        <v>0</v>
      </c>
      <c r="DN10" s="23" cm="1">
        <f t="array" ref="DN10">Get_39_Calc</f>
        <v>0</v>
      </c>
      <c r="DO10" s="23" cm="1">
        <f t="array" ref="DO10">Get_39_Add</f>
        <v>0</v>
      </c>
      <c r="DP10" s="23" cm="1">
        <f t="array" ref="DP10">Get_39_Del</f>
        <v>0</v>
      </c>
      <c r="DQ10" s="23" cm="1">
        <f t="array" ref="DQ10">Get_40_Calc</f>
        <v>0</v>
      </c>
      <c r="DR10" s="23" cm="1">
        <f t="array" ref="DR10">Get_40_Add</f>
        <v>0</v>
      </c>
      <c r="DS10" s="23" cm="1">
        <f t="array" ref="DS10">Get_40_Del</f>
        <v>0</v>
      </c>
      <c r="DT10" s="46" t="s">
        <v>254</v>
      </c>
      <c r="DU10" s="47" t="s">
        <v>0</v>
      </c>
      <c r="DV10" s="48" t="s">
        <v>248</v>
      </c>
      <c r="DW10" s="48"/>
      <c r="DX10" s="20"/>
      <c r="DY10" s="48" t="s">
        <v>47</v>
      </c>
      <c r="DZ10" s="48"/>
      <c r="EA10" s="48"/>
      <c r="EB10" s="21">
        <v>45268.505555555559</v>
      </c>
      <c r="EC10" s="49" t="s">
        <v>140</v>
      </c>
      <c r="ED10" s="50" t="s">
        <v>255</v>
      </c>
    </row>
  </sheetData>
  <sheetProtection sheet="1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1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1115786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1219200</xdr:colOff>
                    <xdr:row>5</xdr:row>
                    <xdr:rowOff>97971</xdr:rowOff>
                  </from>
                  <to>
                    <xdr:col>2</xdr:col>
                    <xdr:colOff>2688771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79" t="s">
        <v>256</v>
      </c>
      <c r="AS6" s="179"/>
      <c r="AT6" s="179"/>
      <c r="AU6" s="179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257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258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2023-12-27T09:34:11Z</cp:lastPrinted>
  <dcterms:created xsi:type="dcterms:W3CDTF">2023-11-27T09:49:08Z</dcterms:created>
  <dcterms:modified xsi:type="dcterms:W3CDTF">2024-02-07T14:16:28Z</dcterms:modified>
</cp:coreProperties>
</file>