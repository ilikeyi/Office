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665B350-1BE8-4B91-99D7-56CAF83AE06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Setting!$D$53:$M$53</definedName>
    <definedName name="Get_Store_Uid">Store_Setting[Unique
identifier]</definedName>
    <definedName name="Get_Type_of_Access">Setting!$D$67:$E$67</definedName>
    <definedName name="Get_Work_Unit">Setting!$D$62:$M$62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1" l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E7" i="4"/>
  <c r="D74" i="1"/>
  <c r="B2" i="5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D73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F9" i="6" l="1" a="1"/>
  <c r="EF9" i="6" s="1"/>
  <c r="EE9" i="6" a="1"/>
  <c r="EE9" i="6" s="1"/>
  <c r="EG9" i="6" a="1"/>
  <c r="EG9" i="6" s="1"/>
  <c r="E9" i="9"/>
  <c r="E8" i="9"/>
  <c r="DC9" i="6" a="1"/>
  <c r="DC9" i="6" s="1"/>
  <c r="I45" i="1" s="1"/>
  <c r="K49" i="1"/>
  <c r="K48" i="1"/>
  <c r="K41" i="1"/>
  <c r="K40" i="1"/>
  <c r="K25" i="1"/>
  <c r="K24" i="1"/>
  <c r="K17" i="1"/>
  <c r="K31" i="1"/>
  <c r="K23" i="1"/>
  <c r="K39" i="1"/>
  <c r="K16" i="1"/>
  <c r="K33" i="1"/>
  <c r="K15" i="1"/>
  <c r="K47" i="1"/>
  <c r="K32" i="1"/>
  <c r="K46" i="1"/>
  <c r="K38" i="1"/>
  <c r="K30" i="1"/>
  <c r="K14" i="1"/>
  <c r="K45" i="1"/>
  <c r="K37" i="1"/>
  <c r="K29" i="1"/>
  <c r="K21" i="1"/>
  <c r="K13" i="1"/>
  <c r="K36" i="1"/>
  <c r="K20" i="1"/>
  <c r="K12" i="1"/>
  <c r="K43" i="1"/>
  <c r="K35" i="1"/>
  <c r="K27" i="1"/>
  <c r="K19" i="1"/>
  <c r="K50" i="1"/>
  <c r="K42" i="1"/>
  <c r="K34" i="1"/>
  <c r="K26" i="1"/>
  <c r="K18" i="1"/>
  <c r="K44" i="1"/>
  <c r="K28" i="1"/>
  <c r="K22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5" i="1" l="1"/>
  <c r="G19" i="1"/>
  <c r="G48" i="1"/>
  <c r="G28" i="1"/>
  <c r="G12" i="1"/>
  <c r="G17" i="1"/>
  <c r="G37" i="1"/>
  <c r="G35" i="1"/>
  <c r="G21" i="1"/>
  <c r="G29" i="1"/>
  <c r="G20" i="1"/>
  <c r="G42" i="1"/>
  <c r="G31" i="1"/>
  <c r="G40" i="1"/>
  <c r="G14" i="1"/>
  <c r="G26" i="1"/>
  <c r="G33" i="1"/>
  <c r="G46" i="1"/>
  <c r="G50" i="1"/>
  <c r="G13" i="1"/>
  <c r="G36" i="1"/>
  <c r="G38" i="1"/>
  <c r="G47" i="1"/>
  <c r="G32" i="1"/>
  <c r="G25" i="1"/>
  <c r="G34" i="1"/>
  <c r="G18" i="1"/>
  <c r="G24" i="1"/>
  <c r="G30" i="1"/>
  <c r="G22" i="1"/>
  <c r="G27" i="1"/>
  <c r="G41" i="1"/>
  <c r="G23" i="1"/>
  <c r="G45" i="1"/>
  <c r="G39" i="1"/>
  <c r="G49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<sst xmlns="http://schemas.openxmlformats.org/spreadsheetml/2006/main" count="405" uniqueCount="331">
  <si>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</si>
  <si>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</si>
  <si>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</si>
  <si>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</si>
  <si>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</si>
  <si>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</si>
  <si>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</si>
  <si>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</si>
  <si>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</si>
  <si>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</si>
  <si>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</si>
  <si>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</si>
  <si>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</si>
  <si>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</si>
  <si>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</si>
  <si>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</si>
  <si>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</si>
  <si>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</si>
  <si>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</si>
  <si>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</si>
  <si>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</si>
  <si>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</si>
  <si>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</si>
  <si>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</si>
  <si>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</si>
  <si>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</si>
  <si>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</si>
  <si>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</si>
  <si>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</si>
  <si>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</si>
  <si>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</si>
  <si>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</si>
  <si>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</si>
  <si>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</si>
  <si>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</si>
  <si>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</si>
  <si>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</si>
  <si>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</si>
  <si>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</si>
  <si>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</si>
  <si>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</si>
  <si>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</si>
  <si>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</si>
  <si>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</si>
  <si>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</si>
  <si>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</si>
  <si>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</si>
  <si>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</si>
  <si>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</si>
  <si>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</si>
  <si>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</si>
  <si>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</si>
  <si>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</si>
  <si>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</si>
  <si>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</si>
  <si>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</si>
  <si>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</si>
  <si>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</si>
  <si>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</si>
  <si>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</si>
  <si>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</si>
  <si>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</si>
  <si>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</si>
  <si>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</si>
  <si>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</si>
  <si>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</si>
  <si>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</si>
  <si>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</si>
  <si>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</si>
  <si>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</si>
  <si>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</si>
  <si>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</si>
  <si>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</si>
  <si>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</si>
  <si>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</si>
  <si>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</si>
  <si>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</si>
  <si>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</si>
  <si>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</si>
  <si>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</si>
  <si>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</si>
  <si>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</si>
  <si>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</si>
  <si>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</si>
  <si>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</si>
  <si>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</si>
  <si>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</si>
  <si>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</si>
  <si>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</si>
  <si>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</si>
  <si>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</si>
  <si>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</si>
  <si>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</si>
  <si>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</si>
  <si>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</si>
  <si>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</si>
  <si>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</si>
  <si>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</si>
  <si>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</si>
  <si>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</si>
  <si>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</si>
  <si>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</si>
  <si>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</si>
  <si>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</si>
  <si>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</si>
  <si>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</si>
  <si>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</si>
  <si>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</si>
  <si>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</si>
  <si>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</si>
  <si>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</si>
  <si>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</si>
  <si>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</si>
  <si>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</si>
  <si>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</si>
  <si>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</si>
  <si>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</si>
  <si>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</si>
  <si>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</si>
  <si>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</si>
  <si>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</si>
  <si>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</si>
  <si>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</si>
  <si>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</si>
  <si>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</si>
  <si>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</si>
  <si>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</si>
  <si>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</si>
  <si>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</si>
  <si>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</si>
  <si>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</si>
  <si>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</si>
  <si>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</si>
  <si>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</si>
  <si>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</si>
  <si>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</si>
  <si>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</si>
  <si>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</si>
  <si>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</si>
  <si>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</si>
  <si>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</si>
  <si>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</si>
  <si>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</si>
  <si>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</si>
  <si>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</si>
  <si>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</si>
  <si>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</si>
  <si>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</si>
  <si>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</si>
  <si>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</si>
  <si>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</si>
  <si>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</si>
  <si>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</si>
  <si>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</si>
  <si>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</si>
  <si>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</si>
  <si>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</si>
  <si>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</si>
  <si>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</si>
  <si>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</si>
  <si>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</si>
  <si>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</si>
  <si>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</si>
  <si>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</si>
  <si>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</si>
  <si>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</si>
  <si>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</si>
  <si>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</si>
  <si>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</si>
  <si>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</si>
  <si>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</si>
  <si>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</si>
  <si>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</si>
  <si>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</si>
  <si>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</si>
  <si>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</si>
  <si>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</si>
  <si>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</si>
  <si>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</si>
  <si>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</si>
  <si>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</si>
  <si>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</si>
  <si>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</si>
  <si>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</si>
  <si>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</si>
  <si>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</si>
  <si>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</si>
  <si>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</si>
  <si>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</si>
  <si>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</si>
  <si>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</si>
  <si>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</si>
  <si>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</si>
  <si>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</si>
  <si>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</si>
  <si>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</si>
  <si>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</si>
  <si>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</si>
  <si>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</si>
  <si>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</si>
  <si>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</si>
  <si>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</si>
  <si>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</si>
  <si>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</si>
  <si>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</si>
  <si>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</si>
  <si>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</si>
  <si>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</si>
  <si>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</si>
  <si>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</si>
  <si>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</si>
  <si>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</si>
  <si>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</si>
  <si>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</si>
  <si>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</si>
  <si>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</si>
  <si>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</si>
  <si>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</si>
  <si>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</si>
  <si>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</si>
  <si>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</si>
  <si>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</si>
  <si>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</si>
  <si>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</si>
  <si>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</si>
  <si>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</si>
  <si>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</si>
  <si>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</si>
  <si>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</si>
  <si>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</si>
  <si>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</si>
  <si>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</si>
  <si>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</si>
  <si>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</si>
  <si>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</si>
  <si>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</si>
  <si>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</si>
  <si>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</si>
  <si>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</si>
  <si>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</si>
  <si>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</si>
  <si>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</si>
  <si>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</si>
  <si>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</si>
  <si>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</si>
  <si>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</si>
  <si>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</si>
  <si>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</si>
  <si>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</si>
  <si>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</si>
  <si>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</si>
  <si>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</si>
  <si>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</si>
  <si>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</si>
  <si>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</si>
  <si>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</si>
  <si>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</si>
  <si>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</si>
  <si>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</si>
  <si>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</si>
  <si>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</si>
  <si>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</si>
  <si>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</si>
  <si>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</si>
  <si>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</si>
  <si>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</si>
  <si>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</si>
  <si>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</si>
  <si>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</si>
  <si>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</si>
  <si>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</si>
  <si>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</si>
  <si>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</si>
  <si>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</si>
  <si>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</si>
  <si>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</si>
  <si>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</si>
  <si>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</si>
  <si>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</si>
  <si>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</si>
  <si>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</si>
  <si>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</si>
  <si>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</si>
  <si>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</si>
  <si>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</si>
  <si>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</si>
  <si>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</si>
  <si>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</si>
  <si>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</si>
  <si>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</si>
  <si>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</si>
  <si>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</si>
  <si>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</si>
  <si>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</si>
  <si>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</si>
  <si>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</si>
  <si>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</si>
  <si>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</si>
  <si>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</si>
  <si>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</si>
  <si>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</si>
  <si>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</si>
  <si>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</si>
  <si>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</si>
  <si>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</si>
  <si>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</si>
  <si>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</si>
  <si>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</si>
  <si>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</si>
  <si>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</si>
  <si>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</si>
  <si>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</si>
  <si>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</si>
  <si>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</si>
  <si>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</si>
  <si>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</si>
  <si>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</si>
  <si>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</si>
  <si>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</si>
  <si>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</si>
  <si>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</si>
  <si>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</si>
  <si>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</si>
  <si>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</si>
  <si>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</si>
  <si>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</si>
  <si>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</si>
  <si>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v2.1</t>
  </si>
  <si>
    <t>Associated
withdrawals</t>
  </si>
  <si>
    <t>Total is
associated</t>
  </si>
  <si>
    <t>Linked
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</si>
</sst>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 vertical="center" wrapText="1" indent="4"/>
    </xf>
    <xf numFmtId="0" fontId="12" fillId="2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3" xfId="0" applyFont="1" applyFill="1" applyBorder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9" fillId="16" borderId="0" xfId="0" applyFont="1" applyFill="1" applyAlignment="1">
      <alignment horizontal="left" vertical="center" inden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9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0"/>
    <tableColumn id="2" xr3:uid="{C28244F3-482D-4CFC-B629-A29496B98C0B}" name="Product name" dataDxfId="389"/>
    <tableColumn id="11" xr3:uid="{71958388-9C14-426E-8457-DCEA92BC0E87}" name="Negative difference" dataDxfId="38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87">
      <calculatedColumnFormula>SUM(UserInfo[1 - Remaining])</calculatedColumnFormula>
    </tableColumn>
    <tableColumn id="7" xr3:uid="{75829BDD-5513-4744-8184-35AE3788771C}" name="Deposited" dataDxfId="386">
      <calculatedColumnFormula>SUM(UserInfo[1 - Deposit])</calculatedColumnFormula>
    </tableColumn>
    <tableColumn id="6" xr3:uid="{B71F91EB-0024-4EC1-8035-3636C31B3740}" name="Withdrawn" dataDxfId="385">
      <calculatedColumnFormula>SUM(UserInfo[1 - Withdrawal])</calculatedColumnFormula>
    </tableColumn>
    <tableColumn id="5" xr3:uid="{6E4E3255-2204-43C6-A50C-EEAF08580A14}" name="Negative_x000a_inventory_x000a_balance" dataDxfId="38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3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2">
      <calculatedColumnFormula>SUMIFS(Store_History[Quantity],Store_History[Unique identifier],Store_Setting[[#This Row],[Unique
identifier]],Store_History[Type],"Pick up")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2" xr3:uid="{6838A7E0-670C-4A2D-AF67-326212D8D278}" name="Last name" dataDxfId="122" totalsRowDxfId="121"/>
    <tableColumn id="25" xr3:uid="{0E0946FC-F3D2-412C-BDE7-636B8FDBFE7C}" name="Name" dataDxfId="120" totalsRowDxfId="119"/>
    <tableColumn id="3" xr3:uid="{E7DD7F6C-DAA7-4B96-9638-5C8F7FEFCC2E}" name="Gender" dataDxfId="118" totalsRowDxfId="117"/>
    <tableColumn id="23" xr3:uid="{AABD28F8-91AC-4EA0-915D-2F3C990C193D}" name="Identification number" dataDxfId="116" totalsRowDxfId="115"/>
    <tableColumn id="24" xr3:uid="{14505223-157D-4FB0-A334-A4E4687523F8}" name="Age" dataDxfId="114" totalsRowDxfId="113"/>
    <tableColumn id="4" xr3:uid="{B39F2860-CADF-40CB-832A-CCDE8501D7E3}" name="Telephone" dataDxfId="112" totalsRowDxfId="111"/>
    <tableColumn id="16" xr3:uid="{6E8928D1-6540-4241-9B8F-BFBC65F8DA26}" name="Email" dataDxfId="110"/>
    <tableColumn id="17" xr3:uid="{5422D38F-7826-4B14-9992-0434FAF52537}" name="Home address" dataDxfId="109" totalsRowDxfId="108"/>
    <tableColumn id="13" xr3:uid="{1096126D-9431-4280-89CE-FD45CA05D86A}" name="Add member time" dataDxfId="107" totalsRowDxfId="106"/>
    <tableColumn id="22" xr3:uid="{8DAD451D-44A8-40A3-A244-DDF540273F95}" name="Job number" dataDxfId="105" totalsRowDxfId="104"/>
    <tableColumn id="12" xr3:uid="{A8D286B9-575E-4C05-8F77-63C322A43E3C}" name="Remark" totalsRowFunction="count" dataDxfId="103" totalsRowDxfId="102"/>
    <tableColumn id="137" xr3:uid="{AB7E1BAB-0E5B-44DC-8CC2-A20D527FCF1F}" name="Total is_x000a_associated" dataDxfId="101" totalsRowDxfId="100">
      <calculatedColumnFormula array="1">History_Total</calculatedColumnFormula>
    </tableColumn>
    <tableColumn id="138" xr3:uid="{9C486A76-04E0-450A-9393-0772785A800E}" name="Linked_x000a_deposit" dataDxfId="99" totalsRowDxfId="98">
      <calculatedColumnFormula array="1">History_Saved</calculatedColumnFormula>
    </tableColumn>
    <tableColumn id="139" xr3:uid="{C0C39A21-3EB4-4B86-B985-EAC27D3673D0}" name="Associated_x000a_withdrawals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6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41"/>
    </row>
    <row r="2" spans="1:16" s="100" customFormat="1" ht="10" customHeight="1" x14ac:dyDescent="0.4">
      <c r="E2" s="142"/>
    </row>
    <row r="3" spans="1:16" s="51" customFormat="1" ht="40" customHeight="1" x14ac:dyDescent="0.5">
      <c r="A3" s="143"/>
      <c r="B3" s="143"/>
      <c r="C3" s="143"/>
      <c r="D3" s="4" t="s">
        <v>48</v>
      </c>
      <c r="E3" s="144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s="51" customFormat="1" ht="8.15" customHeight="1" x14ac:dyDescent="0.4">
      <c r="A4" s="143"/>
      <c r="B4" s="143"/>
      <c r="C4" s="143"/>
      <c r="D4" s="145"/>
      <c r="E4" s="144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</row>
    <row r="5" spans="1:16" s="51" customFormat="1" ht="40" customHeight="1" x14ac:dyDescent="0.4">
      <c r="A5" s="143"/>
      <c r="B5" s="143"/>
      <c r="C5" s="143"/>
      <c r="D5" s="181" t="s">
        <v>49</v>
      </c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43"/>
    </row>
    <row r="6" spans="1:16" ht="16.5" customHeight="1" x14ac:dyDescent="0.4"/>
    <row r="7" spans="1:16" ht="8.15" customHeight="1" x14ac:dyDescent="0.4">
      <c r="B7" s="51"/>
      <c r="C7" s="51"/>
      <c r="D7" s="51"/>
      <c r="E7" s="147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8"/>
      <c r="D8" s="149" t="s">
        <v>50</v>
      </c>
      <c r="E8" s="149"/>
      <c r="F8" s="149"/>
      <c r="G8" s="148"/>
      <c r="H8" s="148"/>
      <c r="I8" s="148"/>
      <c r="J8" s="148"/>
      <c r="K8" s="148"/>
      <c r="L8" s="148"/>
      <c r="M8" s="148"/>
      <c r="N8" s="148"/>
      <c r="O8" s="51"/>
    </row>
    <row r="9" spans="1:16" ht="50.15" customHeight="1" thickTop="1" x14ac:dyDescent="0.4">
      <c r="B9" s="51"/>
      <c r="C9" s="51">
        <v>1</v>
      </c>
      <c r="D9" s="182" t="s">
        <v>51</v>
      </c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51"/>
    </row>
    <row r="10" spans="1:16" ht="50.15" customHeight="1" x14ac:dyDescent="0.4">
      <c r="B10" s="51"/>
      <c r="C10" s="51">
        <v>1</v>
      </c>
      <c r="D10" s="183" t="s">
        <v>52</v>
      </c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51"/>
    </row>
    <row r="11" spans="1:16" ht="35.15" customHeight="1" x14ac:dyDescent="0.4">
      <c r="B11" s="51"/>
      <c r="C11" s="51">
        <v>1</v>
      </c>
      <c r="D11" s="183" t="s">
        <v>53</v>
      </c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51"/>
    </row>
    <row r="12" spans="1:16" ht="35.15" customHeight="1" x14ac:dyDescent="0.4">
      <c r="B12" s="51"/>
      <c r="C12" s="51">
        <v>-1</v>
      </c>
      <c r="D12" s="183" t="s">
        <v>54</v>
      </c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51"/>
    </row>
    <row r="13" spans="1:16" ht="35.15" customHeight="1" x14ac:dyDescent="0.4">
      <c r="B13" s="51"/>
      <c r="C13" s="51"/>
      <c r="D13" s="150"/>
      <c r="E13" s="147"/>
      <c r="F13" s="147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8"/>
      <c r="D14" s="149" t="s">
        <v>55</v>
      </c>
      <c r="E14" s="149"/>
      <c r="F14" s="148"/>
      <c r="G14" s="148"/>
      <c r="H14" s="148"/>
      <c r="I14" s="148"/>
      <c r="J14" s="148"/>
      <c r="K14" s="148"/>
      <c r="L14" s="148"/>
      <c r="M14" s="148"/>
      <c r="N14" s="148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80" t="s">
        <v>56</v>
      </c>
      <c r="F15" s="180"/>
      <c r="G15" s="180"/>
      <c r="H15" s="180"/>
      <c r="I15" s="180"/>
      <c r="J15" s="180"/>
      <c r="K15" s="180"/>
      <c r="L15" s="180"/>
      <c r="M15" s="180"/>
      <c r="N15" s="180"/>
      <c r="O15" s="51"/>
    </row>
    <row r="16" spans="1:16" ht="35.15" customHeight="1" x14ac:dyDescent="0.4">
      <c r="B16" s="51"/>
      <c r="C16" s="51"/>
      <c r="D16" s="51"/>
      <c r="E16" s="178" t="s">
        <v>57</v>
      </c>
      <c r="F16" s="178"/>
      <c r="G16" s="178"/>
      <c r="H16" s="178"/>
      <c r="I16" s="178"/>
      <c r="J16" s="178"/>
      <c r="K16" s="178"/>
      <c r="L16" s="178"/>
      <c r="M16" s="178"/>
      <c r="N16" s="178"/>
      <c r="O16" s="51"/>
    </row>
    <row r="17" spans="2:15" ht="35.15" customHeight="1" x14ac:dyDescent="0.4">
      <c r="B17" s="51"/>
      <c r="C17" s="51"/>
      <c r="D17" s="51"/>
      <c r="E17" s="178" t="s">
        <v>58</v>
      </c>
      <c r="F17" s="178"/>
      <c r="G17" s="178"/>
      <c r="H17" s="178"/>
      <c r="I17" s="178"/>
      <c r="J17" s="178"/>
      <c r="K17" s="178"/>
      <c r="L17" s="178"/>
      <c r="M17" s="178"/>
      <c r="N17" s="178"/>
      <c r="O17" s="51"/>
    </row>
    <row r="18" spans="2:15" ht="15" customHeight="1" x14ac:dyDescent="0.4">
      <c r="B18" s="51"/>
      <c r="C18" s="51"/>
      <c r="D18" s="51"/>
      <c r="E18" s="151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78" t="s">
        <v>59</v>
      </c>
      <c r="F19" s="178"/>
      <c r="G19" s="178"/>
      <c r="H19" s="178"/>
      <c r="I19" s="178"/>
      <c r="J19" s="178"/>
      <c r="K19" s="178"/>
      <c r="L19" s="178"/>
      <c r="M19" s="178"/>
      <c r="N19" s="178"/>
      <c r="O19" s="51"/>
    </row>
    <row r="20" spans="2:15" ht="49.5" customHeight="1" x14ac:dyDescent="0.4">
      <c r="B20" s="51"/>
      <c r="C20" s="51"/>
      <c r="D20" s="51"/>
      <c r="E20" s="178" t="s">
        <v>60</v>
      </c>
      <c r="F20" s="178"/>
      <c r="G20" s="178"/>
      <c r="H20" s="178"/>
      <c r="I20" s="178"/>
      <c r="J20" s="178"/>
      <c r="K20" s="178"/>
      <c r="L20" s="178"/>
      <c r="M20" s="178"/>
      <c r="N20" s="178"/>
      <c r="O20" s="51"/>
    </row>
    <row r="21" spans="2:15" ht="50.15" customHeight="1" x14ac:dyDescent="0.4">
      <c r="B21" s="51"/>
      <c r="C21" s="51"/>
      <c r="D21" s="51"/>
      <c r="E21" s="178" t="s">
        <v>61</v>
      </c>
      <c r="F21" s="178"/>
      <c r="G21" s="178"/>
      <c r="H21" s="178"/>
      <c r="I21" s="178"/>
      <c r="J21" s="178"/>
      <c r="K21" s="178"/>
      <c r="L21" s="178"/>
      <c r="M21" s="178"/>
      <c r="N21" s="178"/>
      <c r="O21" s="51"/>
    </row>
    <row r="22" spans="2:15" ht="15" customHeight="1" x14ac:dyDescent="0.4">
      <c r="B22" s="51"/>
      <c r="C22" s="51"/>
      <c r="D22" s="51"/>
      <c r="E22" s="151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78" t="s">
        <v>65</v>
      </c>
      <c r="F23" s="178"/>
      <c r="G23" s="178"/>
      <c r="H23" s="178"/>
      <c r="I23" s="178"/>
      <c r="J23" s="178"/>
      <c r="K23" s="178"/>
      <c r="L23" s="178"/>
      <c r="M23" s="178"/>
      <c r="N23" s="178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51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2">
        <v>1</v>
      </c>
      <c r="F25" s="153" t="s">
        <v>67</v>
      </c>
      <c r="G25" s="51"/>
      <c r="H25" s="152">
        <v>1</v>
      </c>
      <c r="I25" s="153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2">
        <v>0</v>
      </c>
      <c r="F26" s="153" t="s">
        <v>68</v>
      </c>
      <c r="G26" s="51"/>
      <c r="H26" s="152">
        <v>-0.01</v>
      </c>
      <c r="I26" s="153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2">
        <v>-0.01</v>
      </c>
      <c r="F27" s="153" t="s">
        <v>69</v>
      </c>
      <c r="G27" s="51"/>
      <c r="H27" s="152"/>
      <c r="I27" s="154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7"/>
      <c r="F28" s="153"/>
      <c r="G28" s="51"/>
      <c r="H28" s="152"/>
      <c r="I28" s="154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8">
        <v>1</v>
      </c>
      <c r="D29" s="155" t="s">
        <v>72</v>
      </c>
      <c r="E29" s="149"/>
      <c r="F29" s="148"/>
      <c r="G29" s="148"/>
      <c r="H29" s="148"/>
      <c r="I29" s="148"/>
      <c r="J29" s="148"/>
      <c r="K29" s="148"/>
      <c r="L29" s="148"/>
      <c r="M29" s="148"/>
      <c r="N29" s="148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80" t="s">
        <v>73</v>
      </c>
      <c r="F30" s="180"/>
      <c r="G30" s="180"/>
      <c r="H30" s="180"/>
      <c r="I30" s="180"/>
      <c r="J30" s="180"/>
      <c r="K30" s="180"/>
      <c r="L30" s="180"/>
      <c r="M30" s="180"/>
      <c r="N30" s="180"/>
      <c r="O30" s="51"/>
    </row>
    <row r="31" spans="2:15" ht="35.15" customHeight="1" x14ac:dyDescent="0.4">
      <c r="B31" s="51"/>
      <c r="C31" s="51"/>
      <c r="D31" s="51"/>
      <c r="E31" s="151" t="s">
        <v>74</v>
      </c>
      <c r="F31" s="147"/>
      <c r="G31" s="147"/>
      <c r="H31" s="147"/>
      <c r="I31" s="147"/>
      <c r="J31" s="147"/>
      <c r="K31" s="147"/>
      <c r="L31" s="147"/>
      <c r="M31" s="147"/>
      <c r="N31" s="147"/>
      <c r="O31" s="51"/>
    </row>
    <row r="32" spans="2:15" ht="15" customHeight="1" x14ac:dyDescent="0.4">
      <c r="B32" s="51"/>
      <c r="C32" s="51"/>
      <c r="D32" s="51"/>
      <c r="E32" s="151"/>
      <c r="F32" s="147"/>
      <c r="G32" s="147"/>
      <c r="H32" s="147"/>
      <c r="I32" s="147"/>
      <c r="J32" s="147"/>
      <c r="K32" s="147"/>
      <c r="L32" s="147"/>
      <c r="M32" s="147"/>
      <c r="N32" s="147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78" t="s">
        <v>75</v>
      </c>
      <c r="F33" s="178"/>
      <c r="G33" s="178"/>
      <c r="H33" s="178"/>
      <c r="I33" s="178"/>
      <c r="J33" s="178"/>
      <c r="K33" s="178"/>
      <c r="L33" s="178"/>
      <c r="M33" s="178"/>
      <c r="N33" s="178"/>
      <c r="O33" s="51"/>
    </row>
    <row r="34" spans="2:15" ht="35.15" customHeight="1" x14ac:dyDescent="0.4">
      <c r="B34" s="51"/>
      <c r="C34" s="51"/>
      <c r="D34" s="51"/>
      <c r="E34" s="151" t="s">
        <v>76</v>
      </c>
      <c r="F34" s="147"/>
      <c r="G34" s="147"/>
      <c r="H34" s="147"/>
      <c r="I34" s="147"/>
      <c r="J34" s="147"/>
      <c r="K34" s="147"/>
      <c r="L34" s="147"/>
      <c r="M34" s="147"/>
      <c r="N34" s="147"/>
      <c r="O34" s="51"/>
    </row>
    <row r="35" spans="2:15" ht="35.15" customHeight="1" x14ac:dyDescent="0.4">
      <c r="B35" s="51"/>
      <c r="C35" s="51"/>
      <c r="D35" s="51"/>
      <c r="E35" s="151" t="s">
        <v>77</v>
      </c>
      <c r="F35" s="147"/>
      <c r="G35" s="147"/>
      <c r="H35" s="147"/>
      <c r="I35" s="147"/>
      <c r="J35" s="147"/>
      <c r="K35" s="147"/>
      <c r="L35" s="147"/>
      <c r="M35" s="147"/>
      <c r="N35" s="147"/>
      <c r="O35" s="51"/>
    </row>
    <row r="36" spans="2:15" ht="15" customHeight="1" x14ac:dyDescent="0.4">
      <c r="B36" s="51"/>
      <c r="C36" s="51"/>
      <c r="D36" s="51"/>
      <c r="E36" s="151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78" t="s">
        <v>78</v>
      </c>
      <c r="F37" s="178"/>
      <c r="G37" s="178"/>
      <c r="H37" s="178"/>
      <c r="I37" s="178"/>
      <c r="J37" s="178"/>
      <c r="K37" s="178"/>
      <c r="L37" s="178"/>
      <c r="M37" s="178"/>
      <c r="N37" s="178"/>
      <c r="O37" s="51"/>
    </row>
    <row r="38" spans="2:15" ht="35.15" customHeight="1" x14ac:dyDescent="0.4">
      <c r="B38" s="51"/>
      <c r="C38" s="51"/>
      <c r="D38" s="51"/>
      <c r="E38" s="178" t="s">
        <v>79</v>
      </c>
      <c r="F38" s="178"/>
      <c r="G38" s="178"/>
      <c r="H38" s="178"/>
      <c r="I38" s="178"/>
      <c r="J38" s="178"/>
      <c r="K38" s="178"/>
      <c r="L38" s="178"/>
      <c r="M38" s="178"/>
      <c r="N38" s="178"/>
      <c r="O38" s="51"/>
    </row>
    <row r="39" spans="2:15" ht="15" customHeight="1" x14ac:dyDescent="0.4">
      <c r="B39" s="51"/>
      <c r="C39" s="51"/>
      <c r="D39" s="51"/>
      <c r="E39" s="151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79" t="s">
        <v>80</v>
      </c>
      <c r="F40" s="179"/>
      <c r="G40" s="179"/>
      <c r="H40" s="179"/>
      <c r="I40" s="179"/>
      <c r="J40" s="179"/>
      <c r="K40" s="179"/>
      <c r="L40" s="179"/>
      <c r="M40" s="179"/>
      <c r="N40" s="179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78" t="s">
        <v>81</v>
      </c>
      <c r="F41" s="178"/>
      <c r="G41" s="178"/>
      <c r="H41" s="178"/>
      <c r="I41" s="178"/>
      <c r="J41" s="178"/>
      <c r="K41" s="178"/>
      <c r="L41" s="178"/>
      <c r="M41" s="178"/>
      <c r="N41" s="178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79" t="s">
        <v>82</v>
      </c>
      <c r="F42" s="179"/>
      <c r="G42" s="179"/>
      <c r="H42" s="179"/>
      <c r="I42" s="179"/>
      <c r="J42" s="179"/>
      <c r="K42" s="179"/>
      <c r="L42" s="179"/>
      <c r="M42" s="179"/>
      <c r="N42" s="179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51" t="s">
        <v>83</v>
      </c>
      <c r="F43" s="147"/>
      <c r="G43" s="147"/>
      <c r="H43" s="147"/>
      <c r="I43" s="147"/>
      <c r="J43" s="147"/>
      <c r="K43" s="147"/>
      <c r="L43" s="147"/>
      <c r="M43" s="147"/>
      <c r="N43" s="147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78" t="s">
        <v>84</v>
      </c>
      <c r="F44" s="178"/>
      <c r="G44" s="178"/>
      <c r="H44" s="178"/>
      <c r="I44" s="178"/>
      <c r="J44" s="178"/>
      <c r="K44" s="178"/>
      <c r="L44" s="178"/>
      <c r="M44" s="178"/>
      <c r="N44" s="178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78" t="s">
        <v>96</v>
      </c>
      <c r="F45" s="178"/>
      <c r="G45" s="178"/>
      <c r="H45" s="178"/>
      <c r="I45" s="178"/>
      <c r="J45" s="178"/>
      <c r="K45" s="178"/>
      <c r="L45" s="178"/>
      <c r="M45" s="178"/>
      <c r="N45" s="178"/>
      <c r="O45" s="51"/>
    </row>
    <row r="46" spans="2:15" ht="35.15" customHeight="1" x14ac:dyDescent="0.4">
      <c r="B46" s="51"/>
      <c r="C46" s="51"/>
      <c r="D46" s="51"/>
      <c r="E46" s="179" t="s">
        <v>97</v>
      </c>
      <c r="F46" s="179"/>
      <c r="G46" s="179"/>
      <c r="H46" s="179"/>
      <c r="I46" s="179"/>
      <c r="J46" s="179"/>
      <c r="K46" s="179"/>
      <c r="L46" s="179"/>
      <c r="M46" s="179"/>
      <c r="N46" s="179"/>
      <c r="O46" s="51"/>
    </row>
    <row r="47" spans="2:15" ht="35.15" customHeight="1" x14ac:dyDescent="0.4">
      <c r="B47" s="51"/>
      <c r="C47" s="51"/>
      <c r="D47" s="51"/>
      <c r="E47" s="179" t="s">
        <v>98</v>
      </c>
      <c r="F47" s="179"/>
      <c r="G47" s="179"/>
      <c r="H47" s="179"/>
      <c r="I47" s="179"/>
      <c r="J47" s="179"/>
      <c r="K47" s="179"/>
      <c r="L47" s="179"/>
      <c r="M47" s="179"/>
      <c r="N47" s="179"/>
      <c r="O47" s="51"/>
    </row>
    <row r="48" spans="2:15" ht="35.15" customHeight="1" x14ac:dyDescent="0.4">
      <c r="B48" s="51"/>
      <c r="C48" s="51"/>
      <c r="D48" s="51"/>
      <c r="E48" s="147"/>
      <c r="F48" s="147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8"/>
      <c r="D49" s="149" t="s">
        <v>87</v>
      </c>
      <c r="E49" s="149"/>
      <c r="F49" s="149"/>
      <c r="G49" s="148"/>
      <c r="H49" s="148"/>
      <c r="I49" s="148"/>
      <c r="J49" s="148"/>
      <c r="K49" s="148"/>
      <c r="L49" s="148"/>
      <c r="M49" s="148"/>
      <c r="N49" s="148"/>
      <c r="O49" s="51"/>
    </row>
    <row r="50" spans="2:15" ht="35.15" customHeight="1" thickTop="1" x14ac:dyDescent="0.4">
      <c r="B50" s="51"/>
      <c r="C50" s="156">
        <v>1</v>
      </c>
      <c r="D50" s="157" t="s">
        <v>88</v>
      </c>
      <c r="E50" s="158"/>
      <c r="F50" s="158"/>
      <c r="G50" s="156"/>
      <c r="H50" s="156"/>
      <c r="I50" s="156"/>
      <c r="J50" s="156"/>
      <c r="K50" s="156"/>
      <c r="L50" s="156"/>
      <c r="M50" s="156"/>
      <c r="N50" s="156"/>
      <c r="O50" s="51"/>
    </row>
    <row r="51" spans="2:15" ht="35.15" customHeight="1" x14ac:dyDescent="0.4">
      <c r="B51" s="51"/>
      <c r="C51" s="156">
        <v>1</v>
      </c>
      <c r="D51" s="157" t="s">
        <v>89</v>
      </c>
      <c r="E51" s="158"/>
      <c r="F51" s="158"/>
      <c r="G51" s="156"/>
      <c r="H51" s="156"/>
      <c r="I51" s="156"/>
      <c r="J51" s="156"/>
      <c r="K51" s="156"/>
      <c r="L51" s="156"/>
      <c r="M51" s="156"/>
      <c r="N51" s="156"/>
      <c r="O51" s="51"/>
    </row>
    <row r="52" spans="2:15" ht="35.15" customHeight="1" x14ac:dyDescent="0.4">
      <c r="B52" s="51"/>
      <c r="C52" s="51">
        <v>0</v>
      </c>
      <c r="D52" s="157" t="s">
        <v>90</v>
      </c>
      <c r="E52" s="147"/>
      <c r="F52" s="147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9" t="s">
        <v>91</v>
      </c>
      <c r="E53" s="160"/>
      <c r="F53" s="160"/>
      <c r="G53" s="161"/>
      <c r="H53" s="161"/>
      <c r="I53" s="161"/>
      <c r="J53" s="161"/>
      <c r="K53" s="161"/>
      <c r="L53" s="161"/>
      <c r="M53" s="161"/>
      <c r="N53" s="161"/>
      <c r="O53" s="51"/>
    </row>
    <row r="54" spans="2:15" ht="158.25" customHeight="1" x14ac:dyDescent="0.4">
      <c r="B54" s="51"/>
      <c r="C54" s="51"/>
      <c r="D54" s="150"/>
      <c r="E54" s="147"/>
      <c r="F54" s="147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50"/>
      <c r="E55" s="147"/>
      <c r="F55" s="147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9" t="s">
        <v>92</v>
      </c>
      <c r="E56" s="160"/>
      <c r="F56" s="160"/>
      <c r="G56" s="161"/>
      <c r="H56" s="161"/>
      <c r="I56" s="161"/>
      <c r="J56" s="161"/>
      <c r="K56" s="161"/>
      <c r="L56" s="161"/>
      <c r="M56" s="161"/>
      <c r="N56" s="161"/>
      <c r="O56" s="51"/>
    </row>
    <row r="57" spans="2:15" ht="140.25" customHeight="1" x14ac:dyDescent="0.4">
      <c r="B57" s="51"/>
      <c r="C57" s="51"/>
      <c r="D57" s="150"/>
      <c r="E57" s="147"/>
      <c r="F57" s="147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50"/>
      <c r="E58" s="147"/>
      <c r="F58" s="147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9" t="s">
        <v>257</v>
      </c>
      <c r="E59" s="160"/>
      <c r="F59" s="160"/>
      <c r="G59" s="161"/>
      <c r="H59" s="161"/>
      <c r="I59" s="161"/>
      <c r="J59" s="161"/>
      <c r="K59" s="161"/>
      <c r="L59" s="161"/>
      <c r="M59" s="161"/>
      <c r="N59" s="161"/>
      <c r="O59" s="51"/>
    </row>
    <row r="60" spans="2:15" ht="162" customHeight="1" x14ac:dyDescent="0.4">
      <c r="B60" s="51"/>
      <c r="C60" s="51"/>
      <c r="D60" s="150"/>
      <c r="E60" s="147"/>
      <c r="F60" s="147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50"/>
      <c r="E61" s="147"/>
      <c r="F61" s="147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9" t="s">
        <v>93</v>
      </c>
      <c r="E62" s="160"/>
      <c r="F62" s="160"/>
      <c r="G62" s="161"/>
      <c r="H62" s="161"/>
      <c r="I62" s="161"/>
      <c r="J62" s="161"/>
      <c r="K62" s="161"/>
      <c r="L62" s="161"/>
      <c r="M62" s="161"/>
      <c r="N62" s="161"/>
      <c r="O62" s="51"/>
    </row>
    <row r="63" spans="2:15" ht="34.5" customHeight="1" x14ac:dyDescent="0.4">
      <c r="B63" s="51"/>
      <c r="C63" s="51"/>
      <c r="D63" s="162" t="s">
        <v>94</v>
      </c>
      <c r="E63" s="147"/>
      <c r="F63" s="147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77" t="s">
        <v>95</v>
      </c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51"/>
    </row>
    <row r="65" spans="2:15" ht="210.75" customHeight="1" x14ac:dyDescent="0.4">
      <c r="B65" s="51"/>
      <c r="C65" s="51"/>
      <c r="D65" s="150"/>
      <c r="E65" s="147"/>
      <c r="F65" s="147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7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  <mergeCell ref="E33:N33"/>
    <mergeCell ref="E30:N30"/>
    <mergeCell ref="E41:N41"/>
    <mergeCell ref="E44:N44"/>
    <mergeCell ref="E40:N40"/>
    <mergeCell ref="E42:N42"/>
    <mergeCell ref="D64:N64"/>
    <mergeCell ref="E45:N45"/>
    <mergeCell ref="E46:N46"/>
    <mergeCell ref="E47:N47"/>
    <mergeCell ref="E37:N37"/>
    <mergeCell ref="E38:N38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3" width="14.69140625" style="51" customWidth="1"/>
    <col min="14" max="14" width="2.69140625" style="51" customWidth="1"/>
    <col min="15" max="15" width="9.15234375" style="51" hidden="1" customWidth="1"/>
    <col min="16" max="16384" width="9.15234375" style="51" hidden="1"/>
  </cols>
  <sheetData>
    <row r="1" spans="2:13" s="99" customFormat="1" ht="6" customHeight="1" x14ac:dyDescent="0.4"/>
    <row r="2" spans="2:13" s="100" customFormat="1" ht="10" customHeight="1" x14ac:dyDescent="0.4"/>
    <row r="3" spans="2:13" s="100" customFormat="1" ht="40" customHeight="1" x14ac:dyDescent="0.5">
      <c r="B3" s="101"/>
      <c r="C3" s="3" t="s">
        <v>305</v>
      </c>
    </row>
    <row r="4" spans="2:13" s="100" customFormat="1" ht="8.15" customHeight="1" x14ac:dyDescent="0.4">
      <c r="B4" s="101"/>
      <c r="C4" s="102"/>
    </row>
    <row r="5" spans="2:13" s="100" customFormat="1" ht="40" customHeight="1" x14ac:dyDescent="0.4">
      <c r="B5" s="101"/>
      <c r="C5" s="103" t="s">
        <v>99</v>
      </c>
    </row>
    <row r="6" spans="2:13" ht="16.5" customHeight="1" x14ac:dyDescent="0.4">
      <c r="G6" s="104"/>
      <c r="H6" s="104"/>
      <c r="I6" s="104"/>
      <c r="J6" s="104"/>
      <c r="K6" s="104"/>
    </row>
    <row r="7" spans="2:13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</row>
    <row r="8" spans="2:13" ht="8.15" customHeight="1" x14ac:dyDescent="0.4"/>
    <row r="9" spans="2:13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5" t="s">
        <v>133</v>
      </c>
      <c r="I9" s="185"/>
      <c r="J9" s="185"/>
      <c r="K9" s="186" t="s">
        <v>134</v>
      </c>
      <c r="L9" s="186"/>
      <c r="M9" s="186"/>
    </row>
    <row r="10" spans="2:13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</row>
    <row r="11" spans="2:13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identifier]],Store_History[Type],"Warehouse")</f>
        <v>0</v>
      </c>
      <c r="M11" s="115">
        <f>SUMIFS(Store_History[Quantity],Store_History[Unique identifier],Store_Setting[[#This Row],[Unique
identifier]],Store_History[Type],"Pick up")</f>
        <v>0</v>
      </c>
    </row>
    <row r="12" spans="2:13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identifier]],Store_History[Type],"Warehouse")</f>
        <v>0</v>
      </c>
      <c r="M12" s="115">
        <f>SUMIFS(Store_History[Quantity],Store_History[Unique identifier],Store_Setting[[#This Row],[Unique
identifier]],Store_History[Type],"Pick up")</f>
        <v>0</v>
      </c>
    </row>
    <row r="13" spans="2:13" ht="40" customHeight="1" x14ac:dyDescent="0.4">
      <c r="B13" s="105"/>
      <c r="C13" s="106"/>
      <c r="D13" s="111" t="str">
        <f>CONCATENATE(Store_Setting[[#This Row],[Product
serial number]], " | ", Store_Setting[[#This Row],[Product name]])</f>
        <v>3 | 3</v>
      </c>
      <c r="E13" s="112">
        <v>3</v>
      </c>
      <c r="F13" s="113">
        <v>3</v>
      </c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identifier]],Store_History[Type],"Warehouse")</f>
        <v>0</v>
      </c>
      <c r="M13" s="115">
        <f>SUMIFS(Store_History[Quantity],Store_History[Unique identifier],Store_Setting[[#This Row],[Unique
identifier]],Store_History[Type],"Pick up")</f>
        <v>0</v>
      </c>
    </row>
    <row r="14" spans="2:13" ht="40" customHeight="1" x14ac:dyDescent="0.4">
      <c r="B14" s="105"/>
      <c r="C14" s="106"/>
      <c r="D14" s="111" t="str">
        <f>CONCATENATE(Store_Setting[[#This Row],[Product
serial number]], " | ", Store_Setting[[#This Row],[Product name]])</f>
        <v>4 | 4</v>
      </c>
      <c r="E14" s="112">
        <v>4</v>
      </c>
      <c r="F14" s="113">
        <v>4</v>
      </c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identifier]],Store_History[Type],"Warehouse")</f>
        <v>0</v>
      </c>
      <c r="M14" s="115">
        <f>SUMIFS(Store_History[Quantity],Store_History[Unique identifier],Store_Setting[[#This Row],[Unique
identifier]],Store_History[Type],"Pick up")</f>
        <v>0</v>
      </c>
    </row>
    <row r="15" spans="2:13" ht="40" customHeight="1" x14ac:dyDescent="0.4">
      <c r="B15" s="105"/>
      <c r="C15" s="106"/>
      <c r="D15" s="111" t="str">
        <f>CONCATENATE(Store_Setting[[#This Row],[Product
serial number]], " | ", Store_Setting[[#This Row],[Product name]])</f>
        <v>5 | 5</v>
      </c>
      <c r="E15" s="112">
        <v>5</v>
      </c>
      <c r="F15" s="113">
        <v>5</v>
      </c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identifier]],Store_History[Type],"Warehouse")</f>
        <v>0</v>
      </c>
      <c r="M15" s="115">
        <f>SUMIFS(Store_History[Quantity],Store_History[Unique identifier],Store_Setting[[#This Row],[Unique
identifier]],Store_History[Type],"Pick up")</f>
        <v>0</v>
      </c>
    </row>
    <row r="16" spans="2:13" ht="40" customHeight="1" x14ac:dyDescent="0.4">
      <c r="B16" s="105"/>
      <c r="C16" s="106"/>
      <c r="D16" s="111" t="str">
        <f>CONCATENATE(Store_Setting[[#This Row],[Product
serial number]], " | ", Store_Setting[[#This Row],[Product name]])</f>
        <v>6 | 6</v>
      </c>
      <c r="E16" s="112">
        <v>6</v>
      </c>
      <c r="F16" s="113">
        <v>6</v>
      </c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identifier]],Store_History[Type],"Warehouse")</f>
        <v>0</v>
      </c>
      <c r="M16" s="115">
        <f>SUMIFS(Store_History[Quantity],Store_History[Unique identifier],Store_Setting[[#This Row],[Unique
identifier]],Store_History[Type],"Pick up")</f>
        <v>0</v>
      </c>
    </row>
    <row r="17" spans="2:13" ht="40" customHeight="1" x14ac:dyDescent="0.4">
      <c r="B17" s="105"/>
      <c r="C17" s="106"/>
      <c r="D17" s="111" t="str">
        <f>CONCATENATE(Store_Setting[[#This Row],[Product
serial number]], " | ", Store_Setting[[#This Row],[Product name]])</f>
        <v>7 | 7</v>
      </c>
      <c r="E17" s="112">
        <v>7</v>
      </c>
      <c r="F17" s="113">
        <v>7</v>
      </c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identifier]],Store_History[Type],"Warehouse")</f>
        <v>0</v>
      </c>
      <c r="M17" s="115">
        <f>SUMIFS(Store_History[Quantity],Store_History[Unique identifier],Store_Setting[[#This Row],[Unique
identifier]],Store_History[Type],"Pick up")</f>
        <v>0</v>
      </c>
    </row>
    <row r="18" spans="2:13" ht="40" customHeight="1" x14ac:dyDescent="0.4">
      <c r="B18" s="105"/>
      <c r="C18" s="106"/>
      <c r="D18" s="111" t="str">
        <f>CONCATENATE(Store_Setting[[#This Row],[Product
serial number]], " | ", Store_Setting[[#This Row],[Product name]])</f>
        <v>8 | 8</v>
      </c>
      <c r="E18" s="112">
        <v>8</v>
      </c>
      <c r="F18" s="113">
        <v>8</v>
      </c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identifier]],Store_History[Type],"Warehouse")</f>
        <v>0</v>
      </c>
      <c r="M18" s="115">
        <f>SUMIFS(Store_History[Quantity],Store_History[Unique identifier],Store_Setting[[#This Row],[Unique
identifier]],Store_History[Type],"Pick up")</f>
        <v>0</v>
      </c>
    </row>
    <row r="19" spans="2:13" ht="40" customHeight="1" x14ac:dyDescent="0.4">
      <c r="B19" s="105"/>
      <c r="C19" s="106"/>
      <c r="D19" s="111" t="str">
        <f>CONCATENATE(Store_Setting[[#This Row],[Product
serial number]], " | ", Store_Setting[[#This Row],[Product name]])</f>
        <v>9 | 9</v>
      </c>
      <c r="E19" s="112">
        <v>9</v>
      </c>
      <c r="F19" s="113">
        <v>9</v>
      </c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identifier]],Store_History[Type],"Warehouse")</f>
        <v>0</v>
      </c>
      <c r="M19" s="115">
        <f>SUMIFS(Store_History[Quantity],Store_History[Unique identifier],Store_Setting[[#This Row],[Unique
identifier]],Store_History[Type],"Pick up")</f>
        <v>0</v>
      </c>
    </row>
    <row r="20" spans="2:13" ht="40" customHeight="1" x14ac:dyDescent="0.4">
      <c r="B20" s="105"/>
      <c r="C20" s="106"/>
      <c r="D20" s="111" t="str">
        <f>CONCATENATE(Store_Setting[[#This Row],[Product
serial number]], " | ", Store_Setting[[#This Row],[Product name]])</f>
        <v>10 | 10</v>
      </c>
      <c r="E20" s="112">
        <v>10</v>
      </c>
      <c r="F20" s="113">
        <v>10</v>
      </c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identifier]],Store_History[Type],"Warehouse")</f>
        <v>0</v>
      </c>
      <c r="M20" s="115">
        <f>SUMIFS(Store_History[Quantity],Store_History[Unique identifier],Store_Setting[[#This Row],[Unique
identifier]],Store_History[Type],"Pick up")</f>
        <v>0</v>
      </c>
    </row>
    <row r="21" spans="2:13" ht="40" customHeight="1" x14ac:dyDescent="0.4">
      <c r="B21" s="105"/>
      <c r="C21" s="106"/>
      <c r="D21" s="111" t="str">
        <f>CONCATENATE(Store_Setting[[#This Row],[Product
serial number]], " | ", Store_Setting[[#This Row],[Product name]])</f>
        <v>11 | 11</v>
      </c>
      <c r="E21" s="112">
        <v>11</v>
      </c>
      <c r="F21" s="113">
        <v>11</v>
      </c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identifier]],Store_History[Type],"Warehouse")</f>
        <v>0</v>
      </c>
      <c r="M21" s="115">
        <f>SUMIFS(Store_History[Quantity],Store_History[Unique identifier],Store_Setting[[#This Row],[Unique
identifier]],Store_History[Type],"Pick up")</f>
        <v>0</v>
      </c>
    </row>
    <row r="22" spans="2:13" ht="40" customHeight="1" x14ac:dyDescent="0.4">
      <c r="B22" s="105"/>
      <c r="C22" s="106"/>
      <c r="D22" s="111" t="str">
        <f>CONCATENATE(Store_Setting[[#This Row],[Product
serial number]], " | ", Store_Setting[[#This Row],[Product name]])</f>
        <v>12 | 12</v>
      </c>
      <c r="E22" s="112">
        <v>12</v>
      </c>
      <c r="F22" s="113">
        <v>12</v>
      </c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identifier]],Store_History[Type],"Warehouse")</f>
        <v>0</v>
      </c>
      <c r="M22" s="115">
        <f>SUMIFS(Store_History[Quantity],Store_History[Unique identifier],Store_Setting[[#This Row],[Unique
identifier]],Store_History[Type],"Pick up")</f>
        <v>0</v>
      </c>
    </row>
    <row r="23" spans="2:13" ht="40" customHeight="1" x14ac:dyDescent="0.4">
      <c r="B23" s="105"/>
      <c r="C23" s="106"/>
      <c r="D23" s="111" t="str">
        <f>CONCATENATE(Store_Setting[[#This Row],[Product
serial number]], " | ", Store_Setting[[#This Row],[Product name]])</f>
        <v>13 | 13</v>
      </c>
      <c r="E23" s="112">
        <v>13</v>
      </c>
      <c r="F23" s="113">
        <v>13</v>
      </c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identifier]],Store_History[Type],"Warehouse")</f>
        <v>0</v>
      </c>
      <c r="M23" s="115">
        <f>SUMIFS(Store_History[Quantity],Store_History[Unique identifier],Store_Setting[[#This Row],[Unique
identifier]],Store_History[Type],"Pick up")</f>
        <v>0</v>
      </c>
    </row>
    <row r="24" spans="2:13" ht="40" customHeight="1" x14ac:dyDescent="0.4">
      <c r="B24" s="105"/>
      <c r="C24" s="106"/>
      <c r="D24" s="111" t="str">
        <f>CONCATENATE(Store_Setting[[#This Row],[Product
serial number]], " | ", Store_Setting[[#This Row],[Product name]])</f>
        <v>14 | 14</v>
      </c>
      <c r="E24" s="112">
        <v>14</v>
      </c>
      <c r="F24" s="113">
        <v>14</v>
      </c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identifier]],Store_History[Type],"Warehouse")</f>
        <v>0</v>
      </c>
      <c r="M24" s="115">
        <f>SUMIFS(Store_History[Quantity],Store_History[Unique identifier],Store_Setting[[#This Row],[Unique
identifier]],Store_History[Type],"Pick up")</f>
        <v>0</v>
      </c>
    </row>
    <row r="25" spans="2:13" ht="40" customHeight="1" x14ac:dyDescent="0.4">
      <c r="B25" s="105"/>
      <c r="C25" s="106"/>
      <c r="D25" s="111" t="str">
        <f>CONCATENATE(Store_Setting[[#This Row],[Product
serial number]], " | ", Store_Setting[[#This Row],[Product name]])</f>
        <v>15 | 15</v>
      </c>
      <c r="E25" s="112">
        <v>15</v>
      </c>
      <c r="F25" s="113">
        <v>15</v>
      </c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identifier]],Store_History[Type],"Warehouse")</f>
        <v>0</v>
      </c>
      <c r="M25" s="115">
        <f>SUMIFS(Store_History[Quantity],Store_History[Unique identifier],Store_Setting[[#This Row],[Unique
identifier]],Store_History[Type],"Pick up")</f>
        <v>0</v>
      </c>
    </row>
    <row r="26" spans="2:13" ht="40" customHeight="1" x14ac:dyDescent="0.4">
      <c r="B26" s="105"/>
      <c r="C26" s="106"/>
      <c r="D26" s="111" t="str">
        <f>CONCATENATE(Store_Setting[[#This Row],[Product
serial number]], " | ", Store_Setting[[#This Row],[Product name]])</f>
        <v>16 | 16</v>
      </c>
      <c r="E26" s="112">
        <v>16</v>
      </c>
      <c r="F26" s="113">
        <v>16</v>
      </c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identifier]],Store_History[Type],"Warehouse")</f>
        <v>0</v>
      </c>
      <c r="M26" s="115">
        <f>SUMIFS(Store_History[Quantity],Store_History[Unique identifier],Store_Setting[[#This Row],[Unique
identifier]],Store_History[Type],"Pick up")</f>
        <v>0</v>
      </c>
    </row>
    <row r="27" spans="2:13" ht="40" customHeight="1" x14ac:dyDescent="0.4">
      <c r="B27" s="105"/>
      <c r="C27" s="106"/>
      <c r="D27" s="111" t="str">
        <f>CONCATENATE(Store_Setting[[#This Row],[Product
serial number]], " | ", Store_Setting[[#This Row],[Product name]])</f>
        <v>17 | 17</v>
      </c>
      <c r="E27" s="112">
        <v>17</v>
      </c>
      <c r="F27" s="113">
        <v>17</v>
      </c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identifier]],Store_History[Type],"Warehouse")</f>
        <v>0</v>
      </c>
      <c r="M27" s="115">
        <f>SUMIFS(Store_History[Quantity],Store_History[Unique identifier],Store_Setting[[#This Row],[Unique
identifier]],Store_History[Type],"Pick up")</f>
        <v>0</v>
      </c>
    </row>
    <row r="28" spans="2:13" ht="40" customHeight="1" x14ac:dyDescent="0.4">
      <c r="B28" s="105"/>
      <c r="C28" s="106"/>
      <c r="D28" s="111" t="str">
        <f>CONCATENATE(Store_Setting[[#This Row],[Product
serial number]], " | ", Store_Setting[[#This Row],[Product name]])</f>
        <v>18 | 18</v>
      </c>
      <c r="E28" s="112">
        <v>18</v>
      </c>
      <c r="F28" s="113">
        <v>18</v>
      </c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identifier]],Store_History[Type],"Warehouse")</f>
        <v>0</v>
      </c>
      <c r="M28" s="115">
        <f>SUMIFS(Store_History[Quantity],Store_History[Unique identifier],Store_Setting[[#This Row],[Unique
identifier]],Store_History[Type],"Pick up")</f>
        <v>0</v>
      </c>
    </row>
    <row r="29" spans="2:13" ht="40" customHeight="1" x14ac:dyDescent="0.4">
      <c r="B29" s="105"/>
      <c r="C29" s="106"/>
      <c r="D29" s="111" t="str">
        <f>CONCATENATE(Store_Setting[[#This Row],[Product
serial number]], " | ", Store_Setting[[#This Row],[Product name]])</f>
        <v>19 | 19</v>
      </c>
      <c r="E29" s="112">
        <v>19</v>
      </c>
      <c r="F29" s="113">
        <v>19</v>
      </c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identifier]],Store_History[Type],"Warehouse")</f>
        <v>0</v>
      </c>
      <c r="M29" s="115">
        <f>SUMIFS(Store_History[Quantity],Store_History[Unique identifier],Store_Setting[[#This Row],[Unique
identifier]],Store_History[Type],"Pick up")</f>
        <v>0</v>
      </c>
    </row>
    <row r="30" spans="2:13" ht="40" customHeight="1" x14ac:dyDescent="0.4">
      <c r="B30" s="105"/>
      <c r="C30" s="106"/>
      <c r="D30" s="111" t="str">
        <f>CONCATENATE(Store_Setting[[#This Row],[Product
serial number]], " | ", Store_Setting[[#This Row],[Product name]])</f>
        <v>20 | 20</v>
      </c>
      <c r="E30" s="112">
        <v>20</v>
      </c>
      <c r="F30" s="113">
        <v>20</v>
      </c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identifier]],Store_History[Type],"Warehouse")</f>
        <v>0</v>
      </c>
      <c r="M30" s="115">
        <f>SUMIFS(Store_History[Quantity],Store_History[Unique identifier],Store_Setting[[#This Row],[Unique
identifier]],Store_History[Type],"Pick up")</f>
        <v>0</v>
      </c>
    </row>
    <row r="31" spans="2:13" ht="40" customHeight="1" x14ac:dyDescent="0.4">
      <c r="B31" s="105"/>
      <c r="C31" s="106"/>
      <c r="D31" s="111" t="str">
        <f>CONCATENATE(Store_Setting[[#This Row],[Product
serial number]], " | ", Store_Setting[[#This Row],[Product name]])</f>
        <v>21 | 21</v>
      </c>
      <c r="E31" s="112">
        <v>21</v>
      </c>
      <c r="F31" s="113">
        <v>21</v>
      </c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identifier]],Store_History[Type],"Warehouse")</f>
        <v>0</v>
      </c>
      <c r="M31" s="115">
        <f>SUMIFS(Store_History[Quantity],Store_History[Unique identifier],Store_Setting[[#This Row],[Unique
identifier]],Store_History[Type],"Pick up")</f>
        <v>0</v>
      </c>
    </row>
    <row r="32" spans="2:13" ht="40" customHeight="1" x14ac:dyDescent="0.4">
      <c r="B32" s="105"/>
      <c r="C32" s="106"/>
      <c r="D32" s="111" t="str">
        <f>CONCATENATE(Store_Setting[[#This Row],[Product
serial number]], " | ", Store_Setting[[#This Row],[Product name]])</f>
        <v>22 | 22</v>
      </c>
      <c r="E32" s="112">
        <v>22</v>
      </c>
      <c r="F32" s="113">
        <v>22</v>
      </c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identifier]],Store_History[Type],"Warehouse")</f>
        <v>0</v>
      </c>
      <c r="M32" s="115">
        <f>SUMIFS(Store_History[Quantity],Store_History[Unique identifier],Store_Setting[[#This Row],[Unique
identifier]],Store_History[Type],"Pick up")</f>
        <v>0</v>
      </c>
    </row>
    <row r="33" spans="2:13" ht="40" customHeight="1" x14ac:dyDescent="0.4">
      <c r="B33" s="105"/>
      <c r="C33" s="106"/>
      <c r="D33" s="111" t="str">
        <f>CONCATENATE(Store_Setting[[#This Row],[Product
serial number]], " | ", Store_Setting[[#This Row],[Product name]])</f>
        <v>23 | 23</v>
      </c>
      <c r="E33" s="112">
        <v>23</v>
      </c>
      <c r="F33" s="113">
        <v>23</v>
      </c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identifier]],Store_History[Type],"Warehouse")</f>
        <v>0</v>
      </c>
      <c r="M33" s="115">
        <f>SUMIFS(Store_History[Quantity],Store_History[Unique identifier],Store_Setting[[#This Row],[Unique
identifier]],Store_History[Type],"Pick up")</f>
        <v>0</v>
      </c>
    </row>
    <row r="34" spans="2:13" ht="40" customHeight="1" x14ac:dyDescent="0.4">
      <c r="B34" s="105"/>
      <c r="C34" s="106"/>
      <c r="D34" s="111" t="str">
        <f>CONCATENATE(Store_Setting[[#This Row],[Product
serial number]], " | ", Store_Setting[[#This Row],[Product name]])</f>
        <v>24 | 24</v>
      </c>
      <c r="E34" s="112">
        <v>24</v>
      </c>
      <c r="F34" s="113">
        <v>24</v>
      </c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identifier]],Store_History[Type],"Warehouse")</f>
        <v>0</v>
      </c>
      <c r="M34" s="115">
        <f>SUMIFS(Store_History[Quantity],Store_History[Unique identifier],Store_Setting[[#This Row],[Unique
identifier]],Store_History[Type],"Pick up")</f>
        <v>0</v>
      </c>
    </row>
    <row r="35" spans="2:13" ht="40" customHeight="1" x14ac:dyDescent="0.4">
      <c r="B35" s="105"/>
      <c r="C35" s="106"/>
      <c r="D35" s="111" t="str">
        <f>CONCATENATE(Store_Setting[[#This Row],[Product
serial number]], " | ", Store_Setting[[#This Row],[Product name]])</f>
        <v>25 | 25</v>
      </c>
      <c r="E35" s="112">
        <v>25</v>
      </c>
      <c r="F35" s="113">
        <v>25</v>
      </c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identifier]],Store_History[Type],"Warehouse")</f>
        <v>0</v>
      </c>
      <c r="M35" s="115">
        <f>SUMIFS(Store_History[Quantity],Store_History[Unique identifier],Store_Setting[[#This Row],[Unique
identifier]],Store_History[Type],"Pick up")</f>
        <v>0</v>
      </c>
    </row>
    <row r="36" spans="2:13" ht="40" customHeight="1" x14ac:dyDescent="0.4">
      <c r="B36" s="105"/>
      <c r="C36" s="106"/>
      <c r="D36" s="111" t="str">
        <f>CONCATENATE(Store_Setting[[#This Row],[Product
serial number]], " | ", Store_Setting[[#This Row],[Product name]])</f>
        <v>26 | 26</v>
      </c>
      <c r="E36" s="112">
        <v>26</v>
      </c>
      <c r="F36" s="113">
        <v>26</v>
      </c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identifier]],Store_History[Type],"Warehouse")</f>
        <v>0</v>
      </c>
      <c r="M36" s="115">
        <f>SUMIFS(Store_History[Quantity],Store_History[Unique identifier],Store_Setting[[#This Row],[Unique
identifier]],Store_History[Type],"Pick up")</f>
        <v>0</v>
      </c>
    </row>
    <row r="37" spans="2:13" ht="40" customHeight="1" x14ac:dyDescent="0.4">
      <c r="B37" s="105"/>
      <c r="C37" s="106"/>
      <c r="D37" s="111" t="str">
        <f>CONCATENATE(Store_Setting[[#This Row],[Product
serial number]], " | ", Store_Setting[[#This Row],[Product name]])</f>
        <v>27 | 27</v>
      </c>
      <c r="E37" s="112">
        <v>27</v>
      </c>
      <c r="F37" s="113">
        <v>27</v>
      </c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identifier]],Store_History[Type],"Warehouse")</f>
        <v>0</v>
      </c>
      <c r="M37" s="115">
        <f>SUMIFS(Store_History[Quantity],Store_History[Unique identifier],Store_Setting[[#This Row],[Unique
identifier]],Store_History[Type],"Pick up")</f>
        <v>0</v>
      </c>
    </row>
    <row r="38" spans="2:13" ht="40" customHeight="1" x14ac:dyDescent="0.4">
      <c r="B38" s="105"/>
      <c r="C38" s="106"/>
      <c r="D38" s="111" t="str">
        <f>CONCATENATE(Store_Setting[[#This Row],[Product
serial number]], " | ", Store_Setting[[#This Row],[Product name]])</f>
        <v>28 | 28</v>
      </c>
      <c r="E38" s="112">
        <v>28</v>
      </c>
      <c r="F38" s="113">
        <v>28</v>
      </c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identifier]],Store_History[Type],"Warehouse")</f>
        <v>0</v>
      </c>
      <c r="M38" s="115">
        <f>SUMIFS(Store_History[Quantity],Store_History[Unique identifier],Store_Setting[[#This Row],[Unique
identifier]],Store_History[Type],"Pick up")</f>
        <v>0</v>
      </c>
    </row>
    <row r="39" spans="2:13" ht="40" customHeight="1" x14ac:dyDescent="0.4">
      <c r="B39" s="105"/>
      <c r="C39" s="106"/>
      <c r="D39" s="111" t="str">
        <f>CONCATENATE(Store_Setting[[#This Row],[Product
serial number]], " | ", Store_Setting[[#This Row],[Product name]])</f>
        <v>29 | 29</v>
      </c>
      <c r="E39" s="112">
        <v>29</v>
      </c>
      <c r="F39" s="113">
        <v>29</v>
      </c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identifier]],Store_History[Type],"Warehouse")</f>
        <v>0</v>
      </c>
      <c r="M39" s="115">
        <f>SUMIFS(Store_History[Quantity],Store_History[Unique identifier],Store_Setting[[#This Row],[Unique
identifier]],Store_History[Type],"Pick up")</f>
        <v>0</v>
      </c>
    </row>
    <row r="40" spans="2:13" ht="40" customHeight="1" x14ac:dyDescent="0.4">
      <c r="B40" s="105"/>
      <c r="C40" s="106"/>
      <c r="D40" s="111" t="str">
        <f>CONCATENATE(Store_Setting[[#This Row],[Product
serial number]], " | ", Store_Setting[[#This Row],[Product name]])</f>
        <v>30 | 30</v>
      </c>
      <c r="E40" s="112">
        <v>30</v>
      </c>
      <c r="F40" s="113">
        <v>30</v>
      </c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identifier]],Store_History[Type],"Warehouse")</f>
        <v>0</v>
      </c>
      <c r="M40" s="115">
        <f>SUMIFS(Store_History[Quantity],Store_History[Unique identifier],Store_Setting[[#This Row],[Unique
identifier]],Store_History[Type],"Pick up")</f>
        <v>0</v>
      </c>
    </row>
    <row r="41" spans="2:13" ht="40" customHeight="1" x14ac:dyDescent="0.4">
      <c r="B41" s="105"/>
      <c r="C41" s="106"/>
      <c r="D41" s="111" t="str">
        <f>CONCATENATE(Store_Setting[[#This Row],[Product
serial number]], " | ", Store_Setting[[#This Row],[Product name]])</f>
        <v>31 | 31</v>
      </c>
      <c r="E41" s="112">
        <v>31</v>
      </c>
      <c r="F41" s="113">
        <v>31</v>
      </c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identifier]],Store_History[Type],"Warehouse")</f>
        <v>0</v>
      </c>
      <c r="M41" s="115">
        <f>SUMIFS(Store_History[Quantity],Store_History[Unique identifier],Store_Setting[[#This Row],[Unique
identifier]],Store_History[Type],"Pick up")</f>
        <v>0</v>
      </c>
    </row>
    <row r="42" spans="2:13" ht="40" customHeight="1" x14ac:dyDescent="0.4">
      <c r="B42" s="105"/>
      <c r="C42" s="106"/>
      <c r="D42" s="111" t="str">
        <f>CONCATENATE(Store_Setting[[#This Row],[Product
serial number]], " | ", Store_Setting[[#This Row],[Product name]])</f>
        <v>32 | 32</v>
      </c>
      <c r="E42" s="112">
        <v>32</v>
      </c>
      <c r="F42" s="113">
        <v>32</v>
      </c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identifier]],Store_History[Type],"Warehouse")</f>
        <v>0</v>
      </c>
      <c r="M42" s="115">
        <f>SUMIFS(Store_History[Quantity],Store_History[Unique identifier],Store_Setting[[#This Row],[Unique
identifier]],Store_History[Type],"Pick up")</f>
        <v>0</v>
      </c>
    </row>
    <row r="43" spans="2:13" ht="40" customHeight="1" x14ac:dyDescent="0.4">
      <c r="B43" s="105"/>
      <c r="C43" s="106"/>
      <c r="D43" s="111" t="str">
        <f>CONCATENATE(Store_Setting[[#This Row],[Product
serial number]], " | ", Store_Setting[[#This Row],[Product name]])</f>
        <v>33 | 33</v>
      </c>
      <c r="E43" s="112">
        <v>33</v>
      </c>
      <c r="F43" s="113">
        <v>33</v>
      </c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identifier]],Store_History[Type],"Warehouse")</f>
        <v>0</v>
      </c>
      <c r="M43" s="115">
        <f>SUMIFS(Store_History[Quantity],Store_History[Unique identifier],Store_Setting[[#This Row],[Unique
identifier]],Store_History[Type],"Pick up")</f>
        <v>0</v>
      </c>
    </row>
    <row r="44" spans="2:13" ht="40" customHeight="1" x14ac:dyDescent="0.4">
      <c r="B44" s="105"/>
      <c r="C44" s="106"/>
      <c r="D44" s="111" t="str">
        <f>CONCATENATE(Store_Setting[[#This Row],[Product
serial number]], " | ", Store_Setting[[#This Row],[Product name]])</f>
        <v>34 | 34</v>
      </c>
      <c r="E44" s="112">
        <v>34</v>
      </c>
      <c r="F44" s="113">
        <v>34</v>
      </c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identifier]],Store_History[Type],"Warehouse")</f>
        <v>0</v>
      </c>
      <c r="M44" s="115">
        <f>SUMIFS(Store_History[Quantity],Store_History[Unique identifier],Store_Setting[[#This Row],[Unique
identifier]],Store_History[Type],"Pick up")</f>
        <v>0</v>
      </c>
    </row>
    <row r="45" spans="2:13" ht="40" customHeight="1" x14ac:dyDescent="0.4">
      <c r="B45" s="105"/>
      <c r="C45" s="106"/>
      <c r="D45" s="111" t="str">
        <f>CONCATENATE(Store_Setting[[#This Row],[Product
serial number]], " | ", Store_Setting[[#This Row],[Product name]])</f>
        <v>35 | 35</v>
      </c>
      <c r="E45" s="112">
        <v>35</v>
      </c>
      <c r="F45" s="113">
        <v>35</v>
      </c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identifier]],Store_History[Type],"Warehouse")</f>
        <v>0</v>
      </c>
      <c r="M45" s="115">
        <f>SUMIFS(Store_History[Quantity],Store_History[Unique identifier],Store_Setting[[#This Row],[Unique
identifier]],Store_History[Type],"Pick up")</f>
        <v>0</v>
      </c>
    </row>
    <row r="46" spans="2:13" ht="40" customHeight="1" x14ac:dyDescent="0.4">
      <c r="B46" s="105"/>
      <c r="C46" s="106"/>
      <c r="D46" s="111" t="str">
        <f>CONCATENATE(Store_Setting[[#This Row],[Product
serial number]], " | ", Store_Setting[[#This Row],[Product name]])</f>
        <v>36 | 36</v>
      </c>
      <c r="E46" s="112">
        <v>36</v>
      </c>
      <c r="F46" s="113">
        <v>36</v>
      </c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identifier]],Store_History[Type],"Warehouse")</f>
        <v>0</v>
      </c>
      <c r="M46" s="115">
        <f>SUMIFS(Store_History[Quantity],Store_History[Unique identifier],Store_Setting[[#This Row],[Unique
identifier]],Store_History[Type],"Pick up")</f>
        <v>0</v>
      </c>
    </row>
    <row r="47" spans="2:13" ht="40" customHeight="1" x14ac:dyDescent="0.4">
      <c r="B47" s="105"/>
      <c r="C47" s="106"/>
      <c r="D47" s="111" t="str">
        <f>CONCATENATE(Store_Setting[[#This Row],[Product
serial number]], " | ", Store_Setting[[#This Row],[Product name]])</f>
        <v>37 | 37</v>
      </c>
      <c r="E47" s="112">
        <v>37</v>
      </c>
      <c r="F47" s="113">
        <v>37</v>
      </c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identifier]],Store_History[Type],"Warehouse")</f>
        <v>0</v>
      </c>
      <c r="M47" s="115">
        <f>SUMIFS(Store_History[Quantity],Store_History[Unique identifier],Store_Setting[[#This Row],[Unique
identifier]],Store_History[Type],"Pick up")</f>
        <v>0</v>
      </c>
    </row>
    <row r="48" spans="2:13" ht="40" customHeight="1" x14ac:dyDescent="0.4">
      <c r="B48" s="105"/>
      <c r="C48" s="106"/>
      <c r="D48" s="111" t="str">
        <f>CONCATENATE(Store_Setting[[#This Row],[Product
serial number]], " | ", Store_Setting[[#This Row],[Product name]])</f>
        <v>38 | 38</v>
      </c>
      <c r="E48" s="112">
        <v>38</v>
      </c>
      <c r="F48" s="113">
        <v>38</v>
      </c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identifier]],Store_History[Type],"Warehouse")</f>
        <v>0</v>
      </c>
      <c r="M48" s="115">
        <f>SUMIFS(Store_History[Quantity],Store_History[Unique identifier],Store_Setting[[#This Row],[Unique
identifier]],Store_History[Type],"Pick up")</f>
        <v>0</v>
      </c>
    </row>
    <row r="49" spans="2:13" ht="40" customHeight="1" x14ac:dyDescent="0.4">
      <c r="B49" s="105"/>
      <c r="C49" s="106"/>
      <c r="D49" s="111" t="str">
        <f>CONCATENATE(Store_Setting[[#This Row],[Product
serial number]], " | ", Store_Setting[[#This Row],[Product name]])</f>
        <v>39 | 39</v>
      </c>
      <c r="E49" s="112">
        <v>39</v>
      </c>
      <c r="F49" s="113">
        <v>39</v>
      </c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identifier]],Store_History[Type],"Warehouse")</f>
        <v>0</v>
      </c>
      <c r="M49" s="115">
        <f>SUMIFS(Store_History[Quantity],Store_History[Unique identifier],Store_Setting[[#This Row],[Unique
identifier]],Store_History[Type],"Pick up")</f>
        <v>0</v>
      </c>
    </row>
    <row r="50" spans="2:13" ht="40" customHeight="1" x14ac:dyDescent="0.4">
      <c r="B50" s="105"/>
      <c r="C50" s="106"/>
      <c r="D50" s="111" t="str">
        <f>CONCATENATE(Store_Setting[[#This Row],[Product
serial number]], " | ", Store_Setting[[#This Row],[Product name]])</f>
        <v>40 | 40</v>
      </c>
      <c r="E50" s="112">
        <v>40</v>
      </c>
      <c r="F50" s="113">
        <v>40</v>
      </c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identifier]],Store_History[Type],"Warehouse")</f>
        <v>0</v>
      </c>
      <c r="M50" s="115">
        <f>SUMIFS(Store_History[Quantity],Store_History[Unique identifier],Store_Setting[[#This Row],[Unique
identifier]],Store_History[Type],"Pick up")</f>
        <v>0</v>
      </c>
    </row>
    <row r="51" spans="2:13" ht="8.15" customHeight="1" x14ac:dyDescent="0.4">
      <c r="G51" s="9"/>
    </row>
    <row r="52" spans="2:13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</row>
    <row r="53" spans="2:13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</row>
    <row r="54" spans="2:13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</row>
    <row r="55" spans="2:13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40" customHeight="1" x14ac:dyDescent="0.4">
      <c r="B56" s="105" t="s">
        <v>103</v>
      </c>
      <c r="C56" s="117" t="s">
        <v>114</v>
      </c>
      <c r="D56" s="122" t="s">
        <v>124</v>
      </c>
      <c r="E56" s="123" t="s">
        <v>125</v>
      </c>
      <c r="F56" s="123" t="s">
        <v>126</v>
      </c>
      <c r="G56" s="124" t="s">
        <v>127</v>
      </c>
      <c r="H56" s="124" t="s">
        <v>1</v>
      </c>
      <c r="I56" s="124" t="s">
        <v>128</v>
      </c>
      <c r="J56" s="125"/>
      <c r="K56" s="125"/>
      <c r="L56" s="125"/>
      <c r="M56" s="125"/>
    </row>
    <row r="57" spans="2:13" ht="40" customHeight="1" x14ac:dyDescent="0.4">
      <c r="B57" s="105"/>
      <c r="C57" s="117"/>
      <c r="D57" s="126" t="s">
        <v>137</v>
      </c>
      <c r="E57" s="126" t="s">
        <v>138</v>
      </c>
      <c r="F57" s="126" t="s">
        <v>138</v>
      </c>
      <c r="G57" s="126" t="s">
        <v>138</v>
      </c>
      <c r="H57" s="126" t="s">
        <v>138</v>
      </c>
      <c r="I57" s="126" t="s">
        <v>138</v>
      </c>
      <c r="J57" s="125"/>
      <c r="K57" s="125"/>
      <c r="L57" s="125"/>
      <c r="M57" s="125"/>
    </row>
    <row r="58" spans="2:13" ht="50.15" customHeight="1" x14ac:dyDescent="0.4">
      <c r="B58" s="105"/>
      <c r="C58" s="117" t="s">
        <v>115</v>
      </c>
      <c r="D58" s="126" t="s">
        <v>138</v>
      </c>
      <c r="E58" s="187" t="s">
        <v>136</v>
      </c>
      <c r="F58" s="187"/>
      <c r="G58" s="187"/>
      <c r="H58" s="187"/>
      <c r="I58" s="187"/>
      <c r="J58" s="187"/>
      <c r="K58" s="187"/>
      <c r="L58" s="187"/>
      <c r="M58" s="187"/>
    </row>
    <row r="59" spans="2:13" ht="50.15" customHeight="1" x14ac:dyDescent="0.4">
      <c r="B59" s="105"/>
      <c r="C59" s="117" t="s">
        <v>316</v>
      </c>
      <c r="D59" s="126" t="s">
        <v>137</v>
      </c>
      <c r="E59" s="187" t="s">
        <v>318</v>
      </c>
      <c r="F59" s="187"/>
      <c r="G59" s="187"/>
      <c r="H59" s="187"/>
      <c r="I59" s="187"/>
      <c r="J59" s="187"/>
      <c r="K59" s="187"/>
      <c r="L59" s="187"/>
      <c r="M59" s="187"/>
    </row>
    <row r="60" spans="2:13" ht="50.15" customHeight="1" x14ac:dyDescent="0.4">
      <c r="B60" s="105"/>
      <c r="C60" s="117" t="s">
        <v>319</v>
      </c>
      <c r="D60" s="126" t="s">
        <v>137</v>
      </c>
      <c r="E60" s="187" t="s">
        <v>317</v>
      </c>
      <c r="F60" s="187"/>
      <c r="G60" s="187"/>
      <c r="H60" s="187"/>
      <c r="I60" s="187"/>
      <c r="J60" s="187"/>
      <c r="K60" s="187"/>
      <c r="L60" s="187"/>
      <c r="M60" s="187"/>
    </row>
    <row r="61" spans="2:13" ht="8.15" customHeight="1" x14ac:dyDescent="0.4">
      <c r="B61" s="120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40" customHeight="1" x14ac:dyDescent="0.4">
      <c r="B62" s="105" t="s">
        <v>104</v>
      </c>
      <c r="C62" s="117" t="s">
        <v>151</v>
      </c>
      <c r="D62" s="116" t="s">
        <v>242</v>
      </c>
      <c r="E62" s="116" t="s">
        <v>243</v>
      </c>
      <c r="F62" s="116" t="s">
        <v>122</v>
      </c>
      <c r="G62" s="116" t="s">
        <v>244</v>
      </c>
      <c r="H62" s="116" t="s">
        <v>245</v>
      </c>
      <c r="I62" s="116" t="s">
        <v>123</v>
      </c>
      <c r="J62" s="116" t="s">
        <v>246</v>
      </c>
      <c r="K62" s="116"/>
      <c r="L62" s="116"/>
      <c r="M62" s="116"/>
    </row>
    <row r="63" spans="2:13" ht="50.25" customHeight="1" x14ac:dyDescent="0.4">
      <c r="B63" s="105"/>
      <c r="C63" s="117" t="s">
        <v>116</v>
      </c>
      <c r="D63" s="126" t="s">
        <v>137</v>
      </c>
      <c r="E63" s="184" t="s">
        <v>135</v>
      </c>
      <c r="F63" s="184"/>
      <c r="G63" s="184"/>
      <c r="H63" s="184"/>
      <c r="I63" s="184"/>
      <c r="J63" s="184"/>
      <c r="K63" s="184"/>
      <c r="L63" s="184"/>
      <c r="M63" s="184"/>
    </row>
    <row r="64" spans="2:13" ht="50.25" customHeight="1" x14ac:dyDescent="0.4">
      <c r="B64" s="105"/>
      <c r="C64" s="117" t="s">
        <v>320</v>
      </c>
      <c r="D64" s="126" t="s">
        <v>137</v>
      </c>
      <c r="E64" s="184" t="s">
        <v>322</v>
      </c>
      <c r="F64" s="184"/>
      <c r="G64" s="184"/>
      <c r="H64" s="184"/>
      <c r="I64" s="184"/>
      <c r="J64" s="184"/>
      <c r="K64" s="184"/>
      <c r="L64" s="184"/>
      <c r="M64" s="184"/>
    </row>
    <row r="65" spans="2:13" ht="50.25" customHeight="1" x14ac:dyDescent="0.4">
      <c r="B65" s="105"/>
      <c r="C65" s="117" t="s">
        <v>321</v>
      </c>
      <c r="D65" s="126" t="s">
        <v>137</v>
      </c>
      <c r="E65" s="184" t="s">
        <v>323</v>
      </c>
      <c r="F65" s="184"/>
      <c r="G65" s="184"/>
      <c r="H65" s="184"/>
      <c r="I65" s="184"/>
      <c r="J65" s="184"/>
      <c r="K65" s="184"/>
      <c r="L65" s="184"/>
      <c r="M65" s="184"/>
    </row>
    <row r="66" spans="2:13" ht="8.15" customHeight="1" x14ac:dyDescent="0.4">
      <c r="C66" s="121"/>
    </row>
    <row r="67" spans="2:13" ht="40" customHeight="1" x14ac:dyDescent="0.4">
      <c r="B67" s="127" t="s">
        <v>105</v>
      </c>
      <c r="C67" s="117" t="s">
        <v>149</v>
      </c>
      <c r="D67" s="128" t="s">
        <v>118</v>
      </c>
      <c r="E67" s="128" t="s">
        <v>120</v>
      </c>
      <c r="F67" s="129"/>
      <c r="G67" s="129"/>
      <c r="H67" s="129"/>
      <c r="I67" s="129"/>
      <c r="J67" s="129"/>
      <c r="K67" s="129"/>
      <c r="L67" s="129"/>
      <c r="M67" s="129"/>
    </row>
    <row r="68" spans="2:13" ht="8.15" customHeight="1" x14ac:dyDescent="0.4">
      <c r="B68" s="120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</row>
    <row r="69" spans="2:13" ht="40" customHeight="1" x14ac:dyDescent="0.4">
      <c r="B69" s="127" t="s">
        <v>106</v>
      </c>
      <c r="C69" s="117" t="s">
        <v>117</v>
      </c>
      <c r="D69" s="128" t="s">
        <v>119</v>
      </c>
      <c r="E69" s="128" t="s">
        <v>121</v>
      </c>
      <c r="F69" s="129"/>
      <c r="G69" s="129"/>
      <c r="H69" s="129"/>
      <c r="I69" s="129"/>
      <c r="J69" s="129"/>
      <c r="K69" s="129"/>
      <c r="L69" s="129"/>
      <c r="M69" s="129"/>
    </row>
    <row r="70" spans="2:13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</row>
    <row r="71" spans="2:13" ht="40" customHeight="1" x14ac:dyDescent="0.4">
      <c r="B71" s="127" t="s">
        <v>107</v>
      </c>
      <c r="C71" s="117" t="s">
        <v>125</v>
      </c>
      <c r="D71" s="128" t="s">
        <v>247</v>
      </c>
      <c r="E71" s="128" t="s">
        <v>248</v>
      </c>
      <c r="F71" s="129"/>
      <c r="G71" s="129"/>
      <c r="H71" s="129"/>
      <c r="I71" s="129"/>
      <c r="J71" s="129"/>
      <c r="K71" s="129"/>
      <c r="L71" s="129"/>
      <c r="M71" s="129"/>
    </row>
    <row r="72" spans="2:13" ht="8.15" customHeight="1" x14ac:dyDescent="0.4">
      <c r="B72" s="120"/>
      <c r="D72" s="121"/>
      <c r="E72" s="121"/>
      <c r="F72" s="121"/>
      <c r="G72" s="121"/>
      <c r="H72" s="121"/>
      <c r="I72" s="121"/>
      <c r="J72" s="121"/>
      <c r="K72" s="121"/>
      <c r="L72" s="121"/>
      <c r="M72" s="121"/>
    </row>
    <row r="73" spans="2:13" ht="40" customHeight="1" x14ac:dyDescent="0.4">
      <c r="B73" s="127" t="s">
        <v>304</v>
      </c>
      <c r="C73" s="130" t="s">
        <v>62</v>
      </c>
      <c r="D73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5"/>
      <c r="F73" s="106"/>
      <c r="G73" s="106"/>
      <c r="H73" s="106"/>
      <c r="I73" s="106"/>
      <c r="J73" s="106"/>
      <c r="K73" s="106"/>
      <c r="L73" s="106"/>
      <c r="M73" s="106"/>
    </row>
    <row r="74" spans="2:13" ht="40" customHeight="1" x14ac:dyDescent="0.4">
      <c r="B74" s="127"/>
      <c r="C74" s="132" t="s">
        <v>113</v>
      </c>
      <c r="D74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5"/>
      <c r="F74" s="106"/>
      <c r="G74" s="106"/>
      <c r="H74" s="106"/>
      <c r="I74" s="106"/>
      <c r="J74" s="106"/>
      <c r="K74" s="106"/>
      <c r="L74" s="106"/>
      <c r="M74" s="106"/>
    </row>
    <row r="75" spans="2:13" ht="40" customHeight="1" x14ac:dyDescent="0.4">
      <c r="B75" s="127"/>
      <c r="C75" s="130" t="s">
        <v>249</v>
      </c>
      <c r="D75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5"/>
      <c r="F75" s="106"/>
      <c r="G75" s="133"/>
      <c r="H75" s="106"/>
      <c r="I75" s="106"/>
      <c r="J75" s="106"/>
      <c r="K75" s="106"/>
      <c r="L75" s="106"/>
      <c r="M75" s="106"/>
    </row>
    <row r="76" spans="2:13" ht="40" customHeight="1" x14ac:dyDescent="0.4">
      <c r="B76" s="127"/>
      <c r="C76" s="130" t="s">
        <v>63</v>
      </c>
      <c r="D76" s="131" t="str">
        <f>_xlfn.CONCAT("Shared ", COUNTA(Get_Staff_Member)," employees")</f>
        <v>Shared 2 employees</v>
      </c>
      <c r="E76" s="125"/>
      <c r="F76" s="106"/>
      <c r="G76" s="106"/>
      <c r="H76" s="106"/>
      <c r="I76" s="106"/>
      <c r="J76" s="106"/>
      <c r="K76" s="106"/>
      <c r="L76" s="106"/>
      <c r="M76" s="106"/>
    </row>
    <row r="77" spans="2:13" ht="40" customHeight="1" x14ac:dyDescent="0.4">
      <c r="B77" s="127"/>
      <c r="C77" s="130" t="s">
        <v>151</v>
      </c>
      <c r="D77" s="131" t="str">
        <f>_xlfn.CONCAT("Has been set ", COUNTA(Get_Work_Unit)," units")</f>
        <v>Has been set 7 units</v>
      </c>
      <c r="E77" s="125"/>
      <c r="F77" s="106"/>
      <c r="G77" s="106"/>
      <c r="H77" s="106"/>
      <c r="I77" s="106"/>
      <c r="J77" s="106"/>
      <c r="K77" s="106"/>
      <c r="L77" s="106"/>
      <c r="M77" s="106"/>
    </row>
    <row r="78" spans="2:13" ht="16" customHeight="1" x14ac:dyDescent="0.4"/>
    <row r="79" spans="2:13" ht="40" customHeight="1" x14ac:dyDescent="0.4">
      <c r="B79" s="134" t="s">
        <v>108</v>
      </c>
      <c r="C79" s="135"/>
      <c r="D79" s="135"/>
      <c r="E79" s="135"/>
    </row>
    <row r="80" spans="2:13" ht="40" customHeight="1" x14ac:dyDescent="0.4">
      <c r="B80" s="136" t="s">
        <v>109</v>
      </c>
      <c r="C80" s="137" t="s">
        <v>23</v>
      </c>
      <c r="D80" s="138"/>
      <c r="E80" s="138"/>
    </row>
    <row r="81" spans="2:5" ht="40" customHeight="1" x14ac:dyDescent="0.4">
      <c r="B81" s="136" t="s">
        <v>110</v>
      </c>
      <c r="C81" s="139" t="s">
        <v>0</v>
      </c>
      <c r="D81" s="140"/>
      <c r="E81" s="140"/>
    </row>
    <row r="82" spans="2:5" ht="40" customHeight="1" x14ac:dyDescent="0.4">
      <c r="B82" s="136" t="s">
        <v>111</v>
      </c>
      <c r="C82" s="137" t="s">
        <v>22</v>
      </c>
      <c r="D82" s="138"/>
      <c r="E82" s="138"/>
    </row>
    <row r="83" spans="2:5" ht="40" customHeight="1" x14ac:dyDescent="0.4">
      <c r="B83" s="136" t="s">
        <v>112</v>
      </c>
      <c r="C83" s="137" t="s">
        <v>327</v>
      </c>
      <c r="D83" s="137"/>
      <c r="E83" s="137"/>
    </row>
    <row r="84" spans="2:5" ht="14.15" customHeight="1" x14ac:dyDescent="0.4"/>
  </sheetData>
  <sheetProtection sheet="1" selectLockedCells="1"/>
  <mergeCells count="8">
    <mergeCell ref="E65:M65"/>
    <mergeCell ref="E64:M64"/>
    <mergeCell ref="E63:M63"/>
    <mergeCell ref="H9:J9"/>
    <mergeCell ref="K9:M9"/>
    <mergeCell ref="E58:M58"/>
    <mergeCell ref="E59:M59"/>
    <mergeCell ref="E60:M60"/>
  </mergeCells>
  <phoneticPr fontId="1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I57 D58:D60 D63:D65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3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123" width="16.69140625" style="53" customWidth="1"/>
    <col min="124" max="124" width="16.69140625" style="54" customWidth="1"/>
    <col min="125" max="125" width="26.69140625" style="55" customWidth="1"/>
    <col min="126" max="126" width="12.69140625" style="27" customWidth="1"/>
    <col min="127" max="127" width="24.69140625" style="56" customWidth="1"/>
    <col min="128" max="128" width="12.69140625" style="27" customWidth="1"/>
    <col min="129" max="129" width="20.69140625" style="56" customWidth="1"/>
    <col min="130" max="130" width="28.69140625" style="56" customWidth="1"/>
    <col min="131" max="131" width="44.69140625" style="56" customWidth="1"/>
    <col min="132" max="132" width="26.69140625" style="28" customWidth="1"/>
    <col min="133" max="133" width="18.69140625" style="57" customWidth="1"/>
    <col min="134" max="134" width="44.69140625" style="58" customWidth="1"/>
    <col min="135" max="135" width="14.69140625" style="154" customWidth="1"/>
    <col min="136" max="137" width="14.69140625" style="172" customWidth="1"/>
    <col min="138" max="138" width="2.69140625" style="36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  <c r="EF1" s="173"/>
      <c r="EG1" s="173"/>
      <c r="EH1" s="173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8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69"/>
      <c r="DT2" s="7"/>
      <c r="DU2" s="7"/>
      <c r="DV2" s="7"/>
      <c r="DW2" s="33"/>
      <c r="DX2" s="7"/>
      <c r="DY2" s="7"/>
      <c r="DZ2" s="33"/>
      <c r="EA2" s="33"/>
      <c r="EB2" s="7"/>
      <c r="EC2" s="33"/>
      <c r="ED2" s="33"/>
      <c r="EE2" s="7"/>
      <c r="EF2" s="174"/>
      <c r="EG2" s="174"/>
      <c r="EH2" s="174"/>
    </row>
    <row r="3" spans="1:138" ht="8.15" customHeight="1" x14ac:dyDescent="0.4">
      <c r="C3" s="9"/>
      <c r="DT3" s="9"/>
      <c r="DU3" s="9"/>
      <c r="DV3" s="9"/>
      <c r="DW3" s="9"/>
      <c r="DX3" s="9"/>
      <c r="DY3" s="9"/>
      <c r="DZ3" s="35"/>
      <c r="EA3" s="35"/>
      <c r="EB3" s="9"/>
      <c r="EC3" s="35"/>
      <c r="ED3" s="35"/>
      <c r="EE3" s="175"/>
      <c r="EF3" s="176"/>
      <c r="EG3" s="176"/>
      <c r="EH3" s="176"/>
    </row>
    <row r="4" spans="1:138" ht="6" customHeight="1" x14ac:dyDescent="0.4">
      <c r="B4" s="10"/>
      <c r="C4" s="1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70"/>
      <c r="BQ4" s="170"/>
      <c r="BR4" s="170"/>
      <c r="BS4" s="170"/>
      <c r="BT4" s="170"/>
      <c r="BU4" s="170"/>
      <c r="BV4" s="170"/>
      <c r="BW4" s="170"/>
      <c r="BX4" s="170"/>
      <c r="BY4" s="170"/>
      <c r="BZ4" s="170"/>
      <c r="CA4" s="170"/>
      <c r="CB4" s="170"/>
      <c r="CC4" s="170"/>
      <c r="CD4" s="170"/>
      <c r="CE4" s="170"/>
      <c r="CF4" s="170"/>
      <c r="CG4" s="170"/>
      <c r="CH4" s="170"/>
      <c r="CI4" s="170"/>
      <c r="CJ4" s="170"/>
      <c r="CK4" s="170"/>
      <c r="CL4" s="170"/>
      <c r="CM4" s="170"/>
      <c r="CN4" s="170"/>
      <c r="CO4" s="170"/>
      <c r="CP4" s="170"/>
      <c r="CQ4" s="170"/>
      <c r="CR4" s="170"/>
      <c r="CS4" s="170"/>
      <c r="CT4" s="170"/>
      <c r="CU4" s="170"/>
      <c r="CV4" s="170"/>
      <c r="CW4" s="170"/>
      <c r="CX4" s="170"/>
      <c r="CY4" s="170"/>
      <c r="CZ4" s="170"/>
      <c r="DA4" s="170"/>
      <c r="DB4" s="170"/>
      <c r="DC4" s="170"/>
      <c r="DD4" s="170"/>
      <c r="DE4" s="170"/>
      <c r="DF4" s="170"/>
      <c r="DG4" s="170"/>
      <c r="DH4" s="170"/>
      <c r="DI4" s="170"/>
      <c r="DJ4" s="170"/>
      <c r="DK4" s="170"/>
      <c r="DL4" s="170"/>
      <c r="DM4" s="170"/>
      <c r="DN4" s="170"/>
      <c r="DO4" s="170"/>
      <c r="DP4" s="170"/>
      <c r="DQ4" s="170"/>
      <c r="DR4" s="170"/>
      <c r="DS4" s="170"/>
      <c r="DT4" s="11"/>
      <c r="DU4" s="11"/>
      <c r="DV4" s="11"/>
      <c r="DW4" s="11"/>
      <c r="DX4" s="11"/>
      <c r="DY4" s="11"/>
      <c r="DZ4" s="37"/>
      <c r="EA4" s="37"/>
      <c r="EB4" s="11"/>
      <c r="EC4" s="37"/>
      <c r="ED4" s="37"/>
      <c r="EE4" s="10"/>
      <c r="EF4" s="10"/>
      <c r="EG4" s="10"/>
      <c r="EH4" s="176"/>
    </row>
    <row r="5" spans="1:138" ht="8.15" customHeight="1" x14ac:dyDescent="0.4">
      <c r="C5" s="9"/>
      <c r="DT5" s="9"/>
      <c r="DU5" s="9"/>
      <c r="DV5" s="9"/>
      <c r="DW5" s="9"/>
      <c r="DX5" s="9"/>
      <c r="DY5" s="9"/>
      <c r="DZ5" s="35"/>
      <c r="EA5" s="35"/>
      <c r="EB5" s="9"/>
      <c r="EC5" s="35"/>
      <c r="ED5" s="35"/>
      <c r="EE5" s="175"/>
      <c r="EF5" s="176"/>
      <c r="EG5" s="176"/>
      <c r="EH5" s="176"/>
    </row>
    <row r="6" spans="1:138" s="51" customFormat="1" ht="40" customHeight="1" x14ac:dyDescent="0.4">
      <c r="A6" s="9"/>
      <c r="B6" s="9"/>
      <c r="C6" s="38"/>
      <c r="D6" s="166">
        <f>Setting!F11</f>
        <v>1</v>
      </c>
      <c r="E6" s="166" t="str">
        <f>Setting!F11 &amp;" - History record"</f>
        <v>1 - History record</v>
      </c>
      <c r="F6" s="166"/>
      <c r="G6" s="164">
        <f>Setting!F12</f>
        <v>2</v>
      </c>
      <c r="H6" s="164" t="str">
        <f>Setting!F12 &amp;" - History record"</f>
        <v>2 - History record</v>
      </c>
      <c r="I6" s="164"/>
      <c r="J6" s="166">
        <f>Setting!F13</f>
        <v>3</v>
      </c>
      <c r="K6" s="166" t="str">
        <f>Setting!F13 &amp;" - History record"</f>
        <v>3 - History record</v>
      </c>
      <c r="L6" s="166"/>
      <c r="M6" s="164">
        <f>Setting!F14</f>
        <v>4</v>
      </c>
      <c r="N6" s="164" t="str">
        <f>Setting!F14 &amp;" - History record"</f>
        <v>4 - History record</v>
      </c>
      <c r="O6" s="164"/>
      <c r="P6" s="166">
        <f>Setting!F15</f>
        <v>5</v>
      </c>
      <c r="Q6" s="166" t="str">
        <f>Setting!F15 &amp;" - History record"</f>
        <v>5 - History record</v>
      </c>
      <c r="R6" s="166"/>
      <c r="S6" s="164">
        <f>Setting!F16</f>
        <v>6</v>
      </c>
      <c r="T6" s="164" t="str">
        <f>Setting!F16 &amp;" - History record"</f>
        <v>6 - History record</v>
      </c>
      <c r="U6" s="164"/>
      <c r="V6" s="166">
        <f>Setting!F17</f>
        <v>7</v>
      </c>
      <c r="W6" s="166" t="str">
        <f>Setting!F17 &amp;" - History record"</f>
        <v>7 - History record</v>
      </c>
      <c r="X6" s="166"/>
      <c r="Y6" s="164">
        <f>Setting!F18</f>
        <v>8</v>
      </c>
      <c r="Z6" s="164" t="str">
        <f>Setting!F18 &amp;" - History record"</f>
        <v>8 - History record</v>
      </c>
      <c r="AA6" s="164"/>
      <c r="AB6" s="166">
        <f>Setting!F19</f>
        <v>9</v>
      </c>
      <c r="AC6" s="166" t="str">
        <f>Setting!F19 &amp;" - History record"</f>
        <v>9 - History record</v>
      </c>
      <c r="AD6" s="166"/>
      <c r="AE6" s="164">
        <f>Setting!F20</f>
        <v>10</v>
      </c>
      <c r="AF6" s="164" t="str">
        <f>Setting!F20 &amp;" - History record"</f>
        <v>10 - History record</v>
      </c>
      <c r="AG6" s="164"/>
      <c r="AH6" s="166">
        <f>Setting!F21</f>
        <v>11</v>
      </c>
      <c r="AI6" s="166" t="str">
        <f>Setting!F21 &amp;" - History record"</f>
        <v>11 - History record</v>
      </c>
      <c r="AJ6" s="166"/>
      <c r="AK6" s="164">
        <f>Setting!F22</f>
        <v>12</v>
      </c>
      <c r="AL6" s="164" t="str">
        <f>Setting!F22 &amp;" - History record"</f>
        <v>12 - History record</v>
      </c>
      <c r="AM6" s="164"/>
      <c r="AN6" s="166">
        <f>Setting!F23</f>
        <v>13</v>
      </c>
      <c r="AO6" s="166" t="str">
        <f>Setting!F23 &amp;" - History record"</f>
        <v>13 - History record</v>
      </c>
      <c r="AP6" s="166"/>
      <c r="AQ6" s="164">
        <f>Setting!F24</f>
        <v>14</v>
      </c>
      <c r="AR6" s="164" t="str">
        <f>Setting!F24 &amp;" - History record"</f>
        <v>14 - History record</v>
      </c>
      <c r="AS6" s="164"/>
      <c r="AT6" s="166">
        <f>Setting!F25</f>
        <v>15</v>
      </c>
      <c r="AU6" s="166" t="str">
        <f>Setting!F25 &amp;" - History record"</f>
        <v>15 - History record</v>
      </c>
      <c r="AV6" s="166"/>
      <c r="AW6" s="164">
        <f>Setting!F26</f>
        <v>16</v>
      </c>
      <c r="AX6" s="164" t="str">
        <f>Setting!F26 &amp;" - History record"</f>
        <v>16 - History record</v>
      </c>
      <c r="AY6" s="164"/>
      <c r="AZ6" s="166">
        <f>Setting!F27</f>
        <v>17</v>
      </c>
      <c r="BA6" s="166" t="str">
        <f>Setting!F27 &amp;" - History record"</f>
        <v>17 - History record</v>
      </c>
      <c r="BB6" s="166"/>
      <c r="BC6" s="164">
        <f>Setting!F28</f>
        <v>18</v>
      </c>
      <c r="BD6" s="164" t="str">
        <f>Setting!F28 &amp;" - History record"</f>
        <v>18 - History record</v>
      </c>
      <c r="BE6" s="164"/>
      <c r="BF6" s="166">
        <f>Setting!F29</f>
        <v>19</v>
      </c>
      <c r="BG6" s="166" t="str">
        <f>Setting!F29 &amp;" - History record"</f>
        <v>19 - History record</v>
      </c>
      <c r="BH6" s="166"/>
      <c r="BI6" s="164">
        <f>Setting!F30</f>
        <v>20</v>
      </c>
      <c r="BJ6" s="164" t="str">
        <f>Setting!F30 &amp;" - History record"</f>
        <v>20 - History record</v>
      </c>
      <c r="BK6" s="164"/>
      <c r="BL6" s="165">
        <f>Setting!F31</f>
        <v>21</v>
      </c>
      <c r="BM6" s="165" t="str">
        <f>Setting!F31 &amp;" - History record"</f>
        <v>21 - History record</v>
      </c>
      <c r="BN6" s="165"/>
      <c r="BO6" s="164">
        <f>Setting!F32</f>
        <v>22</v>
      </c>
      <c r="BP6" s="164" t="str">
        <f>Setting!F32 &amp;" - History record"</f>
        <v>22 - History record</v>
      </c>
      <c r="BQ6" s="164"/>
      <c r="BR6" s="165">
        <f>Setting!F33</f>
        <v>23</v>
      </c>
      <c r="BS6" s="165" t="str">
        <f>Setting!F33 &amp;" - History record"</f>
        <v>23 - History record</v>
      </c>
      <c r="BT6" s="165"/>
      <c r="BU6" s="164">
        <f>Setting!F34</f>
        <v>24</v>
      </c>
      <c r="BV6" s="164" t="str">
        <f>Setting!F34 &amp;" - History record"</f>
        <v>24 - History record</v>
      </c>
      <c r="BW6" s="164"/>
      <c r="BX6" s="165">
        <f>Setting!F35</f>
        <v>25</v>
      </c>
      <c r="BY6" s="165" t="str">
        <f>Setting!F35 &amp;" - History record"</f>
        <v>25 - History record</v>
      </c>
      <c r="BZ6" s="165"/>
      <c r="CA6" s="164">
        <f>Setting!F36</f>
        <v>26</v>
      </c>
      <c r="CB6" s="164" t="str">
        <f>Setting!F36 &amp;" - History record"</f>
        <v>26 - History record</v>
      </c>
      <c r="CC6" s="164"/>
      <c r="CD6" s="165">
        <f>Setting!F37</f>
        <v>27</v>
      </c>
      <c r="CE6" s="165" t="str">
        <f>Setting!F37 &amp;" - History record"</f>
        <v>27 - History record</v>
      </c>
      <c r="CF6" s="165"/>
      <c r="CG6" s="164">
        <f>Setting!F38</f>
        <v>28</v>
      </c>
      <c r="CH6" s="164" t="str">
        <f>Setting!F38 &amp;" - History record"</f>
        <v>28 - History record</v>
      </c>
      <c r="CI6" s="164"/>
      <c r="CJ6" s="165">
        <f>Setting!F39</f>
        <v>29</v>
      </c>
      <c r="CK6" s="165" t="str">
        <f>Setting!F39 &amp;" - History record"</f>
        <v>29 - History record</v>
      </c>
      <c r="CL6" s="165"/>
      <c r="CM6" s="164">
        <f>Setting!F40</f>
        <v>30</v>
      </c>
      <c r="CN6" s="164" t="str">
        <f>Setting!F40 &amp;" - History record"</f>
        <v>30 - History record</v>
      </c>
      <c r="CO6" s="164"/>
      <c r="CP6" s="165">
        <f>Setting!F41</f>
        <v>31</v>
      </c>
      <c r="CQ6" s="165" t="str">
        <f>Setting!F41 &amp;" - History record"</f>
        <v>31 - History record</v>
      </c>
      <c r="CR6" s="165"/>
      <c r="CS6" s="164">
        <f>Setting!F42</f>
        <v>32</v>
      </c>
      <c r="CT6" s="164" t="str">
        <f>Setting!F42 &amp;" - History record"</f>
        <v>32 - History record</v>
      </c>
      <c r="CU6" s="164"/>
      <c r="CV6" s="165">
        <f>Setting!F43</f>
        <v>33</v>
      </c>
      <c r="CW6" s="165" t="str">
        <f>Setting!F43 &amp;" - History record"</f>
        <v>33 - History record</v>
      </c>
      <c r="CX6" s="165"/>
      <c r="CY6" s="164">
        <f>Setting!F44</f>
        <v>34</v>
      </c>
      <c r="CZ6" s="164" t="str">
        <f>Setting!F44 &amp;" - History record"</f>
        <v>34 - History record</v>
      </c>
      <c r="DA6" s="164"/>
      <c r="DB6" s="165">
        <f>Setting!F45</f>
        <v>35</v>
      </c>
      <c r="DC6" s="165" t="str">
        <f>Setting!F45 &amp;" - History record"</f>
        <v>35 - History record</v>
      </c>
      <c r="DD6" s="165"/>
      <c r="DE6" s="164">
        <f>Setting!F46</f>
        <v>36</v>
      </c>
      <c r="DF6" s="164" t="str">
        <f>Setting!F46 &amp;" - History record"</f>
        <v>36 - History record</v>
      </c>
      <c r="DG6" s="164"/>
      <c r="DH6" s="165">
        <f>Setting!F47</f>
        <v>37</v>
      </c>
      <c r="DI6" s="165" t="str">
        <f>Setting!F47 &amp;" - History record"</f>
        <v>37 - History record</v>
      </c>
      <c r="DJ6" s="165"/>
      <c r="DK6" s="164">
        <f>Setting!F48</f>
        <v>38</v>
      </c>
      <c r="DL6" s="164" t="str">
        <f>Setting!F48 &amp;" - History record"</f>
        <v>38 - History record</v>
      </c>
      <c r="DM6" s="164"/>
      <c r="DN6" s="165">
        <f>Setting!F49</f>
        <v>39</v>
      </c>
      <c r="DO6" s="165" t="str">
        <f>Setting!F49 &amp;" - History record"</f>
        <v>39 - History record</v>
      </c>
      <c r="DP6" s="165"/>
      <c r="DQ6" s="164">
        <f>Setting!F50</f>
        <v>40</v>
      </c>
      <c r="DR6" s="164" t="str">
        <f>Setting!F50 &amp;" - History record"</f>
        <v>40 - History record</v>
      </c>
      <c r="DS6" s="164"/>
      <c r="DT6" s="188" t="s">
        <v>237</v>
      </c>
      <c r="DU6" s="188"/>
      <c r="DV6" s="188"/>
      <c r="DW6" s="188"/>
      <c r="DX6" s="188"/>
      <c r="DY6" s="188" t="s">
        <v>238</v>
      </c>
      <c r="DZ6" s="188"/>
      <c r="EA6" s="188"/>
      <c r="EB6" s="188" t="s">
        <v>239</v>
      </c>
      <c r="EC6" s="188"/>
      <c r="ED6" s="39"/>
      <c r="EE6" s="189" t="s">
        <v>324</v>
      </c>
      <c r="EF6" s="189"/>
      <c r="EG6" s="189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5"/>
      <c r="EA7" s="35"/>
      <c r="EB7" s="9"/>
      <c r="EC7" s="35"/>
      <c r="ED7" s="35"/>
      <c r="EE7" s="9"/>
      <c r="EF7" s="9"/>
      <c r="EG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6" t="s">
        <v>141</v>
      </c>
      <c r="DU8" s="16" t="s">
        <v>124</v>
      </c>
      <c r="DV8" s="16" t="s">
        <v>125</v>
      </c>
      <c r="DW8" s="16" t="s">
        <v>240</v>
      </c>
      <c r="DX8" s="16" t="s">
        <v>127</v>
      </c>
      <c r="DY8" s="16" t="s">
        <v>142</v>
      </c>
      <c r="DZ8" s="40" t="s">
        <v>1</v>
      </c>
      <c r="EA8" s="40" t="s">
        <v>128</v>
      </c>
      <c r="EB8" s="41" t="s">
        <v>241</v>
      </c>
      <c r="EC8" s="40" t="s">
        <v>144</v>
      </c>
      <c r="ED8" s="40" t="s">
        <v>143</v>
      </c>
      <c r="EE8" s="171" t="s">
        <v>329</v>
      </c>
      <c r="EF8" s="171" t="s">
        <v>330</v>
      </c>
      <c r="EG8" s="171" t="s">
        <v>328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4" t="s">
        <v>253</v>
      </c>
      <c r="DU9" s="45" t="s">
        <v>0</v>
      </c>
      <c r="DV9" s="46" t="s">
        <v>247</v>
      </c>
      <c r="DW9" s="46"/>
      <c r="DX9" s="20"/>
      <c r="DY9" s="46" t="s">
        <v>46</v>
      </c>
      <c r="DZ9" s="46" t="s">
        <v>44</v>
      </c>
      <c r="EA9" s="46"/>
      <c r="EB9" s="21">
        <v>45268.505555555559</v>
      </c>
      <c r="EC9" s="47" t="s">
        <v>140</v>
      </c>
      <c r="ED9" s="48" t="s">
        <v>255</v>
      </c>
      <c r="EE9" s="43" cm="1">
        <f t="array" ref="EE9">History_Total</f>
        <v>1</v>
      </c>
      <c r="EF9" s="43" cm="1">
        <f t="array" ref="EF9">History_Saved</f>
        <v>1</v>
      </c>
      <c r="EG9" s="43" cm="1">
        <f t="array" ref="EG9">History_Withdraw</f>
        <v>0</v>
      </c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44" t="s">
        <v>254</v>
      </c>
      <c r="DU10" s="45" t="s">
        <v>0</v>
      </c>
      <c r="DV10" s="46" t="s">
        <v>248</v>
      </c>
      <c r="DW10" s="46"/>
      <c r="DX10" s="20"/>
      <c r="DY10" s="46" t="s">
        <v>47</v>
      </c>
      <c r="DZ10" s="46"/>
      <c r="EA10" s="46"/>
      <c r="EB10" s="21">
        <v>45268.505555555559</v>
      </c>
      <c r="EC10" s="47" t="s">
        <v>140</v>
      </c>
      <c r="ED10" s="48" t="s">
        <v>255</v>
      </c>
      <c r="EE10" s="43" cm="1">
        <f t="array" ref="EE10">History_Total</f>
        <v>1</v>
      </c>
      <c r="EF10" s="43" cm="1">
        <f t="array" ref="EF10">History_Saved</f>
        <v>1</v>
      </c>
      <c r="EG10" s="43" cm="1">
        <f t="array" ref="EG10">History_Withdraw</f>
        <v>0</v>
      </c>
      <c r="EH10" s="51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69" priority="27">
      <formula>MOD(ROW(),2)=0</formula>
    </cfRule>
    <cfRule type="expression" dxfId="368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43" width="14.69140625" style="26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88" t="s">
        <v>256</v>
      </c>
      <c r="AS6" s="188"/>
      <c r="AT6" s="188"/>
      <c r="AU6" s="188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2024-02-25T12:03:41Z</dcterms:modified>
</cp:coreProperties>
</file>