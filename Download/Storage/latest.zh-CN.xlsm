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F6AA696-1E86-4F20-AD34-059A383EEEE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设置!$D$71:$E$71</definedName>
    <definedName name="Get_GUID">UserInfo[唯一识别码]</definedName>
    <definedName name="Get_Keep_inventory">设置!$D$69:$E$69</definedName>
    <definedName name="Get_Staff_Member">设置!$D$53:$M$53</definedName>
    <definedName name="Get_Store_Uid">Store_Setting[唯一识别码]</definedName>
    <definedName name="Get_Type_of_Access">设置!$D$67:$E$67</definedName>
    <definedName name="Get_Work_Unit">设置!$D$62:$M$62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5" i="1" l="1"/>
  <c r="D74" i="1"/>
  <c r="D77" i="1"/>
  <c r="D76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44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<sst xmlns="http://schemas.openxmlformats.org/spreadsheetml/2006/main" count="401" uniqueCount="325">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</sst>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974271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1088571</xdr:colOff>
          <xdr:row>5</xdr:row>
          <xdr:rowOff>97971</xdr:rowOff>
        </xdr:from>
        <xdr:to>
          <xdr:col>2</xdr:col>
          <xdr:colOff>1953986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4"/>
      <c r="B3" s="74"/>
      <c r="C3" s="74"/>
      <c r="D3" s="139" t="s">
        <v>132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5" customHeight="1" x14ac:dyDescent="0.4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40" customHeight="1" x14ac:dyDescent="0.4">
      <c r="A5" s="74"/>
      <c r="B5" s="74"/>
      <c r="C5" s="74"/>
      <c r="D5" s="141" t="s">
        <v>267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302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303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294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122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26</v>
      </c>
      <c r="E24" s="21" t="s">
        <v>286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88</v>
      </c>
      <c r="E25" s="84">
        <v>1</v>
      </c>
      <c r="F25" s="85" t="s">
        <v>238</v>
      </c>
      <c r="G25" s="1"/>
      <c r="H25" s="84">
        <v>1</v>
      </c>
      <c r="I25" s="85" t="s">
        <v>306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4">
        <v>0</v>
      </c>
      <c r="F26" s="85" t="s">
        <v>83</v>
      </c>
      <c r="G26" s="1"/>
      <c r="H26" s="84">
        <v>-0.01</v>
      </c>
      <c r="I26" s="85" t="s">
        <v>305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4">
        <v>-0.01</v>
      </c>
      <c r="F27" s="85" t="s">
        <v>84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8" t="s">
        <v>304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81</v>
      </c>
      <c r="E30" s="21" t="s">
        <v>287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307</v>
      </c>
      <c r="E33" s="21" t="s">
        <v>309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310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308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135</v>
      </c>
      <c r="E37" s="21" t="s">
        <v>295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296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299</v>
      </c>
      <c r="E40" s="21" t="s">
        <v>300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233</v>
      </c>
      <c r="E41" s="21" t="s">
        <v>301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234</v>
      </c>
      <c r="E42" s="21" t="s">
        <v>298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285</v>
      </c>
      <c r="E43" s="21" t="s">
        <v>289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271</v>
      </c>
      <c r="E45" s="21" t="s">
        <v>291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290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297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8">
        <v>1</v>
      </c>
      <c r="D50" s="46" t="s">
        <v>274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5" customHeight="1" x14ac:dyDescent="0.4">
      <c r="B51" s="1"/>
      <c r="C51" s="118">
        <v>1</v>
      </c>
      <c r="D51" s="46" t="s">
        <v>293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5" customHeight="1" x14ac:dyDescent="0.4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7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81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249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13</v>
      </c>
      <c r="C7" s="27" t="s">
        <v>12</v>
      </c>
      <c r="D7" s="124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14</v>
      </c>
      <c r="C9" s="27" t="s">
        <v>216</v>
      </c>
      <c r="D9" s="27"/>
      <c r="E9" s="27"/>
      <c r="F9" s="27"/>
      <c r="G9" s="111" t="s">
        <v>273</v>
      </c>
      <c r="H9" s="159" t="s">
        <v>222</v>
      </c>
      <c r="I9" s="159"/>
      <c r="J9" s="159"/>
      <c r="K9" s="160" t="s">
        <v>239</v>
      </c>
      <c r="L9" s="160"/>
      <c r="M9" s="160"/>
    </row>
    <row r="10" spans="2:13" ht="40" customHeight="1" x14ac:dyDescent="0.4">
      <c r="B10" s="26"/>
      <c r="C10" s="27"/>
      <c r="D10" s="28" t="s">
        <v>3</v>
      </c>
      <c r="E10" s="28" t="s">
        <v>221</v>
      </c>
      <c r="F10" s="28" t="s">
        <v>41</v>
      </c>
      <c r="G10" s="112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40" customHeight="1" x14ac:dyDescent="0.4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3">
        <v>1</v>
      </c>
      <c r="G11" s="113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3">
        <v>2</v>
      </c>
      <c r="G12" s="113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3">
        <v>3</v>
      </c>
      <c r="G13" s="113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3">
        <v>4</v>
      </c>
      <c r="G14" s="113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3">
        <v>5</v>
      </c>
      <c r="G15" s="113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3">
        <v>6</v>
      </c>
      <c r="G16" s="113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3">
        <v>7</v>
      </c>
      <c r="G17" s="113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3">
        <v>8</v>
      </c>
      <c r="G18" s="113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3">
        <v>9</v>
      </c>
      <c r="G19" s="113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3">
        <v>10</v>
      </c>
      <c r="G20" s="113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3">
        <v>11</v>
      </c>
      <c r="G21" s="113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3">
        <v>12</v>
      </c>
      <c r="G22" s="113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3">
        <v>13</v>
      </c>
      <c r="G23" s="113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3">
        <v>14</v>
      </c>
      <c r="G24" s="113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3">
        <v>15</v>
      </c>
      <c r="G25" s="113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3">
        <v>16</v>
      </c>
      <c r="G26" s="113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3">
        <v>17</v>
      </c>
      <c r="G27" s="113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3">
        <v>18</v>
      </c>
      <c r="G28" s="113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3">
        <v>19</v>
      </c>
      <c r="G29" s="113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3">
        <v>20</v>
      </c>
      <c r="G30" s="113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3">
        <v>21</v>
      </c>
      <c r="G31" s="113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3">
        <v>22</v>
      </c>
      <c r="G32" s="113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3">
        <v>23</v>
      </c>
      <c r="G33" s="113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3">
        <v>24</v>
      </c>
      <c r="G34" s="113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3">
        <v>25</v>
      </c>
      <c r="G35" s="113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3">
        <v>26</v>
      </c>
      <c r="G36" s="113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3">
        <v>27</v>
      </c>
      <c r="G37" s="113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3">
        <v>28</v>
      </c>
      <c r="G38" s="113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3">
        <v>29</v>
      </c>
      <c r="G39" s="113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3">
        <v>30</v>
      </c>
      <c r="G40" s="113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3">
        <v>31</v>
      </c>
      <c r="G41" s="113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3">
        <v>32</v>
      </c>
      <c r="G42" s="113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3">
        <v>33</v>
      </c>
      <c r="G43" s="113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3">
        <v>34</v>
      </c>
      <c r="G44" s="113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3">
        <v>35</v>
      </c>
      <c r="G45" s="113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3">
        <v>36</v>
      </c>
      <c r="G46" s="113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3">
        <v>37</v>
      </c>
      <c r="G47" s="113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3">
        <v>38</v>
      </c>
      <c r="G48" s="113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3">
        <v>39</v>
      </c>
      <c r="G49" s="113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3">
        <v>40</v>
      </c>
      <c r="G50" s="113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15</v>
      </c>
      <c r="C52" s="27" t="s">
        <v>125</v>
      </c>
      <c r="D52" s="125" t="s">
        <v>278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40" customHeight="1" x14ac:dyDescent="0.4">
      <c r="B53" s="26"/>
      <c r="C53" s="27" t="s">
        <v>29</v>
      </c>
      <c r="D53" s="126" t="s">
        <v>277</v>
      </c>
      <c r="E53" s="126" t="s">
        <v>278</v>
      </c>
      <c r="F53" s="126"/>
      <c r="G53" s="127"/>
      <c r="H53" s="127"/>
      <c r="I53" s="127"/>
      <c r="J53" s="127"/>
      <c r="K53" s="127"/>
      <c r="L53" s="127"/>
      <c r="M53" s="127"/>
    </row>
    <row r="54" spans="2:13" ht="40" customHeight="1" x14ac:dyDescent="0.4">
      <c r="B54" s="26"/>
      <c r="C54" s="27" t="s">
        <v>30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5" customHeight="1" x14ac:dyDescent="0.4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40" customHeight="1" x14ac:dyDescent="0.4">
      <c r="B56" s="26" t="s">
        <v>16</v>
      </c>
      <c r="C56" s="27" t="s">
        <v>314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52"/>
      <c r="K56" s="152"/>
      <c r="L56" s="152"/>
      <c r="M56" s="152"/>
    </row>
    <row r="57" spans="2:13" ht="40" customHeight="1" x14ac:dyDescent="0.4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52"/>
      <c r="K57" s="152"/>
      <c r="L57" s="152"/>
      <c r="M57" s="152"/>
    </row>
    <row r="58" spans="2:13" ht="40" customHeight="1" x14ac:dyDescent="0.4">
      <c r="B58" s="26"/>
      <c r="C58" s="73" t="s">
        <v>311</v>
      </c>
      <c r="D58" s="65" t="s">
        <v>127</v>
      </c>
      <c r="E58" s="153" t="s">
        <v>263</v>
      </c>
      <c r="F58" s="152"/>
      <c r="G58" s="152"/>
      <c r="H58" s="152"/>
      <c r="I58" s="152"/>
      <c r="J58" s="152"/>
      <c r="K58" s="152"/>
      <c r="L58" s="152"/>
      <c r="M58" s="152"/>
    </row>
    <row r="59" spans="2:13" ht="40" customHeight="1" x14ac:dyDescent="0.4">
      <c r="B59" s="26"/>
      <c r="C59" s="73" t="s">
        <v>317</v>
      </c>
      <c r="D59" s="65" t="s">
        <v>126</v>
      </c>
      <c r="E59" s="153" t="s">
        <v>321</v>
      </c>
      <c r="F59" s="152"/>
      <c r="G59" s="152"/>
      <c r="H59" s="152"/>
      <c r="I59" s="152"/>
      <c r="J59" s="152"/>
      <c r="K59" s="152"/>
      <c r="L59" s="152"/>
      <c r="M59" s="152"/>
    </row>
    <row r="60" spans="2:13" ht="40" customHeight="1" x14ac:dyDescent="0.4">
      <c r="B60" s="26"/>
      <c r="C60" s="73" t="s">
        <v>316</v>
      </c>
      <c r="D60" s="65" t="s">
        <v>126</v>
      </c>
      <c r="E60" s="153" t="s">
        <v>322</v>
      </c>
      <c r="F60" s="152"/>
      <c r="G60" s="152"/>
      <c r="H60" s="152"/>
      <c r="I60" s="152"/>
      <c r="J60" s="152"/>
      <c r="K60" s="152"/>
      <c r="L60" s="152"/>
      <c r="M60" s="152"/>
    </row>
    <row r="61" spans="2:13" ht="8.15" customHeight="1" x14ac:dyDescent="0.4">
      <c r="B61" s="109"/>
      <c r="D61" s="110"/>
      <c r="E61" s="110"/>
      <c r="F61" s="110"/>
      <c r="G61" s="110"/>
      <c r="H61" s="110"/>
      <c r="I61" s="110"/>
      <c r="J61" s="110"/>
      <c r="K61" s="110"/>
      <c r="L61" s="110"/>
      <c r="M61" s="110"/>
    </row>
    <row r="62" spans="2:13" ht="40" customHeight="1" x14ac:dyDescent="0.4">
      <c r="B62" s="26" t="s">
        <v>25</v>
      </c>
      <c r="C62" s="27" t="s">
        <v>224</v>
      </c>
      <c r="D62" s="125" t="s">
        <v>225</v>
      </c>
      <c r="E62" s="125" t="s">
        <v>226</v>
      </c>
      <c r="F62" s="125" t="s">
        <v>227</v>
      </c>
      <c r="G62" s="125" t="s">
        <v>259</v>
      </c>
      <c r="H62" s="125" t="s">
        <v>260</v>
      </c>
      <c r="I62" s="125" t="s">
        <v>261</v>
      </c>
      <c r="J62" s="125" t="s">
        <v>262</v>
      </c>
      <c r="K62" s="125"/>
      <c r="L62" s="125"/>
      <c r="M62" s="125"/>
    </row>
    <row r="63" spans="2:13" ht="40" customHeight="1" x14ac:dyDescent="0.4">
      <c r="B63" s="26"/>
      <c r="C63" s="73" t="s">
        <v>313</v>
      </c>
      <c r="D63" s="65" t="s">
        <v>126</v>
      </c>
      <c r="E63" s="153" t="s">
        <v>268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3" t="s">
        <v>319</v>
      </c>
      <c r="D64" s="65" t="s">
        <v>126</v>
      </c>
      <c r="E64" s="153" t="s">
        <v>320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3" t="s">
        <v>318</v>
      </c>
      <c r="D65" s="65" t="s">
        <v>126</v>
      </c>
      <c r="E65" s="153" t="s">
        <v>323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42" t="s">
        <v>217</v>
      </c>
      <c r="C67" s="27" t="s">
        <v>5</v>
      </c>
      <c r="D67" s="150" t="s">
        <v>8</v>
      </c>
      <c r="E67" s="150" t="s">
        <v>9</v>
      </c>
      <c r="F67" s="151"/>
      <c r="G67" s="151"/>
      <c r="H67" s="151"/>
      <c r="I67" s="151"/>
      <c r="J67" s="151"/>
      <c r="K67" s="151"/>
      <c r="L67" s="151"/>
      <c r="M67" s="151"/>
    </row>
    <row r="68" spans="2:13" ht="8.15" customHeight="1" x14ac:dyDescent="0.4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40" customHeight="1" x14ac:dyDescent="0.4">
      <c r="B69" s="142" t="s">
        <v>258</v>
      </c>
      <c r="C69" s="27" t="s">
        <v>312</v>
      </c>
      <c r="D69" s="150" t="s">
        <v>232</v>
      </c>
      <c r="E69" s="150" t="s">
        <v>218</v>
      </c>
      <c r="F69" s="151"/>
      <c r="G69" s="151"/>
      <c r="H69" s="151"/>
      <c r="I69" s="151"/>
      <c r="J69" s="151"/>
      <c r="K69" s="151"/>
      <c r="L69" s="151"/>
      <c r="M69" s="151"/>
    </row>
    <row r="70" spans="2:13" ht="8.15" customHeight="1" x14ac:dyDescent="0.4">
      <c r="B70" s="109"/>
      <c r="D70" s="110"/>
      <c r="E70" s="110"/>
      <c r="F70" s="110"/>
      <c r="G70" s="110"/>
      <c r="H70" s="110"/>
      <c r="I70" s="110"/>
      <c r="J70" s="110"/>
      <c r="K70" s="110"/>
      <c r="L70" s="110"/>
      <c r="M70" s="110"/>
    </row>
    <row r="71" spans="2:13" ht="40" customHeight="1" x14ac:dyDescent="0.4">
      <c r="B71" s="142" t="s">
        <v>266</v>
      </c>
      <c r="C71" s="27" t="s">
        <v>1</v>
      </c>
      <c r="D71" s="150" t="s">
        <v>10</v>
      </c>
      <c r="E71" s="150" t="s">
        <v>11</v>
      </c>
      <c r="F71" s="151"/>
      <c r="G71" s="151"/>
      <c r="H71" s="151"/>
      <c r="I71" s="151"/>
      <c r="J71" s="151"/>
      <c r="K71" s="151"/>
      <c r="L71" s="151"/>
      <c r="M71" s="151"/>
    </row>
    <row r="72" spans="2:13" ht="8.15" customHeight="1" x14ac:dyDescent="0.4">
      <c r="B72" s="109"/>
      <c r="D72" s="110"/>
      <c r="E72" s="110"/>
      <c r="F72" s="110"/>
      <c r="G72" s="110"/>
      <c r="H72" s="110"/>
      <c r="I72" s="110"/>
      <c r="J72" s="110"/>
      <c r="K72" s="110"/>
      <c r="L72" s="110"/>
      <c r="M72" s="110"/>
    </row>
    <row r="73" spans="2:13" ht="40" customHeight="1" x14ac:dyDescent="0.4">
      <c r="B73" s="142" t="s">
        <v>273</v>
      </c>
      <c r="C73" s="156" t="s">
        <v>122</v>
      </c>
      <c r="D73" s="157" t="str">
        <f>_xlfn.CONCAT("共有 ", COUNT(UserInfo[序号]), " 人", "，男占 ", COUNTIF(UserInfo[性别],"男")," 人", "，女占 ", COUNTIF(UserInfo[性别],"女")," 人")</f>
        <v>共有 2 人，男占 1 人，女占 1 人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42"/>
      <c r="C74" s="156" t="s">
        <v>315</v>
      </c>
      <c r="D74" s="15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4" s="152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42"/>
      <c r="C75" s="156" t="s">
        <v>135</v>
      </c>
      <c r="D75" s="15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5" s="152"/>
      <c r="F75" s="27"/>
      <c r="G75" s="158"/>
      <c r="H75" s="27"/>
      <c r="I75" s="27"/>
      <c r="J75" s="27"/>
      <c r="K75" s="27"/>
      <c r="L75" s="27"/>
      <c r="M75" s="27"/>
    </row>
    <row r="76" spans="2:13" ht="40" customHeight="1" x14ac:dyDescent="0.4">
      <c r="B76" s="142"/>
      <c r="C76" s="156" t="s">
        <v>26</v>
      </c>
      <c r="D76" s="157" t="str">
        <f>_xlfn.CONCAT("共有 ", COUNTA(Get_Staff_Member)," 位员工")</f>
        <v>共有 2 位员工</v>
      </c>
      <c r="E76" s="152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42"/>
      <c r="C77" s="156" t="s">
        <v>224</v>
      </c>
      <c r="D77" s="157" t="str">
        <f>_xlfn.CONCAT("已设置 ", COUNTA(Get_Work_Unit)," 个单位")</f>
        <v>已设置 7 个单位</v>
      </c>
      <c r="E77" s="152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17</v>
      </c>
      <c r="C79" s="44"/>
      <c r="D79" s="44"/>
      <c r="E79" s="44"/>
    </row>
    <row r="80" spans="2:13" ht="40" customHeight="1" x14ac:dyDescent="0.4">
      <c r="B80" s="31" t="s">
        <v>19</v>
      </c>
      <c r="C80" s="36" t="s">
        <v>130</v>
      </c>
      <c r="D80" s="45"/>
      <c r="E80" s="45"/>
    </row>
    <row r="81" spans="2:5" ht="40" customHeight="1" x14ac:dyDescent="0.4">
      <c r="B81" s="31" t="s">
        <v>20</v>
      </c>
      <c r="C81" s="40" t="s">
        <v>18</v>
      </c>
      <c r="D81" s="43"/>
      <c r="E81" s="43"/>
    </row>
    <row r="82" spans="2:5" ht="40" customHeight="1" x14ac:dyDescent="0.4">
      <c r="B82" s="31" t="s">
        <v>128</v>
      </c>
      <c r="C82" s="36" t="s">
        <v>129</v>
      </c>
      <c r="D82" s="45"/>
      <c r="E82" s="45"/>
    </row>
    <row r="83" spans="2:5" ht="40" customHeight="1" x14ac:dyDescent="0.4">
      <c r="B83" s="31" t="s">
        <v>123</v>
      </c>
      <c r="C83" s="36" t="s">
        <v>324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57:I57 D63:D65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9" customWidth="1"/>
    <col min="3" max="3" width="14.69140625" style="129" customWidth="1"/>
    <col min="4" max="4" width="15.69140625" style="129" customWidth="1"/>
    <col min="5" max="5" width="44.69140625" style="129" customWidth="1"/>
    <col min="6" max="6" width="5.69140625" style="130" customWidth="1"/>
    <col min="7" max="8" width="2.69140625" style="129" customWidth="1"/>
    <col min="9" max="16384" width="9.15234375" style="129" hidden="1"/>
  </cols>
  <sheetData>
    <row r="1" spans="1:8" s="154" customFormat="1" ht="6" customHeight="1" x14ac:dyDescent="0.4">
      <c r="F1" s="155"/>
    </row>
    <row r="2" spans="1:8" ht="55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80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81"/>
      <c r="G4" s="1"/>
    </row>
    <row r="5" spans="1:8" ht="35.15" customHeight="1" x14ac:dyDescent="0.4">
      <c r="B5" s="1"/>
      <c r="C5" s="9" t="s">
        <v>86</v>
      </c>
      <c r="D5" s="8"/>
      <c r="E5" s="10"/>
      <c r="F5" s="82"/>
      <c r="G5" s="1"/>
    </row>
    <row r="6" spans="1:8" ht="14.15" customHeight="1" x14ac:dyDescent="0.4">
      <c r="B6" s="1"/>
      <c r="C6" s="1"/>
      <c r="D6" s="1"/>
      <c r="E6" s="1"/>
      <c r="F6" s="81"/>
      <c r="G6" s="1"/>
    </row>
    <row r="7" spans="1:8" ht="35.15" customHeight="1" x14ac:dyDescent="0.4">
      <c r="B7" s="1"/>
      <c r="C7" s="1" t="s">
        <v>216</v>
      </c>
      <c r="D7" s="11" t="s">
        <v>3</v>
      </c>
      <c r="E7" s="34"/>
      <c r="F7" s="114">
        <v>-1</v>
      </c>
      <c r="G7" s="60"/>
    </row>
    <row r="8" spans="1:8" ht="35.15" customHeight="1" x14ac:dyDescent="0.4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7"/>
      <c r="G8" s="60"/>
    </row>
    <row r="9" spans="1:8" ht="35.15" customHeight="1" x14ac:dyDescent="0.4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7"/>
      <c r="G9" s="60"/>
    </row>
    <row r="10" spans="1:8" ht="15" customHeight="1" x14ac:dyDescent="0.4">
      <c r="B10" s="1"/>
      <c r="C10" s="1"/>
      <c r="D10" s="1"/>
      <c r="E10" s="1"/>
      <c r="F10" s="77"/>
      <c r="G10" s="60"/>
    </row>
    <row r="11" spans="1:8" ht="35.15" customHeight="1" x14ac:dyDescent="0.4">
      <c r="B11" s="1"/>
      <c r="C11" s="1" t="s">
        <v>230</v>
      </c>
      <c r="D11" s="11" t="s">
        <v>5</v>
      </c>
      <c r="E11" s="33"/>
      <c r="F11" s="115">
        <v>-1</v>
      </c>
      <c r="G11" s="60"/>
    </row>
    <row r="12" spans="1:8" ht="35.15" customHeight="1" x14ac:dyDescent="0.4">
      <c r="B12" s="1"/>
      <c r="C12" s="1"/>
      <c r="D12" s="11" t="s">
        <v>219</v>
      </c>
      <c r="E12" s="64"/>
      <c r="F12" s="115">
        <v>-1</v>
      </c>
      <c r="G12" s="60"/>
    </row>
    <row r="13" spans="1:8" ht="35.15" customHeight="1" x14ac:dyDescent="0.4">
      <c r="B13" s="1"/>
      <c r="C13" s="1"/>
      <c r="D13" s="11" t="s">
        <v>224</v>
      </c>
      <c r="E13" s="34"/>
      <c r="F13" s="114">
        <v>-1</v>
      </c>
      <c r="G13" s="60"/>
    </row>
    <row r="14" spans="1:8" ht="15" customHeight="1" x14ac:dyDescent="0.4">
      <c r="B14" s="1"/>
      <c r="C14" s="1"/>
      <c r="D14" s="1"/>
      <c r="E14" s="1"/>
      <c r="F14" s="77"/>
      <c r="G14" s="60"/>
    </row>
    <row r="15" spans="1:8" ht="35.15" customHeight="1" x14ac:dyDescent="0.4">
      <c r="B15" s="1"/>
      <c r="C15" s="1"/>
      <c r="D15" s="11" t="s">
        <v>7</v>
      </c>
      <c r="E15" s="14"/>
      <c r="F15" s="78"/>
      <c r="G15" s="60"/>
    </row>
    <row r="16" spans="1:8" ht="15" customHeight="1" x14ac:dyDescent="0.4">
      <c r="B16" s="1"/>
      <c r="C16" s="1"/>
      <c r="D16" s="1"/>
      <c r="E16" s="1"/>
      <c r="F16" s="77"/>
      <c r="G16" s="60"/>
    </row>
    <row r="17" spans="2:12" ht="35.15" customHeight="1" x14ac:dyDescent="0.4">
      <c r="B17" s="1"/>
      <c r="C17" s="1" t="s">
        <v>269</v>
      </c>
      <c r="D17" s="11" t="s">
        <v>6</v>
      </c>
      <c r="E17" s="33" t="s">
        <v>278</v>
      </c>
      <c r="F17" s="77"/>
      <c r="G17" s="60"/>
    </row>
    <row r="18" spans="2:12" ht="14.15" customHeight="1" x14ac:dyDescent="0.4">
      <c r="B18" s="1"/>
      <c r="C18" s="1"/>
      <c r="D18" s="1"/>
      <c r="E18" s="1"/>
      <c r="F18" s="81"/>
      <c r="G18" s="1"/>
    </row>
    <row r="19" spans="2:12" ht="14.15" customHeight="1" x14ac:dyDescent="0.4"/>
    <row r="20" spans="2:12" ht="40" hidden="1" customHeight="1" x14ac:dyDescent="0.4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8" customWidth="1"/>
    <col min="4" max="4" width="12.69140625" style="87" customWidth="1"/>
    <col min="5" max="5" width="12.69140625" style="90" customWidth="1"/>
    <col min="6" max="6" width="12.69140625" style="87" customWidth="1"/>
    <col min="7" max="7" width="26.69140625" style="88" customWidth="1"/>
    <col min="8" max="8" width="12.69140625" style="87" customWidth="1"/>
    <col min="9" max="9" width="44.69140625" style="134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4" customFormat="1" ht="6" customHeight="1" x14ac:dyDescent="0.4"/>
    <row r="2" spans="2:9" s="2" customFormat="1" ht="55" customHeight="1" x14ac:dyDescent="0.4">
      <c r="B2" s="4" t="str">
        <f>设置!D7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" customHeight="1" x14ac:dyDescent="0.4">
      <c r="B7" s="54" cm="1">
        <f t="array" ref="B7">SNGKI</f>
        <v>1</v>
      </c>
      <c r="C7" s="121" t="s">
        <v>279</v>
      </c>
      <c r="D7" s="55" t="s">
        <v>232</v>
      </c>
      <c r="E7" s="16"/>
      <c r="F7" s="19"/>
      <c r="G7" s="86">
        <v>45268.505555555559</v>
      </c>
      <c r="H7" s="55" t="s">
        <v>278</v>
      </c>
      <c r="I7" s="131" t="s">
        <v>284</v>
      </c>
    </row>
  </sheetData>
  <sheetProtection sheet="1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3" customWidth="1"/>
    <col min="3" max="3" width="14.69140625" style="133" customWidth="1"/>
    <col min="4" max="4" width="15.69140625" style="133" customWidth="1"/>
    <col min="5" max="5" width="44.69140625" style="133" customWidth="1"/>
    <col min="6" max="6" width="5.69140625" style="132" customWidth="1"/>
    <col min="7" max="8" width="2.69140625" style="132" customWidth="1"/>
    <col min="9" max="16384" width="9.15234375" style="132" hidden="1"/>
  </cols>
  <sheetData>
    <row r="1" spans="1:8" ht="6" customHeight="1" x14ac:dyDescent="0.4">
      <c r="A1" s="57"/>
      <c r="B1" s="57"/>
      <c r="C1" s="57"/>
      <c r="D1" s="57"/>
      <c r="E1" s="57"/>
      <c r="F1" s="75"/>
      <c r="G1" s="75"/>
      <c r="H1" s="75"/>
    </row>
    <row r="2" spans="1:8" ht="55" customHeight="1" x14ac:dyDescent="0.4">
      <c r="A2" s="59"/>
      <c r="B2" s="58" t="str">
        <f>设置!D7 &amp;" - 新增会员"</f>
        <v>Yi - 新增会员</v>
      </c>
      <c r="C2" s="58"/>
      <c r="D2" s="58"/>
      <c r="E2" s="59"/>
      <c r="F2" s="76"/>
      <c r="G2" s="76"/>
      <c r="H2" s="76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86</v>
      </c>
      <c r="D5" s="8"/>
      <c r="E5" s="62"/>
      <c r="F5" s="83"/>
      <c r="G5" s="77"/>
    </row>
    <row r="6" spans="1:8" ht="14.15" customHeight="1" x14ac:dyDescent="0.4">
      <c r="B6" s="60"/>
      <c r="C6" s="60"/>
      <c r="D6" s="60"/>
      <c r="E6" s="60"/>
      <c r="F6" s="77"/>
      <c r="G6" s="77"/>
    </row>
    <row r="7" spans="1:8" ht="35.15" customHeight="1" x14ac:dyDescent="0.4">
      <c r="B7" s="60"/>
      <c r="C7" s="60" t="s">
        <v>85</v>
      </c>
      <c r="D7" s="144" t="s">
        <v>3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5" customHeight="1" x14ac:dyDescent="0.4">
      <c r="B8" s="60"/>
      <c r="C8" s="60"/>
      <c r="D8" s="63" t="s">
        <v>27</v>
      </c>
      <c r="E8" s="14"/>
      <c r="F8" s="114">
        <v>-1</v>
      </c>
      <c r="G8" s="77"/>
    </row>
    <row r="9" spans="1:8" ht="35.15" customHeight="1" x14ac:dyDescent="0.4">
      <c r="B9" s="60"/>
      <c r="C9" s="60"/>
      <c r="D9" s="63" t="s">
        <v>28</v>
      </c>
      <c r="E9" s="7"/>
      <c r="F9" s="115">
        <v>-1</v>
      </c>
      <c r="G9" s="77"/>
    </row>
    <row r="10" spans="1:8" ht="35.15" customHeight="1" x14ac:dyDescent="0.4">
      <c r="B10" s="60"/>
      <c r="C10" s="60"/>
      <c r="D10" s="63" t="s">
        <v>1</v>
      </c>
      <c r="E10" s="7"/>
      <c r="F10" s="115"/>
      <c r="G10" s="77"/>
    </row>
    <row r="11" spans="1:8" ht="35.15" customHeight="1" x14ac:dyDescent="0.4">
      <c r="B11" s="60"/>
      <c r="C11" s="60"/>
      <c r="D11" s="63" t="s">
        <v>22</v>
      </c>
      <c r="E11" s="124"/>
      <c r="F11" s="115"/>
      <c r="G11" s="77"/>
    </row>
    <row r="12" spans="1:8" ht="35.15" customHeight="1" x14ac:dyDescent="0.4">
      <c r="B12" s="60"/>
      <c r="C12" s="60"/>
      <c r="D12" s="63" t="s">
        <v>21</v>
      </c>
      <c r="E12" s="149"/>
      <c r="F12" s="115"/>
      <c r="G12" s="77"/>
    </row>
    <row r="13" spans="1:8" ht="15" customHeight="1" x14ac:dyDescent="0.4">
      <c r="B13" s="60"/>
      <c r="C13" s="60"/>
      <c r="D13" s="60"/>
      <c r="E13" s="60"/>
      <c r="F13" s="77"/>
      <c r="G13" s="77"/>
    </row>
    <row r="14" spans="1:8" ht="35.15" customHeight="1" x14ac:dyDescent="0.4">
      <c r="B14" s="60"/>
      <c r="C14" s="60" t="s">
        <v>89</v>
      </c>
      <c r="D14" s="63" t="s">
        <v>2</v>
      </c>
      <c r="E14" s="7"/>
      <c r="F14" s="115">
        <v>-1</v>
      </c>
      <c r="G14" s="77"/>
    </row>
    <row r="15" spans="1:8" ht="35.15" customHeight="1" x14ac:dyDescent="0.4">
      <c r="B15" s="60"/>
      <c r="C15" s="60"/>
      <c r="D15" s="63" t="s">
        <v>23</v>
      </c>
      <c r="E15" s="7"/>
      <c r="F15" s="115"/>
      <c r="G15" s="77"/>
    </row>
    <row r="16" spans="1:8" ht="35.15" customHeight="1" x14ac:dyDescent="0.4">
      <c r="B16" s="60"/>
      <c r="C16" s="60"/>
      <c r="D16" s="63" t="s">
        <v>24</v>
      </c>
      <c r="E16" s="14"/>
      <c r="F16" s="114"/>
      <c r="G16" s="77"/>
    </row>
    <row r="17" spans="2:7" ht="15" customHeight="1" x14ac:dyDescent="0.4">
      <c r="B17" s="60"/>
      <c r="C17" s="60"/>
      <c r="D17" s="60"/>
      <c r="E17" s="60"/>
      <c r="F17" s="77"/>
      <c r="G17" s="77"/>
    </row>
    <row r="18" spans="2:7" ht="35.15" customHeight="1" x14ac:dyDescent="0.4">
      <c r="B18" s="60"/>
      <c r="C18" s="60"/>
      <c r="D18" s="63" t="s">
        <v>7</v>
      </c>
      <c r="E18" s="14"/>
      <c r="F18" s="78"/>
      <c r="G18" s="77"/>
    </row>
    <row r="19" spans="2:7" ht="15" customHeight="1" x14ac:dyDescent="0.4">
      <c r="B19" s="60"/>
      <c r="C19" s="60"/>
      <c r="D19" s="60"/>
      <c r="E19" s="60"/>
      <c r="F19" s="77"/>
      <c r="G19" s="77"/>
    </row>
    <row r="20" spans="2:7" ht="35.15" customHeight="1" x14ac:dyDescent="0.4">
      <c r="B20" s="60"/>
      <c r="C20" s="60" t="s">
        <v>269</v>
      </c>
      <c r="D20" s="63" t="s">
        <v>6</v>
      </c>
      <c r="E20" s="7" t="s">
        <v>278</v>
      </c>
      <c r="F20" s="77"/>
      <c r="G20" s="77"/>
    </row>
    <row r="21" spans="2:7" ht="14.15" customHeight="1" x14ac:dyDescent="0.4">
      <c r="B21" s="60"/>
      <c r="C21" s="60"/>
      <c r="D21" s="60"/>
      <c r="E21" s="60"/>
      <c r="F21" s="77"/>
      <c r="G21" s="77"/>
    </row>
    <row r="22" spans="2:7" ht="14.1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5" customWidth="1"/>
    <col min="4" max="123" width="12.69140625" style="146" customWidth="1"/>
    <col min="124" max="124" width="8.69140625" style="135" customWidth="1"/>
    <col min="125" max="125" width="14.69140625" style="136" customWidth="1"/>
    <col min="126" max="126" width="8.69140625" style="87" customWidth="1"/>
    <col min="127" max="127" width="24.69140625" style="100" customWidth="1"/>
    <col min="128" max="128" width="12.69140625" style="87" customWidth="1"/>
    <col min="129" max="129" width="20.69140625" style="100" customWidth="1"/>
    <col min="130" max="130" width="28.69140625" style="100" customWidth="1"/>
    <col min="131" max="131" width="44.69140625" style="100" customWidth="1"/>
    <col min="132" max="132" width="26.69140625" style="88" customWidth="1"/>
    <col min="133" max="133" width="18.69140625" style="79" customWidth="1"/>
    <col min="134" max="134" width="44.69140625" style="134" customWidth="1"/>
    <col min="135" max="135" width="2.69140625" style="1" customWidth="1"/>
    <col min="136" max="16384" width="9.15234375" style="13" hidden="1"/>
  </cols>
  <sheetData>
    <row r="1" spans="1:135" s="67" customFormat="1" ht="6" customHeight="1" x14ac:dyDescent="0.3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5" customHeight="1" x14ac:dyDescent="0.3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5" customHeight="1" x14ac:dyDescent="0.3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3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5" customHeight="1" x14ac:dyDescent="0.3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40" customHeight="1" x14ac:dyDescent="0.3">
      <c r="C6" s="143"/>
      <c r="D6" s="93">
        <f>设置!F11</f>
        <v>1</v>
      </c>
      <c r="E6" s="161" t="str">
        <f>设置!F11 &amp;" - 历史记录"</f>
        <v>1 - 历史记录</v>
      </c>
      <c r="F6" s="161"/>
      <c r="G6" s="94">
        <f>设置!F12</f>
        <v>2</v>
      </c>
      <c r="H6" s="162" t="str">
        <f>设置!F12 &amp;" - 历史记录"</f>
        <v>2 - 历史记录</v>
      </c>
      <c r="I6" s="162"/>
      <c r="J6" s="93">
        <f>设置!F13</f>
        <v>3</v>
      </c>
      <c r="K6" s="161" t="str">
        <f>设置!F13 &amp;" - 历史记录"</f>
        <v>3 - 历史记录</v>
      </c>
      <c r="L6" s="161"/>
      <c r="M6" s="94">
        <f>设置!F14</f>
        <v>4</v>
      </c>
      <c r="N6" s="162" t="str">
        <f>设置!F14 &amp;" - 历史记录"</f>
        <v>4 - 历史记录</v>
      </c>
      <c r="O6" s="162"/>
      <c r="P6" s="93">
        <f>设置!F15</f>
        <v>5</v>
      </c>
      <c r="Q6" s="161" t="str">
        <f>设置!F15 &amp;" - 历史记录"</f>
        <v>5 - 历史记录</v>
      </c>
      <c r="R6" s="161"/>
      <c r="S6" s="94">
        <f>设置!F16</f>
        <v>6</v>
      </c>
      <c r="T6" s="162" t="str">
        <f>设置!F16 &amp;" - 历史记录"</f>
        <v>6 - 历史记录</v>
      </c>
      <c r="U6" s="162"/>
      <c r="V6" s="93">
        <f>设置!F17</f>
        <v>7</v>
      </c>
      <c r="W6" s="161" t="str">
        <f>设置!F17 &amp;" - 历史记录"</f>
        <v>7 - 历史记录</v>
      </c>
      <c r="X6" s="161"/>
      <c r="Y6" s="94">
        <f>设置!F18</f>
        <v>8</v>
      </c>
      <c r="Z6" s="162" t="str">
        <f>设置!F18 &amp;" - 历史记录"</f>
        <v>8 - 历史记录</v>
      </c>
      <c r="AA6" s="162"/>
      <c r="AB6" s="93">
        <f>设置!F19</f>
        <v>9</v>
      </c>
      <c r="AC6" s="161" t="str">
        <f>设置!F19 &amp;" - 历史记录"</f>
        <v>9 - 历史记录</v>
      </c>
      <c r="AD6" s="161"/>
      <c r="AE6" s="94">
        <f>设置!F20</f>
        <v>10</v>
      </c>
      <c r="AF6" s="162" t="str">
        <f>设置!F20 &amp;" - 历史记录"</f>
        <v>10 - 历史记录</v>
      </c>
      <c r="AG6" s="162"/>
      <c r="AH6" s="93">
        <f>设置!F21</f>
        <v>11</v>
      </c>
      <c r="AI6" s="161" t="str">
        <f>设置!F21 &amp;" - 历史记录"</f>
        <v>11 - 历史记录</v>
      </c>
      <c r="AJ6" s="161"/>
      <c r="AK6" s="94">
        <f>设置!F22</f>
        <v>12</v>
      </c>
      <c r="AL6" s="162" t="str">
        <f>设置!F22 &amp;" - 历史记录"</f>
        <v>12 - 历史记录</v>
      </c>
      <c r="AM6" s="162"/>
      <c r="AN6" s="93">
        <f>设置!F23</f>
        <v>13</v>
      </c>
      <c r="AO6" s="161" t="str">
        <f>设置!F23 &amp;" - 历史记录"</f>
        <v>13 - 历史记录</v>
      </c>
      <c r="AP6" s="161"/>
      <c r="AQ6" s="94">
        <f>设置!F24</f>
        <v>14</v>
      </c>
      <c r="AR6" s="162" t="str">
        <f>设置!F24 &amp;" - 历史记录"</f>
        <v>14 - 历史记录</v>
      </c>
      <c r="AS6" s="162"/>
      <c r="AT6" s="93">
        <f>设置!F25</f>
        <v>15</v>
      </c>
      <c r="AU6" s="161" t="str">
        <f>设置!F25 &amp;" - 历史记录"</f>
        <v>15 - 历史记录</v>
      </c>
      <c r="AV6" s="161"/>
      <c r="AW6" s="94">
        <f>设置!F26</f>
        <v>16</v>
      </c>
      <c r="AX6" s="162" t="str">
        <f>设置!F26 &amp;" - 历史记录"</f>
        <v>16 - 历史记录</v>
      </c>
      <c r="AY6" s="162"/>
      <c r="AZ6" s="93">
        <f>设置!F27</f>
        <v>17</v>
      </c>
      <c r="BA6" s="161" t="str">
        <f>设置!F27 &amp;" - 历史记录"</f>
        <v>17 - 历史记录</v>
      </c>
      <c r="BB6" s="161"/>
      <c r="BC6" s="94">
        <f>设置!F28</f>
        <v>18</v>
      </c>
      <c r="BD6" s="162" t="str">
        <f>设置!F28 &amp;" - 历史记录"</f>
        <v>18 - 历史记录</v>
      </c>
      <c r="BE6" s="162"/>
      <c r="BF6" s="93">
        <f>设置!F29</f>
        <v>19</v>
      </c>
      <c r="BG6" s="161" t="str">
        <f>设置!F29 &amp;" - 历史记录"</f>
        <v>19 - 历史记录</v>
      </c>
      <c r="BH6" s="161"/>
      <c r="BI6" s="94">
        <f>设置!F30</f>
        <v>20</v>
      </c>
      <c r="BJ6" s="162" t="str">
        <f>设置!F30 &amp;" - 历史记录"</f>
        <v>20 - 历史记录</v>
      </c>
      <c r="BK6" s="162"/>
      <c r="BL6" s="95">
        <f>设置!F31</f>
        <v>21</v>
      </c>
      <c r="BM6" s="163" t="str">
        <f>设置!F31 &amp;" - 历史记录"</f>
        <v>21 - 历史记录</v>
      </c>
      <c r="BN6" s="163"/>
      <c r="BO6" s="94">
        <f>设置!F32</f>
        <v>22</v>
      </c>
      <c r="BP6" s="162" t="str">
        <f>设置!F32 &amp;" - 历史记录"</f>
        <v>22 - 历史记录</v>
      </c>
      <c r="BQ6" s="162"/>
      <c r="BR6" s="95">
        <f>设置!F33</f>
        <v>23</v>
      </c>
      <c r="BS6" s="163" t="str">
        <f>设置!F33 &amp;" - 历史记录"</f>
        <v>23 - 历史记录</v>
      </c>
      <c r="BT6" s="163"/>
      <c r="BU6" s="94">
        <f>设置!F34</f>
        <v>24</v>
      </c>
      <c r="BV6" s="162" t="str">
        <f>设置!F34 &amp;" - 历史记录"</f>
        <v>24 - 历史记录</v>
      </c>
      <c r="BW6" s="162"/>
      <c r="BX6" s="95">
        <f>设置!F35</f>
        <v>25</v>
      </c>
      <c r="BY6" s="163" t="str">
        <f>设置!F35 &amp;" - 历史记录"</f>
        <v>25 - 历史记录</v>
      </c>
      <c r="BZ6" s="163"/>
      <c r="CA6" s="94">
        <f>设置!F36</f>
        <v>26</v>
      </c>
      <c r="CB6" s="162" t="str">
        <f>设置!F36 &amp;" - 历史记录"</f>
        <v>26 - 历史记录</v>
      </c>
      <c r="CC6" s="162"/>
      <c r="CD6" s="95">
        <f>设置!F37</f>
        <v>27</v>
      </c>
      <c r="CE6" s="163" t="str">
        <f>设置!F37 &amp;" - 历史记录"</f>
        <v>27 - 历史记录</v>
      </c>
      <c r="CF6" s="163"/>
      <c r="CG6" s="94">
        <f>设置!F38</f>
        <v>28</v>
      </c>
      <c r="CH6" s="162" t="str">
        <f>设置!F38 &amp;" - 历史记录"</f>
        <v>28 - 历史记录</v>
      </c>
      <c r="CI6" s="162"/>
      <c r="CJ6" s="95">
        <f>设置!F39</f>
        <v>29</v>
      </c>
      <c r="CK6" s="163" t="str">
        <f>设置!F39 &amp;" - 历史记录"</f>
        <v>29 - 历史记录</v>
      </c>
      <c r="CL6" s="163"/>
      <c r="CM6" s="94">
        <f>设置!F40</f>
        <v>30</v>
      </c>
      <c r="CN6" s="162" t="str">
        <f>设置!F40 &amp;" - 历史记录"</f>
        <v>30 - 历史记录</v>
      </c>
      <c r="CO6" s="162"/>
      <c r="CP6" s="95">
        <f>设置!F41</f>
        <v>31</v>
      </c>
      <c r="CQ6" s="163" t="str">
        <f>设置!F41 &amp;" - 历史记录"</f>
        <v>31 - 历史记录</v>
      </c>
      <c r="CR6" s="163"/>
      <c r="CS6" s="94">
        <f>设置!F42</f>
        <v>32</v>
      </c>
      <c r="CT6" s="162" t="str">
        <f>设置!F42 &amp;" - 历史记录"</f>
        <v>32 - 历史记录</v>
      </c>
      <c r="CU6" s="162"/>
      <c r="CV6" s="95">
        <f>设置!F43</f>
        <v>33</v>
      </c>
      <c r="CW6" s="163" t="str">
        <f>设置!F43 &amp;" - 历史记录"</f>
        <v>33 - 历史记录</v>
      </c>
      <c r="CX6" s="163"/>
      <c r="CY6" s="94">
        <f>设置!F44</f>
        <v>34</v>
      </c>
      <c r="CZ6" s="162" t="str">
        <f>设置!F44 &amp;" - 历史记录"</f>
        <v>34 - 历史记录</v>
      </c>
      <c r="DA6" s="162"/>
      <c r="DB6" s="95">
        <f>设置!F45</f>
        <v>35</v>
      </c>
      <c r="DC6" s="163" t="str">
        <f>设置!F45 &amp;" - 历史记录"</f>
        <v>35 - 历史记录</v>
      </c>
      <c r="DD6" s="163"/>
      <c r="DE6" s="94">
        <f>设置!F46</f>
        <v>36</v>
      </c>
      <c r="DF6" s="162" t="str">
        <f>设置!F46 &amp;" - 历史记录"</f>
        <v>36 - 历史记录</v>
      </c>
      <c r="DG6" s="162"/>
      <c r="DH6" s="95">
        <f>设置!F47</f>
        <v>37</v>
      </c>
      <c r="DI6" s="163" t="str">
        <f>设置!F47 &amp;" - 历史记录"</f>
        <v>37 - 历史记录</v>
      </c>
      <c r="DJ6" s="163"/>
      <c r="DK6" s="94">
        <f>设置!F48</f>
        <v>38</v>
      </c>
      <c r="DL6" s="162" t="str">
        <f>设置!F48 &amp;" - 历史记录"</f>
        <v>38 - 历史记录</v>
      </c>
      <c r="DM6" s="162"/>
      <c r="DN6" s="95">
        <f>设置!F49</f>
        <v>39</v>
      </c>
      <c r="DO6" s="163" t="str">
        <f>设置!F49 &amp;" - 历史记录"</f>
        <v>39 - 历史记录</v>
      </c>
      <c r="DP6" s="163"/>
      <c r="DQ6" s="94">
        <f>设置!F50</f>
        <v>40</v>
      </c>
      <c r="DR6" s="162" t="str">
        <f>设置!F50 &amp;" - 历史记录"</f>
        <v>40 - 历史记录</v>
      </c>
      <c r="DS6" s="162"/>
      <c r="DT6" s="161" t="s">
        <v>72</v>
      </c>
      <c r="DU6" s="161"/>
      <c r="DV6" s="161"/>
      <c r="DW6" s="161"/>
      <c r="DX6" s="161"/>
      <c r="DY6" s="161" t="s">
        <v>87</v>
      </c>
      <c r="DZ6" s="161"/>
      <c r="EA6" s="161"/>
      <c r="EB6" s="161" t="s">
        <v>270</v>
      </c>
      <c r="EC6" s="161"/>
      <c r="ED6" s="108"/>
      <c r="EE6" s="96"/>
    </row>
    <row r="7" spans="1:135" ht="8.15" customHeight="1" x14ac:dyDescent="0.3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40" customHeight="1" x14ac:dyDescent="0.3">
      <c r="A8" s="96"/>
      <c r="B8" s="97" t="s">
        <v>0</v>
      </c>
      <c r="C8" s="97" t="s">
        <v>3</v>
      </c>
      <c r="D8" s="97" t="s">
        <v>124</v>
      </c>
      <c r="E8" s="97" t="s">
        <v>80</v>
      </c>
      <c r="F8" s="97" t="s">
        <v>79</v>
      </c>
      <c r="G8" s="97" t="s">
        <v>71</v>
      </c>
      <c r="H8" s="97" t="s">
        <v>78</v>
      </c>
      <c r="I8" s="97" t="s">
        <v>77</v>
      </c>
      <c r="J8" s="97" t="s">
        <v>58</v>
      </c>
      <c r="K8" s="97" t="s">
        <v>42</v>
      </c>
      <c r="L8" s="97" t="s">
        <v>76</v>
      </c>
      <c r="M8" s="97" t="s">
        <v>59</v>
      </c>
      <c r="N8" s="97" t="s">
        <v>43</v>
      </c>
      <c r="O8" s="97" t="s">
        <v>75</v>
      </c>
      <c r="P8" s="97" t="s">
        <v>60</v>
      </c>
      <c r="Q8" s="97" t="s">
        <v>44</v>
      </c>
      <c r="R8" s="97" t="s">
        <v>74</v>
      </c>
      <c r="S8" s="97" t="s">
        <v>61</v>
      </c>
      <c r="T8" s="97" t="s">
        <v>45</v>
      </c>
      <c r="U8" s="97" t="s">
        <v>68</v>
      </c>
      <c r="V8" s="97" t="s">
        <v>62</v>
      </c>
      <c r="W8" s="97" t="s">
        <v>46</v>
      </c>
      <c r="X8" s="97" t="s">
        <v>51</v>
      </c>
      <c r="Y8" s="97" t="s">
        <v>63</v>
      </c>
      <c r="Z8" s="97" t="s">
        <v>47</v>
      </c>
      <c r="AA8" s="97" t="s">
        <v>52</v>
      </c>
      <c r="AB8" s="97" t="s">
        <v>64</v>
      </c>
      <c r="AC8" s="97" t="s">
        <v>48</v>
      </c>
      <c r="AD8" s="97" t="s">
        <v>53</v>
      </c>
      <c r="AE8" s="97" t="s">
        <v>65</v>
      </c>
      <c r="AF8" s="97" t="s">
        <v>49</v>
      </c>
      <c r="AG8" s="97" t="s">
        <v>54</v>
      </c>
      <c r="AH8" s="97" t="s">
        <v>66</v>
      </c>
      <c r="AI8" s="97" t="s">
        <v>50</v>
      </c>
      <c r="AJ8" s="97" t="s">
        <v>55</v>
      </c>
      <c r="AK8" s="97" t="s">
        <v>67</v>
      </c>
      <c r="AL8" s="97" t="s">
        <v>56</v>
      </c>
      <c r="AM8" s="97" t="s">
        <v>57</v>
      </c>
      <c r="AN8" s="97" t="s">
        <v>99</v>
      </c>
      <c r="AO8" s="97" t="s">
        <v>100</v>
      </c>
      <c r="AP8" s="97" t="s">
        <v>98</v>
      </c>
      <c r="AQ8" s="97" t="s">
        <v>103</v>
      </c>
      <c r="AR8" s="97" t="s">
        <v>102</v>
      </c>
      <c r="AS8" s="97" t="s">
        <v>101</v>
      </c>
      <c r="AT8" s="97" t="s">
        <v>109</v>
      </c>
      <c r="AU8" s="97" t="s">
        <v>108</v>
      </c>
      <c r="AV8" s="97" t="s">
        <v>106</v>
      </c>
      <c r="AW8" s="97" t="s">
        <v>105</v>
      </c>
      <c r="AX8" s="97" t="s">
        <v>104</v>
      </c>
      <c r="AY8" s="97" t="s">
        <v>107</v>
      </c>
      <c r="AZ8" s="97" t="s">
        <v>112</v>
      </c>
      <c r="BA8" s="97" t="s">
        <v>111</v>
      </c>
      <c r="BB8" s="97" t="s">
        <v>110</v>
      </c>
      <c r="BC8" s="97" t="s">
        <v>113</v>
      </c>
      <c r="BD8" s="97" t="s">
        <v>114</v>
      </c>
      <c r="BE8" s="97" t="s">
        <v>115</v>
      </c>
      <c r="BF8" s="97" t="s">
        <v>116</v>
      </c>
      <c r="BG8" s="97" t="s">
        <v>117</v>
      </c>
      <c r="BH8" s="97" t="s">
        <v>118</v>
      </c>
      <c r="BI8" s="97" t="s">
        <v>119</v>
      </c>
      <c r="BJ8" s="97" t="s">
        <v>120</v>
      </c>
      <c r="BK8" s="97" t="s">
        <v>121</v>
      </c>
      <c r="BL8" s="97" t="s">
        <v>157</v>
      </c>
      <c r="BM8" s="97" t="s">
        <v>158</v>
      </c>
      <c r="BN8" s="97" t="s">
        <v>156</v>
      </c>
      <c r="BO8" s="97" t="s">
        <v>159</v>
      </c>
      <c r="BP8" s="97" t="s">
        <v>160</v>
      </c>
      <c r="BQ8" s="97" t="s">
        <v>161</v>
      </c>
      <c r="BR8" s="97" t="s">
        <v>162</v>
      </c>
      <c r="BS8" s="97" t="s">
        <v>163</v>
      </c>
      <c r="BT8" s="97" t="s">
        <v>164</v>
      </c>
      <c r="BU8" s="97" t="s">
        <v>165</v>
      </c>
      <c r="BV8" s="97" t="s">
        <v>166</v>
      </c>
      <c r="BW8" s="97" t="s">
        <v>167</v>
      </c>
      <c r="BX8" s="97" t="s">
        <v>168</v>
      </c>
      <c r="BY8" s="97" t="s">
        <v>169</v>
      </c>
      <c r="BZ8" s="97" t="s">
        <v>170</v>
      </c>
      <c r="CA8" s="97" t="s">
        <v>171</v>
      </c>
      <c r="CB8" s="97" t="s">
        <v>172</v>
      </c>
      <c r="CC8" s="97" t="s">
        <v>173</v>
      </c>
      <c r="CD8" s="97" t="s">
        <v>174</v>
      </c>
      <c r="CE8" s="97" t="s">
        <v>175</v>
      </c>
      <c r="CF8" s="97" t="s">
        <v>176</v>
      </c>
      <c r="CG8" s="97" t="s">
        <v>177</v>
      </c>
      <c r="CH8" s="97" t="s">
        <v>178</v>
      </c>
      <c r="CI8" s="97" t="s">
        <v>179</v>
      </c>
      <c r="CJ8" s="97" t="s">
        <v>180</v>
      </c>
      <c r="CK8" s="97" t="s">
        <v>181</v>
      </c>
      <c r="CL8" s="97" t="s">
        <v>182</v>
      </c>
      <c r="CM8" s="97" t="s">
        <v>183</v>
      </c>
      <c r="CN8" s="97" t="s">
        <v>184</v>
      </c>
      <c r="CO8" s="97" t="s">
        <v>185</v>
      </c>
      <c r="CP8" s="97" t="s">
        <v>186</v>
      </c>
      <c r="CQ8" s="97" t="s">
        <v>187</v>
      </c>
      <c r="CR8" s="97" t="s">
        <v>188</v>
      </c>
      <c r="CS8" s="97" t="s">
        <v>189</v>
      </c>
      <c r="CT8" s="97" t="s">
        <v>190</v>
      </c>
      <c r="CU8" s="97" t="s">
        <v>191</v>
      </c>
      <c r="CV8" s="97" t="s">
        <v>192</v>
      </c>
      <c r="CW8" s="97" t="s">
        <v>193</v>
      </c>
      <c r="CX8" s="97" t="s">
        <v>194</v>
      </c>
      <c r="CY8" s="97" t="s">
        <v>195</v>
      </c>
      <c r="CZ8" s="97" t="s">
        <v>196</v>
      </c>
      <c r="DA8" s="97" t="s">
        <v>197</v>
      </c>
      <c r="DB8" s="97" t="s">
        <v>198</v>
      </c>
      <c r="DC8" s="97" t="s">
        <v>199</v>
      </c>
      <c r="DD8" s="97" t="s">
        <v>200</v>
      </c>
      <c r="DE8" s="97" t="s">
        <v>201</v>
      </c>
      <c r="DF8" s="97" t="s">
        <v>202</v>
      </c>
      <c r="DG8" s="97" t="s">
        <v>203</v>
      </c>
      <c r="DH8" s="97" t="s">
        <v>205</v>
      </c>
      <c r="DI8" s="97" t="s">
        <v>206</v>
      </c>
      <c r="DJ8" s="97" t="s">
        <v>204</v>
      </c>
      <c r="DK8" s="97" t="s">
        <v>207</v>
      </c>
      <c r="DL8" s="97" t="s">
        <v>208</v>
      </c>
      <c r="DM8" s="97" t="s">
        <v>209</v>
      </c>
      <c r="DN8" s="97" t="s">
        <v>210</v>
      </c>
      <c r="DO8" s="97" t="s">
        <v>211</v>
      </c>
      <c r="DP8" s="97" t="s">
        <v>212</v>
      </c>
      <c r="DQ8" s="97" t="s">
        <v>213</v>
      </c>
      <c r="DR8" s="97" t="s">
        <v>214</v>
      </c>
      <c r="DS8" s="97" t="s">
        <v>215</v>
      </c>
      <c r="DT8" s="97" t="s">
        <v>27</v>
      </c>
      <c r="DU8" s="97" t="s">
        <v>28</v>
      </c>
      <c r="DV8" s="97" t="s">
        <v>1</v>
      </c>
      <c r="DW8" s="97" t="s">
        <v>22</v>
      </c>
      <c r="DX8" s="97" t="s">
        <v>21</v>
      </c>
      <c r="DY8" s="97" t="s">
        <v>2</v>
      </c>
      <c r="DZ8" s="106" t="s">
        <v>23</v>
      </c>
      <c r="EA8" s="106" t="s">
        <v>24</v>
      </c>
      <c r="EB8" s="102" t="s">
        <v>73</v>
      </c>
      <c r="EC8" s="106" t="s">
        <v>6</v>
      </c>
      <c r="ED8" s="106" t="s">
        <v>7</v>
      </c>
      <c r="EE8" s="96"/>
    </row>
    <row r="9" spans="1:135" ht="40" customHeight="1" x14ac:dyDescent="0.3">
      <c r="B9" s="56" cm="1">
        <f t="array" ref="B9">SN</f>
        <v>1</v>
      </c>
      <c r="C9" s="98" t="str" cm="1">
        <f t="array" ref="C9">GUID</f>
        <v>冯毅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228</v>
      </c>
      <c r="DU9" s="69" t="s">
        <v>229</v>
      </c>
      <c r="DV9" s="70" t="s">
        <v>10</v>
      </c>
      <c r="DW9" s="70"/>
      <c r="DX9" s="55"/>
      <c r="DY9" s="70" t="s">
        <v>280</v>
      </c>
      <c r="DZ9" s="70" t="s">
        <v>265</v>
      </c>
      <c r="EA9" s="70"/>
      <c r="EB9" s="86">
        <v>45268.505555555559</v>
      </c>
      <c r="EC9" s="107" t="s">
        <v>278</v>
      </c>
      <c r="ED9" s="131" t="s">
        <v>284</v>
      </c>
      <c r="EE9" s="13"/>
    </row>
    <row r="10" spans="1:135" ht="40" customHeight="1" x14ac:dyDescent="0.3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275</v>
      </c>
      <c r="DU10" s="69" t="s">
        <v>276</v>
      </c>
      <c r="DV10" s="70" t="s">
        <v>11</v>
      </c>
      <c r="DW10" s="70"/>
      <c r="DX10" s="55"/>
      <c r="DY10" s="70" t="s">
        <v>281</v>
      </c>
      <c r="DZ10" s="70"/>
      <c r="EA10" s="70"/>
      <c r="EB10" s="86">
        <v>45268.505555555559</v>
      </c>
      <c r="EC10" s="107" t="s">
        <v>278</v>
      </c>
      <c r="ED10" s="131" t="s">
        <v>284</v>
      </c>
    </row>
  </sheetData>
  <sheetProtection sheet="1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7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974271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1088571</xdr:colOff>
                    <xdr:row>5</xdr:row>
                    <xdr:rowOff>97971</xdr:rowOff>
                  </from>
                  <to>
                    <xdr:col>2</xdr:col>
                    <xdr:colOff>1953986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9" customWidth="1"/>
    <col min="4" max="43" width="12.69140625" style="90" customWidth="1"/>
    <col min="44" max="44" width="12.69140625" style="87" customWidth="1"/>
    <col min="45" max="45" width="26.69140625" style="88" customWidth="1"/>
    <col min="46" max="46" width="18.69140625" style="87" customWidth="1"/>
    <col min="47" max="47" width="44.69140625" style="122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3" customFormat="1" ht="6" customHeight="1" x14ac:dyDescent="0.4"/>
    <row r="2" spans="2:47" s="59" customFormat="1" ht="55" customHeight="1" x14ac:dyDescent="0.4">
      <c r="B2" s="58" t="str">
        <f>设置!D7 &amp;" - 历史记录"</f>
        <v>Yi - 历史记录</v>
      </c>
      <c r="D2" s="104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3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40" customHeight="1" x14ac:dyDescent="0.3">
      <c r="B6" s="60"/>
      <c r="C6" s="147"/>
      <c r="D6" s="93">
        <f>设置!F11</f>
        <v>1</v>
      </c>
      <c r="E6" s="94">
        <f>设置!F12</f>
        <v>2</v>
      </c>
      <c r="F6" s="93">
        <f>设置!F13</f>
        <v>3</v>
      </c>
      <c r="G6" s="94">
        <f>设置!F14</f>
        <v>4</v>
      </c>
      <c r="H6" s="93">
        <f>设置!F15</f>
        <v>5</v>
      </c>
      <c r="I6" s="94">
        <f>设置!F16</f>
        <v>6</v>
      </c>
      <c r="J6" s="93">
        <f>设置!F17</f>
        <v>7</v>
      </c>
      <c r="K6" s="94">
        <f>设置!F18</f>
        <v>8</v>
      </c>
      <c r="L6" s="93">
        <f>设置!F19</f>
        <v>9</v>
      </c>
      <c r="M6" s="94">
        <f>设置!F20</f>
        <v>10</v>
      </c>
      <c r="N6" s="93">
        <f>设置!F21</f>
        <v>11</v>
      </c>
      <c r="O6" s="94">
        <f>设置!F22</f>
        <v>12</v>
      </c>
      <c r="P6" s="93">
        <f>设置!F23</f>
        <v>13</v>
      </c>
      <c r="Q6" s="94">
        <f>设置!F24</f>
        <v>14</v>
      </c>
      <c r="R6" s="93">
        <f>设置!F25</f>
        <v>15</v>
      </c>
      <c r="S6" s="94">
        <f>设置!F26</f>
        <v>16</v>
      </c>
      <c r="T6" s="93">
        <f>设置!F27</f>
        <v>17</v>
      </c>
      <c r="U6" s="94">
        <f>设置!F28</f>
        <v>18</v>
      </c>
      <c r="V6" s="93">
        <f>设置!F29</f>
        <v>19</v>
      </c>
      <c r="W6" s="94">
        <f>设置!F30</f>
        <v>20</v>
      </c>
      <c r="X6" s="93">
        <f>设置!F31</f>
        <v>21</v>
      </c>
      <c r="Y6" s="94">
        <f>设置!F32</f>
        <v>22</v>
      </c>
      <c r="Z6" s="93">
        <f>设置!F33</f>
        <v>23</v>
      </c>
      <c r="AA6" s="94">
        <f>设置!F34</f>
        <v>24</v>
      </c>
      <c r="AB6" s="93">
        <f>设置!F35</f>
        <v>25</v>
      </c>
      <c r="AC6" s="94">
        <f>设置!F36</f>
        <v>26</v>
      </c>
      <c r="AD6" s="93">
        <f>设置!F37</f>
        <v>27</v>
      </c>
      <c r="AE6" s="94">
        <f>设置!F38</f>
        <v>28</v>
      </c>
      <c r="AF6" s="93">
        <f>设置!F39</f>
        <v>29</v>
      </c>
      <c r="AG6" s="94">
        <f>设置!F40</f>
        <v>30</v>
      </c>
      <c r="AH6" s="93">
        <f>设置!F41</f>
        <v>31</v>
      </c>
      <c r="AI6" s="94">
        <f>设置!F42</f>
        <v>32</v>
      </c>
      <c r="AJ6" s="93">
        <f>设置!F43</f>
        <v>33</v>
      </c>
      <c r="AK6" s="94">
        <f>设置!F44</f>
        <v>34</v>
      </c>
      <c r="AL6" s="93">
        <f>设置!F45</f>
        <v>35</v>
      </c>
      <c r="AM6" s="94">
        <f>设置!F46</f>
        <v>36</v>
      </c>
      <c r="AN6" s="93">
        <f>设置!F47</f>
        <v>37</v>
      </c>
      <c r="AO6" s="94">
        <f>设置!F48</f>
        <v>38</v>
      </c>
      <c r="AP6" s="93">
        <f>设置!F49</f>
        <v>39</v>
      </c>
      <c r="AQ6" s="94">
        <f>设置!F50</f>
        <v>40</v>
      </c>
      <c r="AR6" s="161" t="s">
        <v>82</v>
      </c>
      <c r="AS6" s="161"/>
      <c r="AT6" s="161"/>
      <c r="AU6" s="161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7" t="s">
        <v>0</v>
      </c>
      <c r="C8" s="97" t="s">
        <v>3</v>
      </c>
      <c r="D8" s="97" t="s">
        <v>69</v>
      </c>
      <c r="E8" s="97" t="s">
        <v>70</v>
      </c>
      <c r="F8" s="97" t="s">
        <v>31</v>
      </c>
      <c r="G8" s="97" t="s">
        <v>32</v>
      </c>
      <c r="H8" s="97" t="s">
        <v>33</v>
      </c>
      <c r="I8" s="97" t="s">
        <v>34</v>
      </c>
      <c r="J8" s="97" t="s">
        <v>35</v>
      </c>
      <c r="K8" s="97" t="s">
        <v>36</v>
      </c>
      <c r="L8" s="97" t="s">
        <v>37</v>
      </c>
      <c r="M8" s="97" t="s">
        <v>39</v>
      </c>
      <c r="N8" s="97" t="s">
        <v>38</v>
      </c>
      <c r="O8" s="97" t="s">
        <v>40</v>
      </c>
      <c r="P8" s="97" t="s">
        <v>90</v>
      </c>
      <c r="Q8" s="97" t="s">
        <v>91</v>
      </c>
      <c r="R8" s="97" t="s">
        <v>92</v>
      </c>
      <c r="S8" s="97" t="s">
        <v>93</v>
      </c>
      <c r="T8" s="97" t="s">
        <v>94</v>
      </c>
      <c r="U8" s="97" t="s">
        <v>95</v>
      </c>
      <c r="V8" s="97" t="s">
        <v>96</v>
      </c>
      <c r="W8" s="97" t="s">
        <v>97</v>
      </c>
      <c r="X8" s="97" t="s">
        <v>137</v>
      </c>
      <c r="Y8" s="97" t="s">
        <v>138</v>
      </c>
      <c r="Z8" s="97" t="s">
        <v>139</v>
      </c>
      <c r="AA8" s="97" t="s">
        <v>140</v>
      </c>
      <c r="AB8" s="97" t="s">
        <v>141</v>
      </c>
      <c r="AC8" s="97" t="s">
        <v>142</v>
      </c>
      <c r="AD8" s="97" t="s">
        <v>143</v>
      </c>
      <c r="AE8" s="97" t="s">
        <v>144</v>
      </c>
      <c r="AF8" s="97" t="s">
        <v>145</v>
      </c>
      <c r="AG8" s="97" t="s">
        <v>146</v>
      </c>
      <c r="AH8" s="97" t="s">
        <v>136</v>
      </c>
      <c r="AI8" s="97" t="s">
        <v>147</v>
      </c>
      <c r="AJ8" s="97" t="s">
        <v>148</v>
      </c>
      <c r="AK8" s="97" t="s">
        <v>149</v>
      </c>
      <c r="AL8" s="97" t="s">
        <v>150</v>
      </c>
      <c r="AM8" s="97" t="s">
        <v>151</v>
      </c>
      <c r="AN8" s="97" t="s">
        <v>152</v>
      </c>
      <c r="AO8" s="97" t="s">
        <v>153</v>
      </c>
      <c r="AP8" s="97" t="s">
        <v>154</v>
      </c>
      <c r="AQ8" s="97" t="s">
        <v>155</v>
      </c>
      <c r="AR8" s="97" t="s">
        <v>5</v>
      </c>
      <c r="AS8" s="97" t="s">
        <v>4</v>
      </c>
      <c r="AT8" s="97" t="s">
        <v>6</v>
      </c>
      <c r="AU8" s="97" t="s">
        <v>7</v>
      </c>
    </row>
    <row r="9" spans="2:47" ht="39.75" customHeight="1" x14ac:dyDescent="0.4">
      <c r="B9" s="56" cm="1">
        <f t="array" ref="B9">SN</f>
        <v>1</v>
      </c>
      <c r="C9" s="71" t="s">
        <v>283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6">
        <v>45268.505555555559</v>
      </c>
      <c r="AT9" s="55" t="s">
        <v>278</v>
      </c>
      <c r="AU9" s="91" t="s">
        <v>284</v>
      </c>
    </row>
    <row r="10" spans="2:47" ht="40" customHeight="1" x14ac:dyDescent="0.4">
      <c r="B10" s="54" cm="1">
        <f t="array" ref="B10">SN</f>
        <v>2</v>
      </c>
      <c r="C10" s="12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6">
        <v>45268.505555555559</v>
      </c>
      <c r="AT10" s="55" t="s">
        <v>278</v>
      </c>
      <c r="AU10" s="91" t="s">
        <v>284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2023-12-27T09:34:44Z</cp:lastPrinted>
  <dcterms:created xsi:type="dcterms:W3CDTF">2023-11-27T09:49:08Z</dcterms:created>
  <dcterms:modified xsi:type="dcterms:W3CDTF">2024-02-07T14:21:02Z</dcterms:modified>
</cp:coreProperties>
</file>