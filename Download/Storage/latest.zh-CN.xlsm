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DEA8CB6C-8F87-44D9-B6F8-B76AD8742111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设置!$D$71:$E$71</definedName>
    <definedName name="Get_GUID">UserInfo[唯一识别码]</definedName>
    <definedName name="Get_Keep_inventory">设置!$D$69:$E$69</definedName>
    <definedName name="Get_Staff_Member">设置!$D$53:$O$53</definedName>
    <definedName name="Get_Store_Uid">Store_Setting[唯一识别码]</definedName>
    <definedName name="Get_Type_of_Access">设置!$D$67:$E$67</definedName>
    <definedName name="Get_Work_Unit">设置!$D$62:$O$62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Area" localSheetId="4">新增会员!$A:$H</definedName>
    <definedName name="_xlnm.Print_Area" localSheetId="1">设置!$A:$O</definedName>
    <definedName name="_xlnm.Print_Titles" localSheetId="1">设置!$1:$6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Q6" i="5" l="1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AL6" i="6"/>
  <c r="AI6" i="6"/>
  <c r="AF6" i="6"/>
  <c r="AC6" i="6"/>
  <c r="Z6" i="6"/>
  <c r="W6" i="6"/>
  <c r="T6" i="6"/>
  <c r="Q6" i="6"/>
  <c r="N6" i="6"/>
  <c r="K6" i="6"/>
  <c r="H6" i="6"/>
  <c r="E6" i="6"/>
  <c r="CA6" i="6"/>
  <c r="CB6" i="6"/>
  <c r="CE6" i="6"/>
  <c r="CJ6" i="6"/>
  <c r="CK6" i="6"/>
  <c r="CQ6" i="6"/>
  <c r="CN6" i="6"/>
  <c r="CH6" i="6"/>
  <c r="CD6" i="6"/>
  <c r="CG6" i="6"/>
  <c r="CM6" i="6"/>
  <c r="CP6" i="6"/>
  <c r="CS6" i="6"/>
  <c r="CT6" i="6"/>
  <c r="CW6" i="6"/>
  <c r="CV6" i="6"/>
  <c r="CY6" i="6"/>
  <c r="CZ6" i="6"/>
  <c r="DC6" i="6"/>
  <c r="DI6" i="6"/>
  <c r="DL6" i="6"/>
  <c r="DK6" i="6"/>
  <c r="DF6" i="6"/>
  <c r="DH6" i="6"/>
  <c r="DB6" i="6"/>
  <c r="DE6" i="6"/>
  <c r="DO6" i="6"/>
  <c r="DN6" i="6"/>
  <c r="DQ6" i="6"/>
  <c r="DR6" i="6"/>
  <c r="BY6" i="6"/>
  <c r="BX6" i="6"/>
  <c r="BV6" i="6"/>
  <c r="BU6" i="6"/>
  <c r="BS6" i="6"/>
  <c r="BR6" i="6"/>
  <c r="BP6" i="6"/>
  <c r="BO6" i="6"/>
  <c r="BM6" i="6"/>
  <c r="BL6" i="6"/>
  <c r="BJ6" i="6"/>
  <c r="BI6" i="6"/>
  <c r="BG6" i="6"/>
  <c r="BF6" i="6"/>
  <c r="BD6" i="6"/>
  <c r="BC6" i="6"/>
  <c r="AZ6" i="6"/>
  <c r="BA6" i="6"/>
  <c r="AX6" i="6"/>
  <c r="AW6" i="6"/>
  <c r="AU6" i="6"/>
  <c r="AT6" i="6"/>
  <c r="AR6" i="6"/>
  <c r="AQ6" i="6"/>
  <c r="AO6" i="6"/>
  <c r="AN6" i="6"/>
  <c r="AK6" i="6"/>
  <c r="AH6" i="6"/>
  <c r="AE6" i="6"/>
  <c r="AB6" i="6"/>
  <c r="Y6" i="6"/>
  <c r="V6" i="6"/>
  <c r="S6" i="6"/>
  <c r="P6" i="6"/>
  <c r="M6" i="6"/>
  <c r="D6" i="6"/>
  <c r="J6" i="6"/>
  <c r="G6" i="6"/>
  <c r="E7" i="4"/>
  <c r="D74" i="1" l="1"/>
  <c r="D77" i="1"/>
  <c r="D76" i="1"/>
  <c r="B7" i="8" l="1" a="1"/>
  <c r="B7" i="8" s="1"/>
  <c r="B10" i="5" l="1" a="1"/>
  <c r="B10" i="5" s="1"/>
  <c r="B10" i="6" a="1"/>
  <c r="B10" i="6" s="1"/>
  <c r="C10" i="6" a="1"/>
  <c r="C10" i="6" s="1"/>
  <c r="EF10" i="6" l="1" a="1"/>
  <c r="EF10" i="6" s="1"/>
  <c r="EE10" i="6" a="1"/>
  <c r="EE10" i="6" s="1"/>
  <c r="EG10" i="6" a="1"/>
  <c r="EG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B2" i="9"/>
  <c r="B2" i="8"/>
  <c r="BC10" i="6" l="1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75" i="1" s="1"/>
  <c r="B9" i="6" a="1"/>
  <c r="B9" i="6" s="1"/>
  <c r="D73" i="1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EE9" i="6" l="1" a="1"/>
  <c r="EE9" i="6" s="1"/>
  <c r="EF9" i="6" a="1"/>
  <c r="EF9" i="6" s="1"/>
  <c r="EG9" i="6" a="1"/>
  <c r="EG9" i="6" s="1"/>
  <c r="E9" i="9"/>
  <c r="E8" i="9"/>
  <c r="M11" i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6" i="1" l="1"/>
  <c r="G43" i="1"/>
  <c r="G45" i="1"/>
  <c r="G40" i="1"/>
  <c r="G34" i="1"/>
  <c r="G12" i="1"/>
  <c r="G14" i="1"/>
  <c r="G41" i="1"/>
  <c r="G33" i="1"/>
  <c r="G42" i="1"/>
  <c r="G20" i="1"/>
  <c r="G30" i="1"/>
  <c r="G39" i="1"/>
  <c r="G48" i="1"/>
  <c r="G16" i="1"/>
  <c r="G50" i="1"/>
  <c r="G36" i="1"/>
  <c r="G38" i="1"/>
  <c r="G23" i="1"/>
  <c r="G49" i="1"/>
  <c r="G22" i="1"/>
  <c r="G13" i="1"/>
  <c r="G46" i="1"/>
  <c r="G31" i="1"/>
  <c r="G28" i="1"/>
  <c r="G19" i="1"/>
  <c r="G21" i="1"/>
  <c r="G32" i="1"/>
  <c r="G17" i="1"/>
  <c r="G27" i="1"/>
  <c r="G29" i="1"/>
  <c r="G47" i="1"/>
  <c r="G24" i="1"/>
  <c r="G18" i="1"/>
  <c r="G35" i="1"/>
  <c r="G37" i="1"/>
  <c r="G15" i="1"/>
  <c r="G25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<sst xmlns="http://schemas.openxmlformats.org/spreadsheetml/2006/main" count="655" uniqueCount="471">
  <si>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</si>
  <si>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</si>
  <si>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</si>
  <si>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</si>
  <si>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</si>
  <si>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</si>
  <si>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</si>
  <si>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</si>
  <si>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</si>
  <si>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</si>
  <si>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</si>
  <si>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</si>
  <si>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</si>
  <si>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</si>
  <si>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</si>
  <si>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</si>
  <si>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</si>
  <si>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</si>
  <si>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</si>
  <si>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</si>
  <si>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</si>
  <si>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</si>
  <si>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</si>
  <si>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</si>
  <si>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</si>
  <si>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</si>
  <si>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</si>
  <si>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</si>
  <si>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</si>
  <si>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</si>
  <si>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</si>
  <si>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</si>
  <si>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</si>
  <si>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</si>
  <si>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</si>
  <si>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</si>
  <si>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</si>
  <si>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</si>
  <si>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</si>
  <si>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</si>
  <si>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</si>
  <si>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</si>
  <si>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</si>
  <si>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</si>
  <si>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</si>
  <si>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</si>
  <si>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</si>
  <si>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</si>
  <si>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</si>
  <si>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</si>
  <si>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</si>
  <si>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</si>
  <si>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</si>
  <si>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</si>
  <si>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</si>
  <si>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</si>
  <si>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</si>
  <si>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</si>
  <si>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</si>
  <si>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</si>
  <si>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</si>
  <si>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</si>
  <si>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</si>
  <si>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</si>
  <si>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</si>
  <si>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</si>
  <si>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</si>
  <si>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</si>
  <si>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</si>
  <si>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</si>
  <si>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</si>
  <si>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</si>
  <si>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</si>
  <si>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</si>
  <si>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</si>
  <si>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</si>
  <si>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</si>
  <si>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</si>
  <si>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</si>
  <si>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</si>
  <si>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</si>
  <si>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</si>
  <si>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</si>
  <si>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</si>
  <si>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</si>
  <si>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</si>
  <si>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</si>
  <si>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</si>
  <si>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</si>
  <si>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</si>
  <si>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</si>
  <si>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</si>
  <si>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</si>
  <si>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</si>
  <si>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</si>
  <si>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</si>
  <si>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</si>
  <si>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</si>
  <si>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</si>
  <si>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</si>
  <si>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</si>
  <si>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</si>
  <si>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</si>
  <si>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</si>
  <si>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</si>
  <si>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</si>
  <si>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</si>
  <si>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</si>
  <si>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</si>
  <si>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</si>
  <si>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</si>
  <si>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</si>
  <si>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</si>
  <si>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</si>
  <si>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</si>
  <si>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</si>
  <si>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</si>
  <si>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</si>
  <si>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</si>
  <si>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</si>
  <si>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</si>
  <si>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</si>
  <si>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</si>
  <si>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</si>
  <si>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</si>
  <si>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</si>
  <si>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</si>
  <si>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</si>
  <si>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</si>
  <si>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</si>
  <si>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</si>
  <si>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</si>
  <si>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</si>
  <si>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</si>
  <si>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</si>
  <si>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</si>
  <si>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</si>
  <si>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</si>
  <si>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</si>
  <si>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</si>
  <si>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</si>
  <si>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</si>
  <si>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</si>
  <si>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</si>
  <si>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</si>
  <si>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</si>
  <si>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</si>
  <si>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</si>
  <si>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</si>
  <si>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</si>
  <si>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</si>
  <si>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</si>
  <si>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</si>
  <si>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</si>
  <si>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</si>
  <si>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</si>
  <si>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</si>
  <si>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</si>
  <si>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</si>
  <si>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</si>
  <si>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</si>
  <si>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</si>
  <si>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</si>
  <si>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</si>
  <si>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</si>
  <si>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</si>
  <si>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</si>
  <si>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</si>
  <si>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</si>
  <si>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</si>
  <si>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</si>
  <si>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</si>
  <si>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</si>
  <si>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</si>
  <si>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</si>
  <si>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</si>
  <si>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</si>
  <si>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</si>
  <si>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</si>
  <si>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</si>
  <si>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</si>
  <si>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</si>
  <si>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</si>
  <si>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</si>
  <si>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</si>
  <si>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</si>
  <si>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</si>
  <si>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</si>
  <si>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</si>
  <si>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</si>
  <si>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</si>
  <si>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</si>
  <si>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</si>
  <si>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</si>
  <si>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</si>
  <si>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</si>
  <si>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</si>
  <si>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</si>
  <si>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</si>
  <si>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</si>
  <si>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</si>
  <si>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</si>
  <si>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</si>
  <si>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</si>
  <si>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</si>
  <si>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</si>
  <si>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</si>
  <si>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</si>
  <si>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</si>
  <si>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</si>
  <si>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</si>
  <si>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</si>
  <si>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</si>
  <si>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</si>
  <si>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</si>
  <si>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</si>
  <si>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</si>
  <si>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</si>
  <si>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</si>
  <si>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</si>
  <si>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</si>
  <si>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</si>
  <si>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</si>
  <si>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</si>
  <si>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</si>
  <si>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</si>
  <si>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</si>
  <si>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</si>
  <si>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</si>
  <si>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</si>
  <si>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</si>
  <si>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</si>
  <si>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</si>
  <si>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打开表</t>
  </si>
  <si>
    <t>选择表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</si>
  <si>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</si>
  <si>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</si>
  <si>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</si>
  <si>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</si>
  <si>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入库、取货统计</t>
  </si>
  <si>
    <t>入库小计</t>
  </si>
  <si>
    <t>先决条件</t>
  </si>
  <si>
    <t>使用须知</t>
  </si>
  <si>
    <t>点击文件右键，选择属性，解除文件锁定</t>
  </si>
  <si>
    <t>启用 VBA 宏功能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</si>
  <si>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</si>
  <si>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</si>
  <si>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</si>
  <si>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</si>
  <si>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</si>
  <si>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</si>
  <si>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</si>
  <si>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</si>
  <si>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</si>
  <si>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</si>
  <si>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</si>
  <si>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</si>
  <si>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</si>
  <si>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</si>
  <si>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</si>
  <si>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</si>
  <si>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</si>
  <si>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</si>
  <si>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</si>
  <si>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</si>
  <si>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775159955@qq.com</t>
  </si>
  <si>
    <t>第八步</t>
  </si>
  <si>
    <t>Excel | 商品入库、取货 | 会员管理 | 存入 | 支取 | 新增历史记录 | 即时统计等功能</t>
  </si>
  <si>
    <t>* 新增入库取货，必须填单位</t>
  </si>
  <si>
    <t>创建者</t>
  </si>
  <si>
    <t>编辑创建时间和创建者</t>
  </si>
  <si>
    <t>快捷键</t>
  </si>
  <si>
    <t>负差</t>
  </si>
  <si>
    <t>统计</t>
  </si>
  <si>
    <t>所有密码为空</t>
  </si>
  <si>
    <t>李</t>
  </si>
  <si>
    <t>怡</t>
  </si>
  <si>
    <t>冯毅</t>
  </si>
  <si>
    <t>李怡</t>
  </si>
  <si>
    <t>1 | 1</t>
  </si>
  <si>
    <t>9955</t>
  </si>
  <si>
    <t>7551</t>
  </si>
  <si>
    <t>初始保留此行是为新增新行时继承上一行公式
新增后请删除此行</t>
  </si>
  <si>
    <t>填充</t>
  </si>
  <si>
    <t>设置员工姓名、联系电话，设置首选员工</t>
  </si>
  <si>
    <t>第四步：添加会员时必填、添加后允许新增存入（通过了新增会员时验证项后，将插入一条新的历史记录存入）</t>
  </si>
  <si>
    <t>第七步：必须填单位</t>
  </si>
  <si>
    <t>设置首选员工后，自动填充到所有员工列表</t>
  </si>
  <si>
    <t>Ctrl+Shift + A：历史记录 - 新增，自动填存入（仅在会员详细信息有效）</t>
  </si>
  <si>
    <t>Ctrl+Shift + M：获得当前日期和时间后，插入或更新到“时间”行（入库取货、会员详细信息、历史记录有效）</t>
  </si>
  <si>
    <t>可添加：姓氏、名字、性别、身份证号码、年龄、电话、Email、家庭住址、备注等，可隐藏不常用的项</t>
  </si>
  <si>
    <t>建议你定期下载最新版，以保持到最新</t>
  </si>
  <si>
    <t>入库 | 取货</t>
  </si>
  <si>
    <t>在会员详细信息里，选择会员后可点击“存入”或“支取”，快速新增一条到历史记录里</t>
  </si>
  <si>
    <t>技巧：不管是点“新增存入”或“新增支取”，在历史记录里选择类型更改</t>
  </si>
  <si>
    <t>Ctrl+Shift + Q：历史记录 - 新增，自动填支取（仅在会员详细信息有效）</t>
  </si>
  <si>
    <t>自动添加“热键、清除热键”，重置：错误、即时校验等</t>
  </si>
  <si>
    <t>工作表</t>
  </si>
  <si>
    <t>新增入库取货、新增会员将可用</t>
  </si>
  <si>
    <t>重置工作表新增商品、入库取货、新增会员里错误信息、即时校验等</t>
  </si>
  <si>
    <t>可选使用 Office 365、Office 2024、Office 2021、Office 2019、Office 2016 或支持插入新行时自动继承上行公式的办公软件</t>
  </si>
  <si>
    <t>未启用 VBA 或不包含 VBA 时，VBA 功能将不可用</t>
  </si>
  <si>
    <t>打开 VBA 后，以下功能将启用</t>
  </si>
  <si>
    <t>未输入或校验失败</t>
  </si>
  <si>
    <t>正确输入或已填</t>
  </si>
  <si>
    <t>校验</t>
  </si>
  <si>
    <t>Email：校验是否正确的电子邮箱</t>
  </si>
  <si>
    <t>电话号码：满足 11 位数字时和不满足时仅提示，不强制你是否正确录入</t>
  </si>
  <si>
    <t>身份证号码：输入了身份证号码后校验是否正确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</si>
  <si>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</si>
  <si>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</si>
  <si>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</si>
  <si>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</si>
  <si>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</si>
  <si>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</si>
  <si>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</si>
  <si>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</si>
  <si>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</si>
  <si>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</si>
  <si>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</si>
  <si>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</si>
  <si>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</si>
  <si>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</si>
  <si>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</si>
  <si>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</si>
  <si>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</si>
  <si>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</si>
  <si>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李怡 | 7551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</si>
  <si>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</si>
  <si>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</si>
  <si>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</si>
  <si>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</si>
  <si>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</si>
  <si>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</si>
  <si>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</si>
  <si>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</si>
  <si>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</si>
  <si>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</si>
  <si>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</si>
  <si>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</si>
  <si>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</si>
  <si>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</si>
  <si>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</si>
  <si>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</si>
  <si>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</si>
  <si>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</si>
  <si>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</si>
  <si>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</si>
  <si>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</si>
  <si>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</si>
  <si>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</si>
  <si>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</si>
  <si>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</si>
  <si>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</si>
  <si>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</si>
  <si>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</si>
  <si>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</si>
  <si>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</si>
  <si>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</si>
  <si>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</si>
  <si>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</si>
  <si>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</si>
  <si>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</si>
  <si>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</si>
  <si>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</si>
  <si>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</si>
  <si>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</si>
  <si>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</si>
  <si>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</si>
  <si>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</si>
  <si>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</si>
  <si>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</si>
  <si>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</si>
  <si>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</si>
  <si>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</si>
  <si>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</si>
  <si>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</si>
  <si>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</si>
  <si>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</si>
  <si>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</si>
  <si>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</si>
  <si>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</si>
  <si>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</si>
  <si>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</si>
  <si>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</si>
  <si>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</si>
  <si>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</si>
  <si>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</si>
  <si>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</si>
  <si>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</si>
  <si>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</si>
  <si>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</si>
  <si>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</si>
  <si>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</si>
  <si>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</si>
  <si>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</si>
  <si>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</si>
  <si>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</si>
  <si>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</si>
  <si>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</si>
  <si>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</si>
  <si>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</si>
  <si>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</si>
  <si>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</si>
  <si>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</si>
  <si>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</si>
  <si>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</si>
  <si>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</si>
  <si>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</si>
  <si>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</si>
  <si>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</si>
  <si>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</si>
  <si>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</si>
  <si>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</si>
  <si>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</si>
  <si>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</si>
  <si>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</si>
  <si>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</si>
  <si>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</si>
  <si>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</si>
  <si>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</si>
  <si>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</si>
  <si>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</si>
  <si>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</si>
  <si>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</si>
  <si>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</si>
  <si>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</si>
  <si>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</si>
  <si>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</si>
  <si>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</si>
  <si>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</si>
  <si>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</si>
  <si>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</si>
  <si>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</si>
  <si>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</si>
  <si>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</si>
  <si>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</si>
  <si>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</si>
  <si>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</si>
  <si>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</si>
  <si>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</si>
  <si>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</si>
  <si>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</si>
  <si>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</si>
  <si>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</si>
  <si>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</si>
  <si>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</si>
  <si>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</si>
  <si>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</si>
  <si>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</si>
  <si>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</si>
  <si>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</si>
  <si>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</si>
  <si>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</si>
  <si>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</si>
  <si>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</si>
  <si>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</si>
  <si>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</si>
  <si>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</si>
  <si>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</si>
  <si>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</si>
  <si>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</si>
  <si>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</si>
  <si>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</si>
  <si>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</si>
  <si>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</si>
  <si>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</si>
  <si>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</si>
  <si>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</si>
  <si>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</si>
  <si>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v3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</si>
</sst>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  <font>
      <sz val="10"/>
      <color rgb="FF000000"/>
      <name val="等线"/>
      <charset val="134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68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1" fillId="2" borderId="0" xfId="0" applyFont="1" applyFill="1" applyAlignment="1">
      <alignment vertical="center"/>
    </xf>
    <xf numFmtId="0" fontId="11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1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11" fillId="2" borderId="2" xfId="0" applyFont="1" applyFill="1" applyBorder="1" applyAlignment="1">
      <alignment horizontal="left" vertical="center"/>
    </xf>
    <xf numFmtId="0" fontId="10" fillId="15" borderId="0" xfId="0" applyFont="1" applyFill="1" applyAlignment="1">
      <alignment horizontal="left" indent="5"/>
    </xf>
    <xf numFmtId="0" fontId="10" fillId="15" borderId="0" xfId="0" applyFont="1" applyFill="1" applyAlignment="1">
      <alignment horizontal="left" vertical="center" indent="5"/>
    </xf>
    <xf numFmtId="0" fontId="1" fillId="15" borderId="0" xfId="0" applyFont="1" applyFill="1" applyAlignment="1">
      <alignment horizontal="left" vertical="top" indent="5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indent="1"/>
    </xf>
    <xf numFmtId="0" fontId="1" fillId="13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 wrapText="1"/>
    </xf>
    <xf numFmtId="0" fontId="1" fillId="14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24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6600"/>
      <color rgb="FF996633"/>
      <color rgb="FFCC9900"/>
      <color rgb="FFFF9900"/>
      <color rgb="FFF96565"/>
      <color rgb="FFA9D08E"/>
      <color rgb="FFFFD966"/>
      <color rgb="FFFFC000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53</xdr:row>
      <xdr:rowOff>30773</xdr:rowOff>
    </xdr:from>
    <xdr:to>
      <xdr:col>9</xdr:col>
      <xdr:colOff>297953</xdr:colOff>
      <xdr:row>53</xdr:row>
      <xdr:rowOff>1792678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022342" y="20557148"/>
          <a:ext cx="3914286" cy="17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64</xdr:row>
      <xdr:rowOff>57978</xdr:rowOff>
    </xdr:from>
    <xdr:to>
      <xdr:col>11</xdr:col>
      <xdr:colOff>29162</xdr:colOff>
      <xdr:row>64</xdr:row>
      <xdr:rowOff>2736294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2287" y="29071128"/>
          <a:ext cx="4784750" cy="2678316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59</xdr:row>
      <xdr:rowOff>25498</xdr:rowOff>
    </xdr:from>
    <xdr:to>
      <xdr:col>13</xdr:col>
      <xdr:colOff>163187</xdr:colOff>
      <xdr:row>59</xdr:row>
      <xdr:rowOff>2047040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5428673"/>
          <a:ext cx="6217920" cy="202154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52</xdr:row>
      <xdr:rowOff>114718</xdr:rowOff>
    </xdr:from>
    <xdr:to>
      <xdr:col>3</xdr:col>
      <xdr:colOff>254625</xdr:colOff>
      <xdr:row>52</xdr:row>
      <xdr:rowOff>366718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742951" y="20202943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55</xdr:row>
      <xdr:rowOff>121755</xdr:rowOff>
    </xdr:from>
    <xdr:to>
      <xdr:col>3</xdr:col>
      <xdr:colOff>254625</xdr:colOff>
      <xdr:row>55</xdr:row>
      <xdr:rowOff>373755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742951" y="22676955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58</xdr:row>
      <xdr:rowOff>122996</xdr:rowOff>
    </xdr:from>
    <xdr:to>
      <xdr:col>3</xdr:col>
      <xdr:colOff>254625</xdr:colOff>
      <xdr:row>58</xdr:row>
      <xdr:rowOff>374996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742951" y="2508802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61</xdr:row>
      <xdr:rowOff>122996</xdr:rowOff>
    </xdr:from>
    <xdr:to>
      <xdr:col>3</xdr:col>
      <xdr:colOff>254625</xdr:colOff>
      <xdr:row>61</xdr:row>
      <xdr:rowOff>374996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742951" y="2777407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  <xdr:twoCellAnchor editAs="oneCell">
    <xdr:from>
      <xdr:col>3</xdr:col>
      <xdr:colOff>279392</xdr:colOff>
      <xdr:row>56</xdr:row>
      <xdr:rowOff>30128</xdr:rowOff>
    </xdr:from>
    <xdr:to>
      <xdr:col>13</xdr:col>
      <xdr:colOff>163187</xdr:colOff>
      <xdr:row>56</xdr:row>
      <xdr:rowOff>1764247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3023478"/>
          <a:ext cx="6217920" cy="1734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1017814</xdr:colOff>
          <xdr:row>5</xdr:row>
          <xdr:rowOff>424543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5</xdr:row>
          <xdr:rowOff>97971</xdr:rowOff>
        </xdr:from>
        <xdr:to>
          <xdr:col>2</xdr:col>
          <xdr:colOff>2057400</xdr:colOff>
          <xdr:row>5</xdr:row>
          <xdr:rowOff>424543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396" dataDxfId="395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394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93"/>
    <tableColumn id="2" xr3:uid="{C28244F3-482D-4CFC-B629-A29496B98C0B}" name="商品名称" dataDxfId="392"/>
    <tableColumn id="11" xr3:uid="{71958388-9C14-426E-8457-DCEA92BC0E87}" name="负差" dataDxfId="391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0">
      <calculatedColumnFormula>SUM(UserInfo[1 - 剩余])</calculatedColumnFormula>
    </tableColumn>
    <tableColumn id="7" xr3:uid="{75829BDD-5513-4744-8184-35AE3788771C}" name="已存入" dataDxfId="389">
      <calculatedColumnFormula>SUM(UserInfo[1 - 存入])</calculatedColumnFormula>
    </tableColumn>
    <tableColumn id="6" xr3:uid="{B71F91EB-0024-4EC1-8035-3636C31B3740}" name="已支取" dataDxfId="388">
      <calculatedColumnFormula>SUM(UserInfo[1 - 支取])</calculatedColumnFormula>
    </tableColumn>
    <tableColumn id="5" xr3:uid="{6E4E3255-2204-43C6-A50C-EEAF08580A14}" name="库存负差" dataDxfId="387">
      <calculatedColumnFormula>Store_Setting[[#This Row],[入库小计]]-Store_Setting[[#This Row],[取货小计]]</calculatedColumnFormula>
    </tableColumn>
    <tableColumn id="9" xr3:uid="{7DA9A308-8441-49E3-B1B4-6AF7A14784F7}" name="入库小计" dataDxfId="386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85">
      <calculatedColumnFormula>SUMIFS(Store_History[数量],Store_History[唯一识别码],Store_Setting[[#This Row],[唯一识别码]],Store_History[类型],"取货")</calculatedColumnFormula>
    </tableColumn>
    <tableColumn id="13" xr3:uid="{CA008503-3851-4A3A-95EA-D5E7B623ECAE}" name="隐藏存入" dataDxfId="384"/>
    <tableColumn id="14" xr3:uid="{7AAE1579-D3AC-492B-8830-5F0CA2792BCF}" name="隐藏支取" dataDxfId="383"/>
    <tableColumn id="15" xr3:uid="{369D4935-858F-4DEC-9B49-AD7F7222A9C9}" name="MemberScope" dataDxfId="382"/>
    <tableColumn id="16" xr3:uid="{52E822AB-E6D3-4737-AA5F-238C893521EA}" name="MemberSave" dataDxfId="381"/>
    <tableColumn id="17" xr3:uid="{FE487014-85C9-4F6B-9EE2-006A2D21AC02}" name="MemberEject" dataDxfId="380"/>
    <tableColumn id="18" xr3:uid="{DF91574E-2FF7-4705-921F-E31C5A63C918}" name="HostoryScope" dataDxfId="379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6" dataDxfId="375">
  <autoFilter ref="B6:I7" xr:uid="{B82E5E9F-8725-4EAF-B9F2-1889C4CE31C6}"/>
  <tableColumns count="8">
    <tableColumn id="1" xr3:uid="{CCD5A4A0-03A2-44F4-8FB0-E2743E043E7C}" name="序号" dataDxfId="374">
      <calculatedColumnFormula array="1">SNGKI</calculatedColumnFormula>
    </tableColumn>
    <tableColumn id="2" xr3:uid="{BE286F67-B0FA-40D9-BDA1-B2CFCEBCEB36}" name="唯一识别码" dataDxfId="373"/>
    <tableColumn id="4" xr3:uid="{9CF218BF-31BE-437E-9285-7CE338B0180C}" name="类型" dataDxfId="372"/>
    <tableColumn id="38" xr3:uid="{BE6B60B8-5A23-4085-9CC5-0D91831F16B6}" name="数量" dataDxfId="371"/>
    <tableColumn id="9" xr3:uid="{BCC80DB2-EF55-4BCC-9A8B-636F5A0886E8}" name="单位" dataDxfId="370"/>
    <tableColumn id="3" xr3:uid="{CCD860BE-34B0-4F57-8823-4D2C9F7985B4}" name="时间" dataDxfId="369"/>
    <tableColumn id="7" xr3:uid="{38DADDD1-29F3-4A23-B844-9D021C0D5F68}" name="工号" dataDxfId="368"/>
    <tableColumn id="8" xr3:uid="{945E147D-AEC8-4CD6-9889-CC8A2ADA4657}" name="备注" dataDxfId="367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4" dataDxfId="363" totalsRowDxfId="362">
  <autoFilter ref="B8:EG10" xr:uid="{ADAB6017-62AE-4ECA-A153-D815FED82043}"/>
  <tableColumns count="136">
    <tableColumn id="1" xr3:uid="{69B39378-5DEE-4683-8063-2D1E5E369E67}" name="序号" totalsRowLabel="Total" dataDxfId="361" totalsRowDxfId="360">
      <calculatedColumnFormula array="1">SN</calculatedColumnFormula>
    </tableColumn>
    <tableColumn id="5" xr3:uid="{35BA10B8-A444-4F80-8F55-6146540C5A57}" name="唯一识别码" dataDxfId="359" totalsRowDxfId="358">
      <calculatedColumnFormula array="1">GUID</calculatedColumnFormula>
    </tableColumn>
    <tableColumn id="6" xr3:uid="{8A3791BE-D142-4B77-980F-0E769FF1CE0E}" name="1 - 剩余" dataDxfId="357">
      <calculatedColumnFormula array="1">Get_1_Calc</calculatedColumnFormula>
    </tableColumn>
    <tableColumn id="8" xr3:uid="{E45E7682-0361-46D3-BF20-AF1E07C3D65B}" name="1 - 存入" dataDxfId="356" totalsRowDxfId="355">
      <calculatedColumnFormula array="1">Get_1_Add</calculatedColumnFormula>
    </tableColumn>
    <tableColumn id="9" xr3:uid="{FE45F0F1-8F7A-4A14-B0E4-3EC60A580E37}" name="1 - 支取" dataDxfId="354" totalsRowDxfId="353">
      <calculatedColumnFormula array="1">Get_1_Del</calculatedColumnFormula>
    </tableColumn>
    <tableColumn id="7" xr3:uid="{B53043EA-8EAF-48CD-A1C4-F1751A029F72}" name="2 - 剩余" dataDxfId="352" totalsRowDxfId="351">
      <calculatedColumnFormula array="1">Get_2_Calc</calculatedColumnFormula>
    </tableColumn>
    <tableColumn id="10" xr3:uid="{95260041-5347-400B-AAEF-EE609D2539A1}" name="2 - 存入" dataDxfId="350" totalsRowDxfId="349">
      <calculatedColumnFormula array="1">Get_2_Add</calculatedColumnFormula>
    </tableColumn>
    <tableColumn id="11" xr3:uid="{33755691-0EB3-40CE-9B73-E91F8C102760}" name="2 - 支取" dataDxfId="348" totalsRowDxfId="347">
      <calculatedColumnFormula array="1">Get_2_Del</calculatedColumnFormula>
    </tableColumn>
    <tableColumn id="32" xr3:uid="{EC5EB628-FB36-43AE-A347-41E9ACE5D72E}" name="3 - 剩余" dataDxfId="346" totalsRowDxfId="345">
      <calculatedColumnFormula array="1">Get_3_Calc</calculatedColumnFormula>
    </tableColumn>
    <tableColumn id="33" xr3:uid="{43A56C01-D775-4C69-87D1-225F1941DB58}" name="3 - 存入" dataDxfId="344" totalsRowDxfId="343">
      <calculatedColumnFormula array="1">Get_3_Add</calculatedColumnFormula>
    </tableColumn>
    <tableColumn id="30" xr3:uid="{E3875226-6AB9-4F4B-91BF-CC71FCEAF551}" name="3 - 支取" dataDxfId="342" totalsRowDxfId="341">
      <calculatedColumnFormula array="1">Get_3_Del</calculatedColumnFormula>
    </tableColumn>
    <tableColumn id="31" xr3:uid="{B62D1E0D-5AB3-4BE3-8BC6-8442FF019A25}" name="4 - 剩余" dataDxfId="340" totalsRowDxfId="339">
      <calculatedColumnFormula array="1">Get_4_Calc</calculatedColumnFormula>
    </tableColumn>
    <tableColumn id="28" xr3:uid="{7B09D42A-E4B3-42DA-A7BC-1855D7B3276B}" name="4 - 存入" dataDxfId="338" totalsRowDxfId="337">
      <calculatedColumnFormula array="1">Get_4_Add</calculatedColumnFormula>
    </tableColumn>
    <tableColumn id="29" xr3:uid="{B7BDACF3-46DD-4203-BF1C-D95921A9EAB9}" name="4 - 支取" dataDxfId="336" totalsRowDxfId="335">
      <calculatedColumnFormula array="1">Get_4_Del</calculatedColumnFormula>
    </tableColumn>
    <tableColumn id="26" xr3:uid="{2B28D0BE-0636-4250-93AD-A6F7361B235B}" name="5 - 剩余" dataDxfId="334" totalsRowDxfId="333">
      <calculatedColumnFormula array="1">Get_5_Calc</calculatedColumnFormula>
    </tableColumn>
    <tableColumn id="27" xr3:uid="{E0E33EBF-F853-45D7-8D8D-4968D0DF550A}" name="5 - 存入" dataDxfId="332" totalsRowDxfId="331">
      <calculatedColumnFormula array="1">Get_5_Add</calculatedColumnFormula>
    </tableColumn>
    <tableColumn id="34" xr3:uid="{8BF8358E-3A1F-4FD6-A3D2-5C9ED03B66D2}" name="5 - 支取" dataDxfId="330" totalsRowDxfId="329">
      <calculatedColumnFormula array="1">Get_5_Del</calculatedColumnFormula>
    </tableColumn>
    <tableColumn id="35" xr3:uid="{BB2E7E56-CFEB-45E5-A53A-8F8601B9A6BC}" name="6 - 剩余" dataDxfId="328">
      <calculatedColumnFormula array="1">Get_6_Calc</calculatedColumnFormula>
    </tableColumn>
    <tableColumn id="36" xr3:uid="{B1C76173-BBE5-4463-A5A2-D59DF06DFEA3}" name="6 - 存入" dataDxfId="327" totalsRowDxfId="326">
      <calculatedColumnFormula array="1">Get_6_Add</calculatedColumnFormula>
    </tableColumn>
    <tableColumn id="37" xr3:uid="{252F1115-6468-4A69-A315-CC054804CD2D}" name="6 - 支取" dataDxfId="325" totalsRowDxfId="324">
      <calculatedColumnFormula array="1">Get_6_Del</calculatedColumnFormula>
    </tableColumn>
    <tableColumn id="20" xr3:uid="{A588D5D5-7793-43CD-9189-E1B0E04C4525}" name="7 - 剩余" dataDxfId="323" totalsRowDxfId="322">
      <calculatedColumnFormula array="1">Get_7_Calc</calculatedColumnFormula>
    </tableColumn>
    <tableColumn id="21" xr3:uid="{173A2F2F-7CDB-4106-BA59-7971244FD630}" name="7 - 存入" dataDxfId="321" totalsRowDxfId="320">
      <calculatedColumnFormula array="1">Get_7_Add</calculatedColumnFormula>
    </tableColumn>
    <tableColumn id="46" xr3:uid="{5DD0D315-AA29-4E95-AB07-E17D16311131}" name="7 - 支取" dataDxfId="319" totalsRowDxfId="318">
      <calculatedColumnFormula array="1">Get_7_Del</calculatedColumnFormula>
    </tableColumn>
    <tableColumn id="47" xr3:uid="{887630E9-FAB3-4BC4-AE9D-DA08EE18BEE8}" name="8 - 剩余" dataDxfId="317" totalsRowDxfId="316">
      <calculatedColumnFormula array="1">Get_8_Calc</calculatedColumnFormula>
    </tableColumn>
    <tableColumn id="44" xr3:uid="{74DD3BDF-B83E-43E2-A24B-4F5846C78DBC}" name="8 - 存入" dataDxfId="315" totalsRowDxfId="314">
      <calculatedColumnFormula array="1">Get_8_Add</calculatedColumnFormula>
    </tableColumn>
    <tableColumn id="45" xr3:uid="{F7703264-4D50-4502-8F6F-FB36B91EB021}" name="8 - 支取" dataDxfId="313" totalsRowDxfId="312">
      <calculatedColumnFormula array="1">Get_8_Del</calculatedColumnFormula>
    </tableColumn>
    <tableColumn id="42" xr3:uid="{4E67C08C-7260-499F-B198-7B6E4192E472}" name="9 - 剩余" dataDxfId="311" totalsRowDxfId="310">
      <calculatedColumnFormula array="1">Get_9_Calc</calculatedColumnFormula>
    </tableColumn>
    <tableColumn id="43" xr3:uid="{7F9B0DDB-B0CF-4F25-BEAA-5F937B25BDE0}" name="9 - 存入" dataDxfId="309" totalsRowDxfId="308">
      <calculatedColumnFormula array="1">Get_9_Add</calculatedColumnFormula>
    </tableColumn>
    <tableColumn id="40" xr3:uid="{3AA5B498-FA98-483A-A388-6B6F74476BFD}" name="9 - 支取" dataDxfId="307" totalsRowDxfId="306">
      <calculatedColumnFormula array="1">Get_9_Del</calculatedColumnFormula>
    </tableColumn>
    <tableColumn id="41" xr3:uid="{82D58ED2-A190-4823-8868-5A26D45CD476}" name="10 - 剩余" dataDxfId="305" totalsRowDxfId="304">
      <calculatedColumnFormula array="1">Get_10_Calc</calculatedColumnFormula>
    </tableColumn>
    <tableColumn id="38" xr3:uid="{800CF74D-0283-4B1A-9909-EF49C70CBE94}" name="10 - 存入" dataDxfId="303" totalsRowDxfId="302">
      <calculatedColumnFormula array="1">Get_10_Add</calculatedColumnFormula>
    </tableColumn>
    <tableColumn id="39" xr3:uid="{276FBA7A-AC3A-4E59-B8B1-B09B169E6837}" name="10 - 支取" dataDxfId="301" totalsRowDxfId="300">
      <calculatedColumnFormula array="1">Get_10_Del</calculatedColumnFormula>
    </tableColumn>
    <tableColumn id="48" xr3:uid="{A7B9D79E-F38B-48CB-AEE5-E7B7F6EF5C2C}" name="11 - 剩余" dataDxfId="299" totalsRowDxfId="298">
      <calculatedColumnFormula array="1">Get_11_Calc</calculatedColumnFormula>
    </tableColumn>
    <tableColumn id="49" xr3:uid="{01CFCCAE-6F8F-4C1E-8FF6-6275897A542E}" name="11 - 存入" dataDxfId="297" totalsRowDxfId="296">
      <calculatedColumnFormula array="1">Get_11_Add</calculatedColumnFormula>
    </tableColumn>
    <tableColumn id="14" xr3:uid="{27E31913-0377-43BF-8773-DF68330317BA}" name="11 - 支取" dataDxfId="295" totalsRowDxfId="294">
      <calculatedColumnFormula array="1">Get_11_Del</calculatedColumnFormula>
    </tableColumn>
    <tableColumn id="51" xr3:uid="{5B85F460-5E62-4025-895D-56CA23340014}" name="12 - 剩余" dataDxfId="293" totalsRowDxfId="292">
      <calculatedColumnFormula array="1">Get_12_Calc</calculatedColumnFormula>
    </tableColumn>
    <tableColumn id="52" xr3:uid="{0EC70A7E-2DCB-4261-AA03-9B9BE1BAEC8F}" name="12 - 存入" dataDxfId="291" totalsRowDxfId="290">
      <calculatedColumnFormula array="1">Get_12_Add</calculatedColumnFormula>
    </tableColumn>
    <tableColumn id="50" xr3:uid="{3EB42EAC-DC06-4CC0-A5A9-B7FE23DC5389}" name="12 - 支取" dataDxfId="289" totalsRowDxfId="288">
      <calculatedColumnFormula array="1">Get_12_Del</calculatedColumnFormula>
    </tableColumn>
    <tableColumn id="65" xr3:uid="{EDF8FCAF-50EB-44D5-B6A9-3CD2A6E9AE1E}" name="13 - 剩余" dataDxfId="287" totalsRowDxfId="286">
      <calculatedColumnFormula array="1">Get_13_Calc</calculatedColumnFormula>
    </tableColumn>
    <tableColumn id="66" xr3:uid="{F5CC81DC-58D2-4192-A82D-389419FBEF0D}" name="13 - 存入" dataDxfId="285" totalsRowDxfId="284">
      <calculatedColumnFormula array="1">Get_13_Add</calculatedColumnFormula>
    </tableColumn>
    <tableColumn id="67" xr3:uid="{CDD18276-7453-4E17-BA82-D9E26BD8811B}" name="13 - 支取" dataDxfId="283" totalsRowDxfId="282">
      <calculatedColumnFormula array="1">Get_13_Del</calculatedColumnFormula>
    </tableColumn>
    <tableColumn id="62" xr3:uid="{68ACC17D-E3C3-4466-88A6-F2F14F757F76}" name="14 - 剩余" dataDxfId="281" totalsRowDxfId="280">
      <calculatedColumnFormula array="1">Get_14_Calc</calculatedColumnFormula>
    </tableColumn>
    <tableColumn id="63" xr3:uid="{0E0EE3C5-8F3C-4968-B0E6-50B1C2B616A8}" name="14 - 存入" dataDxfId="279" totalsRowDxfId="278">
      <calculatedColumnFormula array="1">Get_14_Add</calculatedColumnFormula>
    </tableColumn>
    <tableColumn id="64" xr3:uid="{AD67C543-6A27-4C51-906F-D522151C0D92}" name="14 - 支取" dataDxfId="277" totalsRowDxfId="276">
      <calculatedColumnFormula array="1">Get_14_Del</calculatedColumnFormula>
    </tableColumn>
    <tableColumn id="59" xr3:uid="{7CAE30DB-B183-4017-8A77-F435FA507A01}" name="15 - 剩余" dataDxfId="275" totalsRowDxfId="274">
      <calculatedColumnFormula array="1">Get_15_Calc</calculatedColumnFormula>
    </tableColumn>
    <tableColumn id="60" xr3:uid="{10EF06B0-FD95-42A9-BFCC-64BBC565CA14}" name="15 - 存入" dataDxfId="273" totalsRowDxfId="272">
      <calculatedColumnFormula array="1">Get_15_Add</calculatedColumnFormula>
    </tableColumn>
    <tableColumn id="61" xr3:uid="{6301F8B4-4D01-4FDA-8D32-75921B15A2D9}" name="15 - 支取" dataDxfId="271" totalsRowDxfId="270">
      <calculatedColumnFormula array="1">Get_15_Del</calculatedColumnFormula>
    </tableColumn>
    <tableColumn id="56" xr3:uid="{05F125DE-5AE7-4786-ACBC-DAF9D7222A62}" name="16 - 剩余" dataDxfId="269" totalsRowDxfId="268">
      <calculatedColumnFormula array="1">Get_16_Calc</calculatedColumnFormula>
    </tableColumn>
    <tableColumn id="57" xr3:uid="{7E6969DC-E3FC-4DA8-BB9D-6B36E075458F}" name="16 - 存入" dataDxfId="267" totalsRowDxfId="266">
      <calculatedColumnFormula array="1">Get_16_Add</calculatedColumnFormula>
    </tableColumn>
    <tableColumn id="58" xr3:uid="{84C80CB2-57F5-4B66-8756-5573CD699D16}" name="16 - 支取" dataDxfId="265" totalsRowDxfId="264">
      <calculatedColumnFormula array="1">Get_16_Del</calculatedColumnFormula>
    </tableColumn>
    <tableColumn id="53" xr3:uid="{65516705-AD27-4ECA-AF09-D132C51E08CE}" name="17 - 剩余" dataDxfId="263" totalsRowDxfId="262">
      <calculatedColumnFormula array="1">Get_17_Calc</calculatedColumnFormula>
    </tableColumn>
    <tableColumn id="54" xr3:uid="{0756DBD3-FDA1-4E71-849C-F20BBD0A5182}" name="17 - 存入" dataDxfId="261" totalsRowDxfId="260">
      <calculatedColumnFormula array="1">Get_17_Add</calculatedColumnFormula>
    </tableColumn>
    <tableColumn id="55" xr3:uid="{51CB254C-5F29-4215-8FE0-F8B8B7B32759}" name="17 - 支取" dataDxfId="259" totalsRowDxfId="258">
      <calculatedColumnFormula array="1">Get_17_Del</calculatedColumnFormula>
    </tableColumn>
    <tableColumn id="68" xr3:uid="{9C2EC294-A2C3-40B0-9E15-FFA1DA6DE0E7}" name="18 - 剩余" dataDxfId="257" totalsRowDxfId="256">
      <calculatedColumnFormula array="1">Get_18_Calc</calculatedColumnFormula>
    </tableColumn>
    <tableColumn id="69" xr3:uid="{A371F69D-1236-4AAC-B5F1-72D518D6FC69}" name="18 - 存入" dataDxfId="255" totalsRowDxfId="254">
      <calculatedColumnFormula array="1">Get_18_Add</calculatedColumnFormula>
    </tableColumn>
    <tableColumn id="70" xr3:uid="{7B3C5D9B-BC0C-404F-9490-CDADC350F1D7}" name="18 - 支取" dataDxfId="253" totalsRowDxfId="252">
      <calculatedColumnFormula array="1">Get_18_Del</calculatedColumnFormula>
    </tableColumn>
    <tableColumn id="19" xr3:uid="{91B42855-55D1-4A6A-B9A8-5EE011ADEB10}" name="19 - 剩余" dataDxfId="251" totalsRowDxfId="250">
      <calculatedColumnFormula array="1">Get_19_Calc</calculatedColumnFormula>
    </tableColumn>
    <tableColumn id="18" xr3:uid="{98EE3A39-A8AB-42CF-AEB5-291E8B95D8CA}" name="19 - 存入" dataDxfId="249" totalsRowDxfId="248">
      <calculatedColumnFormula array="1">Get_19_Add</calculatedColumnFormula>
    </tableColumn>
    <tableColumn id="73" xr3:uid="{DB40D44F-8801-4D50-BA48-8323E05D2E13}" name="19 - 支取" dataDxfId="247" totalsRowDxfId="246">
      <calculatedColumnFormula array="1">Get_19_Del</calculatedColumnFormula>
    </tableColumn>
    <tableColumn id="72" xr3:uid="{470D5EC3-31A6-4851-B48C-D6DDADACC807}" name="20 - 剩余" dataDxfId="245" totalsRowDxfId="244">
      <calculatedColumnFormula array="1">Get_20_Calc</calculatedColumnFormula>
    </tableColumn>
    <tableColumn id="71" xr3:uid="{39143051-B360-4CEF-883D-35BFEEAE3BA0}" name="20 - 存入" dataDxfId="243" totalsRowDxfId="242">
      <calculatedColumnFormula array="1">Get_20_Add</calculatedColumnFormula>
    </tableColumn>
    <tableColumn id="15" xr3:uid="{8C1BB1E7-B23F-46EC-AE4E-28A3C394FD55}" name="20 - 支取" dataDxfId="241" totalsRowDxfId="240">
      <calculatedColumnFormula array="1">Get_20_Del</calculatedColumnFormula>
    </tableColumn>
    <tableColumn id="102" xr3:uid="{F21D4D43-73EE-4C8A-8AEF-E424CE485010}" name="21 - 剩余" dataDxfId="239" totalsRowDxfId="238">
      <calculatedColumnFormula array="1">Get_21_Calc</calculatedColumnFormula>
    </tableColumn>
    <tableColumn id="103" xr3:uid="{4486E59C-66B0-413C-AFFC-A8A336BC25D8}" name="21 - 存入" dataDxfId="237" totalsRowDxfId="236">
      <calculatedColumnFormula array="1">Get_21_Add</calculatedColumnFormula>
    </tableColumn>
    <tableColumn id="104" xr3:uid="{564EC857-6030-490D-A2E5-16F4F8221C23}" name="21 - 支取" dataDxfId="235" totalsRowDxfId="234">
      <calculatedColumnFormula array="1">Get_21_Del</calculatedColumnFormula>
    </tableColumn>
    <tableColumn id="105" xr3:uid="{31132AB1-247A-4EB9-8A8A-871FED0D5AA1}" name="22 - 剩余" dataDxfId="233" totalsRowDxfId="232">
      <calculatedColumnFormula array="1">Get_22_Calc</calculatedColumnFormula>
    </tableColumn>
    <tableColumn id="98" xr3:uid="{CF6220B5-7B80-445C-A013-845D35543916}" name="22 - 存入" dataDxfId="231" totalsRowDxfId="230">
      <calculatedColumnFormula array="1">Get_22_Add</calculatedColumnFormula>
    </tableColumn>
    <tableColumn id="99" xr3:uid="{98BD4691-C847-4F41-8E6C-BEC01B8FAEB3}" name="22 - 支取" dataDxfId="229" totalsRowDxfId="228">
      <calculatedColumnFormula array="1">Get_22_Del</calculatedColumnFormula>
    </tableColumn>
    <tableColumn id="100" xr3:uid="{66330D4E-ED0D-41A7-921D-E622CA8068A4}" name="23 - 剩余" dataDxfId="227" totalsRowDxfId="226">
      <calculatedColumnFormula array="1">Get_23_Calc</calculatedColumnFormula>
    </tableColumn>
    <tableColumn id="101" xr3:uid="{3345E086-C2E9-453D-A0EB-A7471CF2ACB2}" name="23 - 存入" dataDxfId="225" totalsRowDxfId="224">
      <calculatedColumnFormula array="1">Get_23_Add</calculatedColumnFormula>
    </tableColumn>
    <tableColumn id="94" xr3:uid="{8EF3E108-22A5-4CBC-9928-BC115EFE882A}" name="23 - 支取" dataDxfId="223" totalsRowDxfId="222">
      <calculatedColumnFormula array="1">Get_23_Del</calculatedColumnFormula>
    </tableColumn>
    <tableColumn id="95" xr3:uid="{C6AA287C-2EA3-4286-A71D-29E22D519C41}" name="24 - 剩余" dataDxfId="221" totalsRowDxfId="220">
      <calculatedColumnFormula array="1">Get_24_Calc</calculatedColumnFormula>
    </tableColumn>
    <tableColumn id="96" xr3:uid="{1FDAF720-4143-496A-91C3-D65BD5CBA18F}" name="24 - 存入" dataDxfId="219" totalsRowDxfId="218">
      <calculatedColumnFormula array="1">Get_24_Add</calculatedColumnFormula>
    </tableColumn>
    <tableColumn id="97" xr3:uid="{0CACBF11-449C-4C06-A249-904EB5517854}" name="24 - 支取" dataDxfId="217" totalsRowDxfId="216">
      <calculatedColumnFormula array="1">Get_24_Del</calculatedColumnFormula>
    </tableColumn>
    <tableColumn id="90" xr3:uid="{11D36A45-02CB-476F-A2D2-734F76A2D1A6}" name="25 - 剩余" dataDxfId="215" totalsRowDxfId="214">
      <calculatedColumnFormula array="1">Get_25_Calc</calculatedColumnFormula>
    </tableColumn>
    <tableColumn id="91" xr3:uid="{8B60EC99-F04A-45EF-8F17-680319744A85}" name="25 - 存入" dataDxfId="213" totalsRowDxfId="212">
      <calculatedColumnFormula array="1">Get_25_Add</calculatedColumnFormula>
    </tableColumn>
    <tableColumn id="92" xr3:uid="{AD05D88D-F2C1-4505-9BBD-FDC0B2D388F3}" name="25 - 支取" dataDxfId="211" totalsRowDxfId="210">
      <calculatedColumnFormula array="1">Get_25_Del</calculatedColumnFormula>
    </tableColumn>
    <tableColumn id="93" xr3:uid="{F7CB76E9-97CE-4CC8-AEDA-CB574593A924}" name="26 - 剩余" dataDxfId="209" totalsRowDxfId="208">
      <calculatedColumnFormula array="1">Get_26_Calc</calculatedColumnFormula>
    </tableColumn>
    <tableColumn id="86" xr3:uid="{6D74E673-FBC5-435E-9229-8C187E67EA3F}" name="26 - 存入" dataDxfId="207" totalsRowDxfId="206">
      <calculatedColumnFormula array="1">Get_26_Add</calculatedColumnFormula>
    </tableColumn>
    <tableColumn id="87" xr3:uid="{C2C28027-A1CD-440D-BB33-3A80FCC5A8C1}" name="26 - 支取" dataDxfId="205" totalsRowDxfId="204">
      <calculatedColumnFormula array="1">Get_26_Del</calculatedColumnFormula>
    </tableColumn>
    <tableColumn id="88" xr3:uid="{070B4F15-D610-4FCF-B681-42E984B3F85F}" name="27 - 剩余" dataDxfId="203" totalsRowDxfId="202">
      <calculatedColumnFormula array="1">Get_27_Calc</calculatedColumnFormula>
    </tableColumn>
    <tableColumn id="89" xr3:uid="{04BA09B0-47DA-4E80-BEEC-AB8498C074D5}" name="27 - 存入" dataDxfId="201" totalsRowDxfId="200">
      <calculatedColumnFormula array="1">Get_27_Add</calculatedColumnFormula>
    </tableColumn>
    <tableColumn id="82" xr3:uid="{17B1B927-AD09-4E4A-B7FC-33ED76279CBC}" name="27 - 支取" dataDxfId="199" totalsRowDxfId="198">
      <calculatedColumnFormula array="1">Get_27_Del</calculatedColumnFormula>
    </tableColumn>
    <tableColumn id="83" xr3:uid="{2F4ED0A5-EE6B-4248-832C-F478A57FA0D5}" name="28 - 剩余" dataDxfId="197" totalsRowDxfId="196">
      <calculatedColumnFormula array="1">Get_28_Calc</calculatedColumnFormula>
    </tableColumn>
    <tableColumn id="84" xr3:uid="{D1140375-114D-49D9-A424-519A4250A622}" name="28 - 存入" dataDxfId="195" totalsRowDxfId="194">
      <calculatedColumnFormula array="1">Get_28_Add</calculatedColumnFormula>
    </tableColumn>
    <tableColumn id="85" xr3:uid="{53209986-74FA-491C-8499-CAD58386B246}" name="28 - 支取" dataDxfId="193" totalsRowDxfId="192">
      <calculatedColumnFormula array="1">Get_28_Del</calculatedColumnFormula>
    </tableColumn>
    <tableColumn id="78" xr3:uid="{9B1695E1-88D0-4B66-86DA-6328CEFA236B}" name="29 - 剩余" dataDxfId="191" totalsRowDxfId="190">
      <calculatedColumnFormula array="1">Get_29_Calc</calculatedColumnFormula>
    </tableColumn>
    <tableColumn id="79" xr3:uid="{AD5F07E7-774D-47C8-B9B7-0278E35D62E4}" name="29 - 存入" dataDxfId="189" totalsRowDxfId="188">
      <calculatedColumnFormula array="1">Get_29_Add</calculatedColumnFormula>
    </tableColumn>
    <tableColumn id="80" xr3:uid="{60613223-E2AD-4FE8-AB22-74D7D70E9EC2}" name="29 - 支取" dataDxfId="187" totalsRowDxfId="186">
      <calculatedColumnFormula array="1">Get_29_Del</calculatedColumnFormula>
    </tableColumn>
    <tableColumn id="81" xr3:uid="{598D87C2-40FF-4EB0-A568-2DE01DFD9C9A}" name="30 - 剩余" dataDxfId="185" totalsRowDxfId="184">
      <calculatedColumnFormula array="1">Get_30_Calc</calculatedColumnFormula>
    </tableColumn>
    <tableColumn id="112" xr3:uid="{A33BC1F0-D006-4639-92C6-0E411B6CA96D}" name="30 - 存入" dataDxfId="183" totalsRowDxfId="182">
      <calculatedColumnFormula array="1">Get_30_Add</calculatedColumnFormula>
    </tableColumn>
    <tableColumn id="113" xr3:uid="{AF7F8313-8446-4886-AE41-FE26C24E6965}" name="30 - 支取" dataDxfId="181" totalsRowDxfId="180">
      <calculatedColumnFormula array="1">Get_30_Del</calculatedColumnFormula>
    </tableColumn>
    <tableColumn id="114" xr3:uid="{32AC448A-1D9F-45C6-ADF0-484483D61305}" name="31 - 剩余" dataDxfId="179" totalsRowDxfId="178">
      <calculatedColumnFormula array="1">Get_31_Calc</calculatedColumnFormula>
    </tableColumn>
    <tableColumn id="109" xr3:uid="{6656E887-BCA1-45C6-9018-4F892EDCD6BD}" name="31 - 存入" dataDxfId="177" totalsRowDxfId="176">
      <calculatedColumnFormula array="1">Get_31_Add</calculatedColumnFormula>
    </tableColumn>
    <tableColumn id="110" xr3:uid="{19143AD3-AFEC-4767-B097-6EFED19C1D5F}" name="31 - 支取" dataDxfId="175" totalsRowDxfId="174">
      <calculatedColumnFormula array="1">Get_31_Del</calculatedColumnFormula>
    </tableColumn>
    <tableColumn id="111" xr3:uid="{A73390AD-84AD-4B11-962F-A0DD77AF79DB}" name="32 - 剩余" dataDxfId="173" totalsRowDxfId="172">
      <calculatedColumnFormula array="1">Get_32_Calc</calculatedColumnFormula>
    </tableColumn>
    <tableColumn id="106" xr3:uid="{CD563433-AB70-48C2-B28C-D63B8FE4231B}" name="32 - 存入" dataDxfId="171" totalsRowDxfId="170">
      <calculatedColumnFormula array="1">Get_32_Add</calculatedColumnFormula>
    </tableColumn>
    <tableColumn id="107" xr3:uid="{8C2B9726-7B44-4012-849B-90C10E42CC75}" name="32 - 支取" dataDxfId="169" totalsRowDxfId="168">
      <calculatedColumnFormula array="1">Get_32_Del</calculatedColumnFormula>
    </tableColumn>
    <tableColumn id="108" xr3:uid="{E5AF4544-102C-474F-A246-CC7171B33738}" name="33 - 剩余" dataDxfId="167" totalsRowDxfId="166">
      <calculatedColumnFormula array="1">Get_33_Calc</calculatedColumnFormula>
    </tableColumn>
    <tableColumn id="121" xr3:uid="{C1F5D498-1262-44DF-B066-1A676148E301}" name="33 - 存入" dataDxfId="165" totalsRowDxfId="164">
      <calculatedColumnFormula array="1">Get_33_Add</calculatedColumnFormula>
    </tableColumn>
    <tableColumn id="122" xr3:uid="{2F6821D0-F42C-4DED-A045-B1C398C90F61}" name="33 - 支取" dataDxfId="163" totalsRowDxfId="162">
      <calculatedColumnFormula array="1">Get_33_Del</calculatedColumnFormula>
    </tableColumn>
    <tableColumn id="123" xr3:uid="{DDEBD9FE-7A2F-41FF-9BD6-93F0E3570136}" name="34 - 剩余" dataDxfId="161" totalsRowDxfId="160">
      <calculatedColumnFormula array="1">Get_34_Calc</calculatedColumnFormula>
    </tableColumn>
    <tableColumn id="118" xr3:uid="{DEAF0FA5-8ADE-45D7-B112-EA03FAA0D896}" name="34 - 存入" dataDxfId="159" totalsRowDxfId="158">
      <calculatedColumnFormula array="1">Get_34_Add</calculatedColumnFormula>
    </tableColumn>
    <tableColumn id="119" xr3:uid="{C95831F4-24FC-40B7-A0D8-FEBAAA6EAD80}" name="34 - 支取" dataDxfId="157" totalsRowDxfId="156">
      <calculatedColumnFormula array="1">Get_34_Del</calculatedColumnFormula>
    </tableColumn>
    <tableColumn id="120" xr3:uid="{8C22D30B-320F-49E4-B37A-57A3D5DEE429}" name="35 - 剩余" dataDxfId="155" totalsRowDxfId="154">
      <calculatedColumnFormula array="1">Get_35_Calc</calculatedColumnFormula>
    </tableColumn>
    <tableColumn id="115" xr3:uid="{DC9FF648-80A3-480C-8295-816AE96549F0}" name="35 - 存入" dataDxfId="153" totalsRowDxfId="152">
      <calculatedColumnFormula array="1">Get_35_Add</calculatedColumnFormula>
    </tableColumn>
    <tableColumn id="116" xr3:uid="{19FD796A-C39B-4913-B2F4-CF8C8A6E2355}" name="35 - 支取" dataDxfId="151" totalsRowDxfId="150">
      <calculatedColumnFormula array="1">Get_35_Del</calculatedColumnFormula>
    </tableColumn>
    <tableColumn id="117" xr3:uid="{329AC6EB-CF46-4F1E-A1D1-49A8B17CACCD}" name="36 - 剩余" dataDxfId="149" totalsRowDxfId="148">
      <calculatedColumnFormula array="1">Get_36_Calc</calculatedColumnFormula>
    </tableColumn>
    <tableColumn id="77" xr3:uid="{D18373BA-DB75-470C-9939-60206C36267B}" name="36 - 存入" dataDxfId="147" totalsRowDxfId="146">
      <calculatedColumnFormula array="1">Get_36_Add</calculatedColumnFormula>
    </tableColumn>
    <tableColumn id="76" xr3:uid="{8C923C1F-8AAD-4F00-B3ED-8C81417C548A}" name="36 - 支取" dataDxfId="145" totalsRowDxfId="144">
      <calculatedColumnFormula array="1">Get_36_Del</calculatedColumnFormula>
    </tableColumn>
    <tableColumn id="132" xr3:uid="{F6203D74-C033-4FEA-B4CE-F892F2B07270}" name="37 - 剩余" dataDxfId="143" totalsRowDxfId="142">
      <calculatedColumnFormula array="1">Get_37_Calc</calculatedColumnFormula>
    </tableColumn>
    <tableColumn id="133" xr3:uid="{BA7DE93C-8EE4-4DDC-BC04-EC21986490A7}" name="37 - 存入" dataDxfId="141" totalsRowDxfId="140">
      <calculatedColumnFormula array="1">Get_37_Add</calculatedColumnFormula>
    </tableColumn>
    <tableColumn id="128" xr3:uid="{A2AB67E7-67E5-4957-9EB1-A4A37B61C71A}" name="37 - 支取" dataDxfId="139" totalsRowDxfId="138">
      <calculatedColumnFormula array="1">Get_37_Del</calculatedColumnFormula>
    </tableColumn>
    <tableColumn id="129" xr3:uid="{15573BDA-20F9-4C2F-9D6F-18F743FC6E25}" name="38 - 剩余" dataDxfId="137" totalsRowDxfId="136">
      <calculatedColumnFormula array="1">Get_38_Calc</calculatedColumnFormula>
    </tableColumn>
    <tableColumn id="130" xr3:uid="{C0F229CF-C5D6-4F11-8F55-7692B00DC0E3}" name="38 - 存入" dataDxfId="135" totalsRowDxfId="134">
      <calculatedColumnFormula array="1">Get_38_Add</calculatedColumnFormula>
    </tableColumn>
    <tableColumn id="125" xr3:uid="{24A0AFA6-873B-40D0-95AA-269E0E8A05E1}" name="38 - 支取" dataDxfId="133" totalsRowDxfId="132">
      <calculatedColumnFormula array="1">Get_38_Del</calculatedColumnFormula>
    </tableColumn>
    <tableColumn id="126" xr3:uid="{20897FAE-D3FE-48DD-961E-6A6443173FA9}" name="39 - 剩余" dataDxfId="131" totalsRowDxfId="130">
      <calculatedColumnFormula array="1">Get_39_Calc</calculatedColumnFormula>
    </tableColumn>
    <tableColumn id="127" xr3:uid="{35F30295-EDB2-4D7F-939D-DFAC52BB2A9F}" name="39 - 存入" dataDxfId="129" totalsRowDxfId="128">
      <calculatedColumnFormula array="1">Get_39_Add</calculatedColumnFormula>
    </tableColumn>
    <tableColumn id="124" xr3:uid="{AF953A41-E1B0-4337-8A8E-F951C493EDE8}" name="39 - 支取" dataDxfId="127" totalsRowDxfId="126">
      <calculatedColumnFormula array="1">Get_39_Del</calculatedColumnFormula>
    </tableColumn>
    <tableColumn id="75" xr3:uid="{07F02D24-5D96-40AE-BCE0-590F79C6D5DF}" name="40 - 剩余" dataDxfId="125" totalsRowDxfId="124">
      <calculatedColumnFormula array="1">Get_40_Calc</calculatedColumnFormula>
    </tableColumn>
    <tableColumn id="134" xr3:uid="{1075256E-BEBC-4E72-B0F5-766EF175AB4B}" name="40 - 存入" dataDxfId="123" totalsRowDxfId="122">
      <calculatedColumnFormula array="1">Get_40_Add</calculatedColumnFormula>
    </tableColumn>
    <tableColumn id="74" xr3:uid="{DAFDE2C6-F321-4651-AA25-F4B29B9F690B}" name="40 - 支取" dataDxfId="121" totalsRowDxfId="120">
      <calculatedColumnFormula array="1">Get_40_Del</calculatedColumnFormula>
    </tableColumn>
    <tableColumn id="2" xr3:uid="{6838A7E0-670C-4A2D-AF67-326212D8D278}" name="姓氏" dataDxfId="119" totalsRowDxfId="118"/>
    <tableColumn id="25" xr3:uid="{0E0946FC-F3D2-412C-BDE7-636B8FDBFE7C}" name="名字" dataDxfId="117" totalsRowDxfId="116"/>
    <tableColumn id="3" xr3:uid="{E7DD7F6C-DAA7-4B96-9638-5C8F7FEFCC2E}" name="性别" dataDxfId="115" totalsRowDxfId="114"/>
    <tableColumn id="23" xr3:uid="{AABD28F8-91AC-4EA0-915D-2F3C990C193D}" name="身份证号码" dataDxfId="113" totalsRowDxfId="112"/>
    <tableColumn id="24" xr3:uid="{14505223-157D-4FB0-A334-A4E4687523F8}" name="年龄" dataDxfId="111" totalsRowDxfId="110"/>
    <tableColumn id="4" xr3:uid="{B39F2860-CADF-40CB-832A-CCDE8501D7E3}" name="电话" dataDxfId="109" totalsRowDxfId="108"/>
    <tableColumn id="16" xr3:uid="{6E8928D1-6540-4241-9B8F-BFBC65F8DA26}" name="Email" dataDxfId="107"/>
    <tableColumn id="17" xr3:uid="{5422D38F-7826-4B14-9992-0434FAF52537}" name="家庭住址" dataDxfId="106" totalsRowDxfId="105"/>
    <tableColumn id="13" xr3:uid="{1096126D-9431-4280-89CE-FD45CA05D86A}" name="添加会员时间" dataDxfId="104" totalsRowDxfId="103"/>
    <tableColumn id="22" xr3:uid="{8DAD451D-44A8-40A3-A244-DDF540273F95}" name="工号" dataDxfId="102" totalsRowDxfId="101"/>
    <tableColumn id="12" xr3:uid="{A8D286B9-575E-4C05-8F77-63C322A43E3C}" name="备注" totalsRowFunction="count" dataDxfId="100" totalsRowDxfId="99"/>
    <tableColumn id="136" xr3:uid="{9DC52501-92B3-403C-B774-B4BEC74155B7}" name="总共已关联" dataDxfId="98">
      <calculatedColumnFormula array="1">History_Total</calculatedColumnFormula>
    </tableColumn>
    <tableColumn id="138" xr3:uid="{8445EC16-52CF-4D09-997B-6B208A387864}" name="已关联存入" dataDxfId="97">
      <calculatedColumnFormula array="1">History_Saved</calculatedColumnFormula>
    </tableColumn>
    <tableColumn id="139" xr3:uid="{08FB3718-0AE0-47D7-8C17-876AE7BF59F9}" name="已关联支取" dataDxfId="96">
      <calculatedColumnFormula array="1">History_Withdraw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3" dataDxfId="92">
  <autoFilter ref="B8:AU10" xr:uid="{B82E5E9F-8725-4EAF-B9F2-1889C4CE31C6}"/>
  <tableColumns count="46">
    <tableColumn id="1" xr3:uid="{B2E2102C-8F4D-4C47-9CD3-463EA2BB39CA}" name="序号" dataDxfId="91" totalsRowDxfId="90">
      <calculatedColumnFormula array="1">SN</calculatedColumnFormula>
    </tableColumn>
    <tableColumn id="2" xr3:uid="{B2493920-5E1A-4FDC-9855-B9542A099E48}" name="唯一识别码" dataDxfId="89" totalsRowDxfId="88"/>
    <tableColumn id="5" xr3:uid="{5B86D5AB-C839-4645-A1C3-6DB8BE627282}" name="1" dataDxfId="87" totalsRowDxfId="86"/>
    <tableColumn id="6" xr3:uid="{D0DA84C9-F1D2-46E3-B7CE-A8366D8983EB}" name="2" dataDxfId="85" totalsRowDxfId="84"/>
    <tableColumn id="18" xr3:uid="{9E40E7FF-8010-4EF5-8D65-05F090D03F3E}" name="3" dataDxfId="83" totalsRowDxfId="82"/>
    <tableColumn id="21" xr3:uid="{5F083938-0DC4-423F-A299-44247D468027}" name="4" dataDxfId="81" totalsRowDxfId="80"/>
    <tableColumn id="22" xr3:uid="{24908B7A-CF9B-4D63-9022-D399C13A94C1}" name="5" dataDxfId="79" totalsRowDxfId="78"/>
    <tableColumn id="19" xr3:uid="{BEB80215-8B61-4914-86E2-724F4F55059E}" name="6" dataDxfId="77" totalsRowDxfId="76"/>
    <tableColumn id="20" xr3:uid="{E54DF6BD-FDB6-4958-9792-37D84186C5F8}" name="7" dataDxfId="75" totalsRowDxfId="74"/>
    <tableColumn id="17" xr3:uid="{3C5E9469-24AB-4CCF-9097-5413D53FE08B}" name="8" dataDxfId="73" totalsRowDxfId="72"/>
    <tableColumn id="25" xr3:uid="{DF31ADD6-D425-448A-84D6-24EA4C755749}" name="9" dataDxfId="71" totalsRowDxfId="70"/>
    <tableColumn id="24" xr3:uid="{C42F8972-B742-4D35-A952-3D872596299B}" name="10" dataDxfId="69" totalsRowDxfId="68"/>
    <tableColumn id="23" xr3:uid="{B41C44E2-038E-439D-88E8-97ACB7CC434D}" name="11" dataDxfId="67" totalsRowDxfId="66"/>
    <tableColumn id="16" xr3:uid="{6BD74C15-D3CF-47C3-AFCC-D562BF1584D8}" name="12" dataDxfId="65" totalsRowDxfId="64"/>
    <tableColumn id="26" xr3:uid="{3AA81C31-DC87-4EC0-8317-62466BCA688D}" name="13" dataDxfId="63" totalsRowDxfId="62"/>
    <tableColumn id="29" xr3:uid="{C0462957-AD6C-4B5C-8DE8-98D81D3496D1}" name="14" dataDxfId="61" totalsRowDxfId="60"/>
    <tableColumn id="30" xr3:uid="{91E73BB4-A5D3-4098-ADFA-7676E1DD74AC}" name="15" dataDxfId="59" totalsRowDxfId="58"/>
    <tableColumn id="27" xr3:uid="{7188DC63-0EDC-479C-8DF8-171846E035A9}" name="16" dataDxfId="57" totalsRowDxfId="56"/>
    <tableColumn id="28" xr3:uid="{902017B5-4692-492C-9165-FFBAA7A9EFA2}" name="17" dataDxfId="55" totalsRowDxfId="54"/>
    <tableColumn id="15" xr3:uid="{3A772841-0990-4D32-BD79-3A55F182D58A}" name="18" dataDxfId="53" totalsRowDxfId="52"/>
    <tableColumn id="13" xr3:uid="{5994AF1F-2C09-49F7-BEAE-5244545BE579}" name="19" dataDxfId="51" totalsRowDxfId="50"/>
    <tableColumn id="12" xr3:uid="{52D6369B-5841-4774-8BDE-05C74F09EAC1}" name="20" dataDxfId="49" totalsRowDxfId="48"/>
    <tableColumn id="31" xr3:uid="{C83E34E8-13E7-40AC-9737-31D4F44EA5C0}" name="21" dataDxfId="47" totalsRowDxfId="46"/>
    <tableColumn id="33" xr3:uid="{20040D15-F787-4792-8F8C-D184E466DD4A}" name="22" dataDxfId="45" totalsRowDxfId="44"/>
    <tableColumn id="39" xr3:uid="{874A0112-6044-4784-9336-AC836F681062}" name="23" dataDxfId="43" totalsRowDxfId="42"/>
    <tableColumn id="40" xr3:uid="{A335E465-437A-4DCA-AE73-6DBF20019402}" name="24" dataDxfId="41" totalsRowDxfId="40"/>
    <tableColumn id="41" xr3:uid="{723CE42E-61DF-4AF1-B805-025AD3796144}" name="25" dataDxfId="39" totalsRowDxfId="38"/>
    <tableColumn id="47" xr3:uid="{AC0C5112-91DB-476F-9326-03A00C1CC4D7}" name="26" dataDxfId="37" totalsRowDxfId="36"/>
    <tableColumn id="48" xr3:uid="{0CCD12DC-90CB-4A7B-B37F-0CDFD12C9E26}" name="27" dataDxfId="35" totalsRowDxfId="34"/>
    <tableColumn id="49" xr3:uid="{32093088-A6B1-4E81-8060-8081572AEB3C}" name="28" dataDxfId="33" totalsRowDxfId="32"/>
    <tableColumn id="50" xr3:uid="{E73E4046-D91C-4103-8FF5-CE3DABE5943E}" name="29" dataDxfId="31" totalsRowDxfId="30"/>
    <tableColumn id="42" xr3:uid="{7535B89E-1BDE-4FCD-8270-64B6BD553E66}" name="30" dataDxfId="29" totalsRowDxfId="28"/>
    <tableColumn id="43" xr3:uid="{0EF5131B-2964-41D8-8B4F-5CE8425A8E17}" name="31" dataDxfId="27" totalsRowDxfId="26"/>
    <tableColumn id="44" xr3:uid="{07794504-345E-44DA-BFFD-0FC011CA8C0C}" name="32" dataDxfId="25" totalsRowDxfId="24"/>
    <tableColumn id="45" xr3:uid="{742F74DB-184C-47F9-BC8D-88717E4EAAE9}" name="33" dataDxfId="23" totalsRowDxfId="22"/>
    <tableColumn id="46" xr3:uid="{6C4ACE81-DC94-4085-8445-2A590B8AC004}" name="34" dataDxfId="21" totalsRowDxfId="20"/>
    <tableColumn id="36" xr3:uid="{B8E7051A-604E-4DED-90C9-55AFE95C1751}" name="35" dataDxfId="19" totalsRowDxfId="18"/>
    <tableColumn id="37" xr3:uid="{D0A1BB8D-7A59-4F4C-9F61-A39E97785CEF}" name="36" dataDxfId="17" totalsRowDxfId="16"/>
    <tableColumn id="38" xr3:uid="{16A3E285-8C93-4999-A0E2-03857615F7A9}" name="37" dataDxfId="15" totalsRowDxfId="14"/>
    <tableColumn id="34" xr3:uid="{8FFD9156-81BC-4797-9171-05EBE094577A}" name="38" dataDxfId="13" totalsRowDxfId="12"/>
    <tableColumn id="35" xr3:uid="{399AED98-1FD4-4BCA-BA5E-1AF3891EC865}" name="39" dataDxfId="11" totalsRowDxfId="10"/>
    <tableColumn id="32" xr3:uid="{A8DF16A5-4D2C-4246-8D26-BA66F2E409B7}" name="40" dataDxfId="9" totalsRowDxfId="8"/>
    <tableColumn id="4" xr3:uid="{702BF576-18B9-4757-B976-A4C2C46CD578}" name="类型" dataDxfId="7" totalsRowDxfId="6"/>
    <tableColumn id="3" xr3:uid="{2DB9E3FB-FAB2-4AAE-92D3-3923415905C1}" name="时间" dataDxfId="5" totalsRowDxfId="4"/>
    <tableColumn id="7" xr3:uid="{09F84C56-CC9A-4AF7-B58F-B7114DD50367}" name="工号" dataDxfId="3" totalsRowDxfId="2"/>
    <tableColumn id="8" xr3:uid="{56756BBB-4B3E-40A7-A199-808B905113E1}" name="备注" dataDxfId="1" totalsRow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Welcome">
    <tabColor theme="9"/>
    <pageSetUpPr fitToPage="1"/>
  </sheetPr>
  <dimension ref="A1:Q69"/>
  <sheetViews>
    <sheetView showGridLines="0" tabSelected="1" zoomScaleNormal="100" workbookViewId="0"/>
  </sheetViews>
  <sheetFormatPr defaultColWidth="0" defaultRowHeight="0" customHeight="1" zeroHeight="1" x14ac:dyDescent="0.4"/>
  <cols>
    <col min="1" max="2" width="2.69140625" style="17" customWidth="1"/>
    <col min="3" max="3" width="5.69140625" style="17" customWidth="1"/>
    <col min="4" max="4" width="12.69140625" style="17" customWidth="1"/>
    <col min="5" max="14" width="9.15234375" style="17" customWidth="1"/>
    <col min="15" max="16" width="2.69140625" style="17" customWidth="1"/>
    <col min="17" max="17" width="0" style="17" hidden="1" customWidth="1"/>
    <col min="18" max="16384" width="9.15234375" style="17" hidden="1"/>
  </cols>
  <sheetData>
    <row r="1" spans="1:16" s="3" customFormat="1" ht="6" customHeight="1" x14ac:dyDescent="0.4"/>
    <row r="2" spans="1:16" s="22" customFormat="1" ht="10.1" customHeight="1" x14ac:dyDescent="0.4"/>
    <row r="3" spans="1:16" s="1" customFormat="1" ht="40.1" customHeight="1" x14ac:dyDescent="0.45">
      <c r="A3" s="72"/>
      <c r="B3" s="72"/>
      <c r="C3" s="72"/>
      <c r="D3" s="135" t="s">
        <v>132</v>
      </c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</row>
    <row r="4" spans="1:16" s="1" customFormat="1" ht="8.25" customHeight="1" x14ac:dyDescent="0.4">
      <c r="A4" s="72"/>
      <c r="B4" s="72"/>
      <c r="C4" s="72"/>
      <c r="D4" s="136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</row>
    <row r="5" spans="1:16" s="1" customFormat="1" ht="40.1" customHeight="1" x14ac:dyDescent="0.4">
      <c r="A5" s="72"/>
      <c r="B5" s="72"/>
      <c r="C5" s="72"/>
      <c r="D5" s="137" t="s">
        <v>267</v>
      </c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</row>
    <row r="6" spans="1:16" ht="16.5" customHeight="1" x14ac:dyDescent="0.4"/>
    <row r="7" spans="1:16" ht="8.25" customHeight="1" x14ac:dyDescent="0.4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</row>
    <row r="8" spans="1:16" ht="35.25" customHeight="1" thickBot="1" x14ac:dyDescent="0.45">
      <c r="B8" s="1"/>
      <c r="C8" s="50"/>
      <c r="D8" s="50" t="s">
        <v>241</v>
      </c>
      <c r="E8" s="50"/>
      <c r="F8" s="52"/>
      <c r="G8" s="50"/>
      <c r="H8" s="50"/>
      <c r="I8" s="50"/>
      <c r="J8" s="50"/>
      <c r="K8" s="50"/>
      <c r="L8" s="50"/>
      <c r="M8" s="50"/>
      <c r="N8" s="50"/>
      <c r="O8" s="1"/>
    </row>
    <row r="9" spans="1:16" ht="35.25" customHeight="1" thickTop="1" x14ac:dyDescent="0.4">
      <c r="B9" s="1"/>
      <c r="C9" s="1">
        <v>1</v>
      </c>
      <c r="D9" s="46" t="s">
        <v>300</v>
      </c>
      <c r="E9" s="1"/>
      <c r="F9" s="20"/>
      <c r="G9" s="1"/>
      <c r="H9" s="1"/>
      <c r="I9" s="1"/>
      <c r="J9" s="1"/>
      <c r="K9" s="1"/>
      <c r="L9" s="1"/>
      <c r="M9" s="1"/>
      <c r="N9" s="1"/>
      <c r="O9" s="1"/>
    </row>
    <row r="10" spans="1:16" ht="35.25" customHeight="1" x14ac:dyDescent="0.4">
      <c r="B10" s="1"/>
      <c r="C10" s="1">
        <v>1</v>
      </c>
      <c r="D10" s="46" t="s">
        <v>257</v>
      </c>
      <c r="E10" s="1"/>
      <c r="F10" s="20"/>
      <c r="G10" s="1"/>
      <c r="H10" s="1"/>
      <c r="I10" s="1"/>
      <c r="J10" s="1"/>
      <c r="K10" s="1"/>
      <c r="L10" s="1"/>
      <c r="M10" s="1"/>
      <c r="N10" s="1"/>
      <c r="O10" s="1"/>
    </row>
    <row r="11" spans="1:16" ht="35.25" customHeight="1" x14ac:dyDescent="0.4">
      <c r="B11" s="1"/>
      <c r="C11" s="1">
        <v>1</v>
      </c>
      <c r="D11" s="46" t="s">
        <v>264</v>
      </c>
      <c r="E11" s="1"/>
      <c r="F11" s="20"/>
      <c r="G11" s="1"/>
      <c r="H11" s="1"/>
      <c r="I11" s="1"/>
      <c r="J11" s="1"/>
      <c r="K11" s="1"/>
      <c r="L11" s="1"/>
      <c r="M11" s="1"/>
      <c r="N11" s="1"/>
      <c r="O11" s="1"/>
    </row>
    <row r="12" spans="1:16" ht="35.25" customHeight="1" x14ac:dyDescent="0.4">
      <c r="B12" s="1"/>
      <c r="C12" s="1">
        <v>-1</v>
      </c>
      <c r="D12" s="46" t="s">
        <v>301</v>
      </c>
      <c r="E12" s="1"/>
      <c r="F12" s="20"/>
      <c r="G12" s="1"/>
      <c r="H12" s="1"/>
      <c r="I12" s="1"/>
      <c r="J12" s="1"/>
      <c r="K12" s="1"/>
      <c r="L12" s="1"/>
      <c r="M12" s="1"/>
      <c r="N12" s="1"/>
      <c r="O12" s="1"/>
    </row>
    <row r="13" spans="1:16" ht="35.25" customHeight="1" x14ac:dyDescent="0.4">
      <c r="B13" s="1"/>
      <c r="C13" s="1"/>
      <c r="D13" s="39"/>
      <c r="E13" s="1"/>
      <c r="F13" s="20"/>
      <c r="G13" s="1"/>
      <c r="H13" s="1"/>
      <c r="I13" s="1"/>
      <c r="J13" s="1"/>
      <c r="K13" s="1"/>
      <c r="L13" s="1"/>
      <c r="M13" s="1"/>
      <c r="N13" s="1"/>
      <c r="O13" s="1"/>
    </row>
    <row r="14" spans="1:16" ht="35.25" customHeight="1" thickBot="1" x14ac:dyDescent="0.45">
      <c r="B14" s="1"/>
      <c r="C14" s="50"/>
      <c r="D14" s="50" t="s">
        <v>131</v>
      </c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1"/>
    </row>
    <row r="15" spans="1:16" ht="35.25" customHeight="1" thickTop="1" x14ac:dyDescent="0.4">
      <c r="B15" s="1"/>
      <c r="C15" s="1">
        <v>1</v>
      </c>
      <c r="D15" s="1" t="s">
        <v>133</v>
      </c>
      <c r="E15" s="21" t="s">
        <v>134</v>
      </c>
      <c r="F15" s="1"/>
      <c r="G15" s="1"/>
      <c r="H15" s="1"/>
      <c r="I15" s="1"/>
      <c r="J15" s="1"/>
      <c r="K15" s="1"/>
      <c r="L15" s="1"/>
      <c r="M15" s="1"/>
      <c r="N15" s="1"/>
      <c r="O15" s="1"/>
    </row>
    <row r="16" spans="1:16" ht="35.25" customHeight="1" x14ac:dyDescent="0.4">
      <c r="B16" s="1"/>
      <c r="C16" s="1"/>
      <c r="D16" s="1"/>
      <c r="E16" s="21" t="s">
        <v>235</v>
      </c>
      <c r="F16" s="1"/>
      <c r="G16" s="1"/>
      <c r="H16" s="1"/>
      <c r="I16" s="1"/>
      <c r="J16" s="1"/>
      <c r="K16" s="1"/>
      <c r="L16" s="1"/>
      <c r="M16" s="1"/>
      <c r="N16" s="1"/>
      <c r="O16" s="1"/>
    </row>
    <row r="17" spans="2:15" ht="35.25" customHeight="1" x14ac:dyDescent="0.4">
      <c r="B17" s="1"/>
      <c r="C17" s="1"/>
      <c r="D17" s="1"/>
      <c r="E17" s="21" t="s">
        <v>252</v>
      </c>
      <c r="F17" s="1"/>
      <c r="G17" s="1"/>
      <c r="H17" s="1"/>
      <c r="I17" s="1"/>
      <c r="J17" s="1"/>
      <c r="K17" s="1"/>
      <c r="L17" s="1"/>
      <c r="M17" s="1"/>
      <c r="N17" s="1"/>
      <c r="O17" s="1"/>
    </row>
    <row r="18" spans="2:15" ht="15" customHeight="1" x14ac:dyDescent="0.4">
      <c r="B18" s="1"/>
      <c r="C18" s="1"/>
      <c r="D18" s="1"/>
      <c r="E18" s="21"/>
      <c r="F18" s="1"/>
      <c r="G18" s="1"/>
      <c r="H18" s="1"/>
      <c r="I18" s="1"/>
      <c r="J18" s="1"/>
      <c r="K18" s="1"/>
      <c r="L18" s="1"/>
      <c r="M18" s="1"/>
      <c r="N18" s="1"/>
      <c r="O18" s="1"/>
    </row>
    <row r="19" spans="2:15" ht="35.25" customHeight="1" x14ac:dyDescent="0.4">
      <c r="B19" s="1"/>
      <c r="C19" s="1">
        <v>1</v>
      </c>
      <c r="D19" s="1" t="s">
        <v>292</v>
      </c>
      <c r="E19" s="21" t="s">
        <v>236</v>
      </c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2:15" ht="35.25" customHeight="1" x14ac:dyDescent="0.4">
      <c r="B20" s="1"/>
      <c r="C20" s="1"/>
      <c r="D20" s="1"/>
      <c r="E20" s="21" t="s">
        <v>237</v>
      </c>
      <c r="F20" s="1"/>
      <c r="G20" s="1"/>
      <c r="H20" s="1"/>
      <c r="I20" s="1"/>
      <c r="J20" s="1"/>
      <c r="K20" s="1"/>
      <c r="L20" s="1"/>
      <c r="M20" s="1"/>
      <c r="N20" s="1"/>
      <c r="O20" s="1"/>
    </row>
    <row r="21" spans="2:15" ht="35.25" customHeight="1" x14ac:dyDescent="0.4">
      <c r="B21" s="1"/>
      <c r="C21" s="1"/>
      <c r="D21" s="1"/>
      <c r="E21" s="21" t="s">
        <v>253</v>
      </c>
      <c r="F21" s="1"/>
      <c r="G21" s="1"/>
      <c r="H21" s="1"/>
      <c r="I21" s="1"/>
      <c r="J21" s="1"/>
      <c r="K21" s="1"/>
      <c r="L21" s="1"/>
      <c r="M21" s="1"/>
      <c r="N21" s="1"/>
      <c r="O21" s="1"/>
    </row>
    <row r="22" spans="2:15" ht="15" customHeight="1" x14ac:dyDescent="0.4">
      <c r="B22" s="1"/>
      <c r="C22" s="1"/>
      <c r="D22" s="1"/>
      <c r="E22" s="21"/>
      <c r="F22" s="1"/>
      <c r="G22" s="1"/>
      <c r="H22" s="1"/>
      <c r="I22" s="1"/>
      <c r="J22" s="1"/>
      <c r="K22" s="1"/>
      <c r="L22" s="1"/>
      <c r="M22" s="1"/>
      <c r="N22" s="1"/>
      <c r="O22" s="1"/>
    </row>
    <row r="23" spans="2:15" ht="35.25" customHeight="1" x14ac:dyDescent="0.4">
      <c r="B23" s="1"/>
      <c r="C23" s="1">
        <v>1</v>
      </c>
      <c r="D23" s="1" t="s">
        <v>122</v>
      </c>
      <c r="E23" s="21" t="s">
        <v>290</v>
      </c>
      <c r="F23" s="1"/>
      <c r="G23" s="1"/>
      <c r="H23" s="1"/>
      <c r="I23" s="1"/>
      <c r="J23" s="1"/>
      <c r="K23" s="1"/>
      <c r="L23" s="1"/>
      <c r="M23" s="1"/>
      <c r="N23" s="1"/>
      <c r="O23" s="1"/>
    </row>
    <row r="24" spans="2:15" ht="35.25" customHeight="1" x14ac:dyDescent="0.4">
      <c r="B24" s="1"/>
      <c r="C24" s="1">
        <v>1</v>
      </c>
      <c r="D24" s="1" t="s">
        <v>26</v>
      </c>
      <c r="E24" s="21" t="s">
        <v>284</v>
      </c>
      <c r="F24" s="1"/>
      <c r="G24" s="1"/>
      <c r="H24" s="1"/>
      <c r="I24" s="1"/>
      <c r="J24" s="1"/>
      <c r="K24" s="1"/>
      <c r="L24" s="1"/>
      <c r="M24" s="1"/>
      <c r="N24" s="1"/>
      <c r="O24" s="1"/>
    </row>
    <row r="25" spans="2:15" ht="35.25" customHeight="1" x14ac:dyDescent="0.4">
      <c r="B25" s="1"/>
      <c r="C25" s="1">
        <v>1</v>
      </c>
      <c r="D25" s="1" t="s">
        <v>88</v>
      </c>
      <c r="E25" s="82">
        <v>1</v>
      </c>
      <c r="F25" s="83" t="s">
        <v>238</v>
      </c>
      <c r="G25" s="1"/>
      <c r="H25" s="82">
        <v>1</v>
      </c>
      <c r="I25" s="83" t="s">
        <v>304</v>
      </c>
      <c r="J25" s="1"/>
      <c r="K25" s="1"/>
      <c r="L25" s="1"/>
      <c r="M25" s="1"/>
      <c r="N25" s="1"/>
      <c r="O25" s="1"/>
    </row>
    <row r="26" spans="2:15" ht="35.25" customHeight="1" x14ac:dyDescent="0.4">
      <c r="B26" s="1"/>
      <c r="C26" s="1"/>
      <c r="D26" s="1"/>
      <c r="E26" s="82">
        <v>0</v>
      </c>
      <c r="F26" s="83" t="s">
        <v>83</v>
      </c>
      <c r="G26" s="1"/>
      <c r="H26" s="82">
        <v>-0.01</v>
      </c>
      <c r="I26" s="83" t="s">
        <v>303</v>
      </c>
      <c r="J26" s="1"/>
      <c r="K26" s="1"/>
      <c r="L26" s="1"/>
      <c r="M26" s="1"/>
      <c r="N26" s="1"/>
      <c r="O26" s="1"/>
    </row>
    <row r="27" spans="2:15" ht="35.25" customHeight="1" x14ac:dyDescent="0.4">
      <c r="B27" s="1"/>
      <c r="C27" s="1"/>
      <c r="D27" s="1"/>
      <c r="E27" s="82">
        <v>-0.01</v>
      </c>
      <c r="F27" s="83" t="s">
        <v>84</v>
      </c>
      <c r="G27" s="1"/>
      <c r="H27" s="82"/>
      <c r="I27" s="112"/>
      <c r="J27" s="1"/>
      <c r="K27" s="1"/>
      <c r="L27" s="1"/>
      <c r="M27" s="1"/>
      <c r="N27" s="1"/>
      <c r="O27" s="1"/>
    </row>
    <row r="28" spans="2:15" ht="35.25" customHeight="1" x14ac:dyDescent="0.4">
      <c r="B28" s="1"/>
      <c r="C28" s="1"/>
      <c r="D28" s="1"/>
      <c r="E28" s="82"/>
      <c r="F28" s="83"/>
      <c r="G28" s="1"/>
      <c r="H28" s="82"/>
      <c r="I28" s="112"/>
      <c r="J28" s="1"/>
      <c r="K28" s="1"/>
      <c r="L28" s="1"/>
      <c r="M28" s="1"/>
      <c r="N28" s="1"/>
      <c r="O28" s="1"/>
    </row>
    <row r="29" spans="2:15" ht="35.25" customHeight="1" thickBot="1" x14ac:dyDescent="0.45">
      <c r="B29" s="1"/>
      <c r="C29" s="50">
        <v>1</v>
      </c>
      <c r="D29" s="134" t="s">
        <v>302</v>
      </c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1"/>
    </row>
    <row r="30" spans="2:15" ht="35.25" customHeight="1" thickTop="1" x14ac:dyDescent="0.4">
      <c r="B30" s="1"/>
      <c r="C30" s="1">
        <v>1</v>
      </c>
      <c r="D30" s="1" t="s">
        <v>81</v>
      </c>
      <c r="E30" s="21" t="s">
        <v>285</v>
      </c>
      <c r="F30" s="1"/>
      <c r="G30" s="1"/>
      <c r="H30" s="1"/>
      <c r="I30" s="1"/>
      <c r="J30" s="1"/>
      <c r="K30" s="1"/>
      <c r="L30" s="1"/>
      <c r="M30" s="1"/>
      <c r="N30" s="1"/>
      <c r="O30" s="1"/>
    </row>
    <row r="31" spans="2:15" ht="35.25" customHeight="1" x14ac:dyDescent="0.4">
      <c r="B31" s="1"/>
      <c r="C31" s="1"/>
      <c r="D31" s="1"/>
      <c r="E31" s="21" t="s">
        <v>286</v>
      </c>
      <c r="F31" s="1"/>
      <c r="G31" s="1"/>
      <c r="H31" s="1"/>
      <c r="I31" s="1"/>
      <c r="J31" s="1"/>
      <c r="K31" s="1"/>
      <c r="L31" s="1"/>
      <c r="M31" s="1"/>
      <c r="N31" s="1"/>
      <c r="O31" s="1"/>
    </row>
    <row r="32" spans="2:15" ht="15" customHeight="1" x14ac:dyDescent="0.4">
      <c r="B32" s="1"/>
      <c r="C32" s="1"/>
      <c r="D32" s="1"/>
      <c r="E32" s="21"/>
      <c r="F32" s="1"/>
      <c r="G32" s="1"/>
      <c r="H32" s="1"/>
      <c r="I32" s="1"/>
      <c r="J32" s="1"/>
      <c r="K32" s="1"/>
      <c r="L32" s="1"/>
      <c r="M32" s="1"/>
      <c r="N32" s="1"/>
      <c r="O32" s="1"/>
    </row>
    <row r="33" spans="2:15" ht="35.25" customHeight="1" x14ac:dyDescent="0.4">
      <c r="B33" s="1"/>
      <c r="C33" s="1">
        <v>1</v>
      </c>
      <c r="D33" s="1" t="s">
        <v>305</v>
      </c>
      <c r="E33" s="21" t="s">
        <v>307</v>
      </c>
      <c r="F33" s="1"/>
      <c r="G33" s="1"/>
      <c r="H33" s="1"/>
      <c r="I33" s="1"/>
      <c r="J33" s="1"/>
      <c r="K33" s="1"/>
      <c r="L33" s="1"/>
      <c r="M33" s="1"/>
      <c r="N33" s="1"/>
      <c r="O33" s="1"/>
    </row>
    <row r="34" spans="2:15" ht="35.25" customHeight="1" x14ac:dyDescent="0.4">
      <c r="B34" s="1"/>
      <c r="C34" s="1"/>
      <c r="D34" s="1"/>
      <c r="E34" s="21" t="s">
        <v>308</v>
      </c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2:15" ht="35.25" customHeight="1" x14ac:dyDescent="0.4">
      <c r="B35" s="1"/>
      <c r="C35" s="1"/>
      <c r="D35" s="1"/>
      <c r="E35" s="21" t="s">
        <v>306</v>
      </c>
      <c r="F35" s="1"/>
      <c r="G35" s="1"/>
      <c r="H35" s="1"/>
      <c r="I35" s="1"/>
      <c r="J35" s="1"/>
      <c r="K35" s="1"/>
      <c r="L35" s="1"/>
      <c r="M35" s="1"/>
      <c r="N35" s="1"/>
      <c r="O35" s="1"/>
    </row>
    <row r="36" spans="2:15" ht="15" customHeight="1" x14ac:dyDescent="0.4">
      <c r="B36" s="1"/>
      <c r="C36" s="1"/>
      <c r="D36" s="1"/>
      <c r="E36" s="21"/>
      <c r="F36" s="1"/>
      <c r="G36" s="1"/>
      <c r="H36" s="1"/>
      <c r="I36" s="1"/>
      <c r="J36" s="1"/>
      <c r="K36" s="1"/>
      <c r="L36" s="1"/>
      <c r="M36" s="1"/>
      <c r="N36" s="1"/>
      <c r="O36" s="1"/>
    </row>
    <row r="37" spans="2:15" ht="35.25" customHeight="1" x14ac:dyDescent="0.4">
      <c r="B37" s="1"/>
      <c r="C37" s="1">
        <v>1</v>
      </c>
      <c r="D37" s="1" t="s">
        <v>135</v>
      </c>
      <c r="E37" s="21" t="s">
        <v>293</v>
      </c>
      <c r="F37" s="1"/>
      <c r="G37" s="1"/>
      <c r="H37" s="1"/>
      <c r="I37" s="1"/>
      <c r="J37" s="1"/>
      <c r="K37" s="1"/>
      <c r="L37" s="1"/>
      <c r="M37" s="1"/>
      <c r="N37" s="1"/>
      <c r="O37" s="1"/>
    </row>
    <row r="38" spans="2:15" ht="35.25" customHeight="1" x14ac:dyDescent="0.4">
      <c r="B38" s="1"/>
      <c r="C38" s="1"/>
      <c r="D38" s="1"/>
      <c r="E38" s="21" t="s">
        <v>294</v>
      </c>
      <c r="F38" s="1"/>
      <c r="G38" s="1"/>
      <c r="H38" s="1"/>
      <c r="I38" s="1"/>
      <c r="J38" s="1"/>
      <c r="K38" s="1"/>
      <c r="L38" s="1"/>
      <c r="M38" s="1"/>
      <c r="N38" s="1"/>
      <c r="O38" s="1"/>
    </row>
    <row r="39" spans="2:15" ht="15" customHeight="1" x14ac:dyDescent="0.4">
      <c r="B39" s="1"/>
      <c r="C39" s="1"/>
      <c r="D39" s="1"/>
      <c r="E39" s="21"/>
      <c r="F39" s="1"/>
      <c r="G39" s="1"/>
      <c r="H39" s="1"/>
      <c r="I39" s="1"/>
      <c r="J39" s="1"/>
      <c r="K39" s="1"/>
      <c r="L39" s="1"/>
      <c r="M39" s="1"/>
      <c r="N39" s="1"/>
      <c r="O39" s="1"/>
    </row>
    <row r="40" spans="2:15" ht="35.25" customHeight="1" x14ac:dyDescent="0.4">
      <c r="B40" s="1"/>
      <c r="C40" s="1">
        <v>1</v>
      </c>
      <c r="D40" s="1" t="s">
        <v>297</v>
      </c>
      <c r="E40" s="21" t="s">
        <v>298</v>
      </c>
      <c r="F40" s="1"/>
      <c r="G40" s="1"/>
      <c r="H40" s="1"/>
      <c r="I40" s="1"/>
      <c r="J40" s="1"/>
      <c r="K40" s="1"/>
      <c r="L40" s="1"/>
      <c r="M40" s="1"/>
      <c r="N40" s="1"/>
      <c r="O40" s="1"/>
    </row>
    <row r="41" spans="2:15" ht="35.25" customHeight="1" x14ac:dyDescent="0.4">
      <c r="B41" s="1"/>
      <c r="C41" s="1">
        <v>1</v>
      </c>
      <c r="D41" s="1" t="s">
        <v>233</v>
      </c>
      <c r="E41" s="21" t="s">
        <v>299</v>
      </c>
      <c r="F41" s="1"/>
      <c r="G41" s="1"/>
      <c r="H41" s="1"/>
      <c r="I41" s="1"/>
      <c r="J41" s="1"/>
      <c r="K41" s="1"/>
      <c r="L41" s="1"/>
      <c r="M41" s="1"/>
      <c r="N41" s="1"/>
      <c r="O41" s="1"/>
    </row>
    <row r="42" spans="2:15" ht="35.25" customHeight="1" x14ac:dyDescent="0.4">
      <c r="B42" s="1"/>
      <c r="C42" s="1">
        <v>1</v>
      </c>
      <c r="D42" s="1" t="s">
        <v>234</v>
      </c>
      <c r="E42" s="21" t="s">
        <v>296</v>
      </c>
      <c r="F42" s="1"/>
      <c r="G42" s="1"/>
      <c r="H42" s="1"/>
      <c r="I42" s="1"/>
      <c r="J42" s="1"/>
      <c r="K42" s="1"/>
      <c r="L42" s="1"/>
      <c r="M42" s="1"/>
      <c r="N42" s="1"/>
      <c r="O42" s="1"/>
    </row>
    <row r="43" spans="2:15" ht="35.25" customHeight="1" x14ac:dyDescent="0.4">
      <c r="B43" s="1"/>
      <c r="C43" s="1">
        <v>1</v>
      </c>
      <c r="D43" s="1" t="s">
        <v>283</v>
      </c>
      <c r="E43" s="21" t="s">
        <v>287</v>
      </c>
      <c r="F43" s="1"/>
      <c r="G43" s="1"/>
      <c r="H43" s="1"/>
      <c r="I43" s="1"/>
      <c r="J43" s="1"/>
      <c r="K43" s="1"/>
      <c r="L43" s="1"/>
      <c r="M43" s="1"/>
      <c r="N43" s="1"/>
      <c r="O43" s="1"/>
    </row>
    <row r="44" spans="2:15" ht="35.25" customHeight="1" x14ac:dyDescent="0.4">
      <c r="B44" s="1"/>
      <c r="C44" s="1">
        <v>1</v>
      </c>
      <c r="D44" s="1" t="s">
        <v>250</v>
      </c>
      <c r="E44" s="21" t="s">
        <v>251</v>
      </c>
      <c r="F44" s="20"/>
      <c r="G44" s="1"/>
      <c r="H44" s="1"/>
      <c r="I44" s="1"/>
      <c r="J44" s="1"/>
      <c r="K44" s="1"/>
      <c r="L44" s="1"/>
      <c r="M44" s="1"/>
      <c r="N44" s="1"/>
      <c r="O44" s="1"/>
    </row>
    <row r="45" spans="2:15" ht="35.25" customHeight="1" x14ac:dyDescent="0.4">
      <c r="B45" s="1"/>
      <c r="C45" s="1">
        <v>1</v>
      </c>
      <c r="D45" s="1" t="s">
        <v>271</v>
      </c>
      <c r="E45" s="21" t="s">
        <v>289</v>
      </c>
      <c r="F45" s="20"/>
      <c r="G45" s="1"/>
      <c r="H45" s="1"/>
      <c r="I45" s="1"/>
      <c r="J45" s="1"/>
      <c r="K45" s="1"/>
      <c r="L45" s="1"/>
      <c r="M45" s="1"/>
      <c r="N45" s="1"/>
      <c r="O45" s="1"/>
    </row>
    <row r="46" spans="2:15" ht="35.25" customHeight="1" x14ac:dyDescent="0.4">
      <c r="B46" s="1"/>
      <c r="C46" s="1"/>
      <c r="D46" s="1"/>
      <c r="E46" s="21" t="s">
        <v>288</v>
      </c>
      <c r="F46" s="1"/>
      <c r="G46" s="1"/>
      <c r="H46" s="1"/>
      <c r="I46" s="1"/>
      <c r="J46" s="1"/>
      <c r="K46" s="1"/>
      <c r="L46" s="1"/>
      <c r="M46" s="1"/>
      <c r="N46" s="1"/>
      <c r="O46" s="1"/>
    </row>
    <row r="47" spans="2:15" ht="35.25" customHeight="1" x14ac:dyDescent="0.4">
      <c r="B47" s="1"/>
      <c r="C47" s="1"/>
      <c r="D47" s="1"/>
      <c r="E47" s="21" t="s">
        <v>295</v>
      </c>
      <c r="F47" s="1"/>
      <c r="G47" s="1"/>
      <c r="H47" s="1"/>
      <c r="I47" s="1"/>
      <c r="J47" s="1"/>
      <c r="K47" s="1"/>
      <c r="L47" s="1"/>
      <c r="M47" s="1"/>
      <c r="N47" s="1"/>
      <c r="O47" s="1"/>
    </row>
    <row r="48" spans="2:15" ht="35.25" customHeight="1" x14ac:dyDescent="0.4">
      <c r="B48" s="1"/>
      <c r="C48" s="1"/>
      <c r="D48" s="1"/>
      <c r="E48" s="1"/>
      <c r="F48" s="20"/>
      <c r="G48" s="1"/>
      <c r="H48" s="1"/>
      <c r="I48" s="1"/>
      <c r="J48" s="1"/>
      <c r="K48" s="1"/>
      <c r="L48" s="1"/>
      <c r="M48" s="1"/>
      <c r="N48" s="1"/>
      <c r="O48" s="1"/>
    </row>
    <row r="49" spans="2:15" ht="35.25" customHeight="1" thickBot="1" x14ac:dyDescent="0.45">
      <c r="B49" s="1"/>
      <c r="C49" s="50"/>
      <c r="D49" s="51" t="s">
        <v>242</v>
      </c>
      <c r="E49" s="50"/>
      <c r="F49" s="52"/>
      <c r="G49" s="50"/>
      <c r="H49" s="50"/>
      <c r="I49" s="50"/>
      <c r="J49" s="50"/>
      <c r="K49" s="50"/>
      <c r="L49" s="50"/>
      <c r="M49" s="50"/>
      <c r="N49" s="50"/>
      <c r="O49" s="1"/>
    </row>
    <row r="50" spans="2:15" ht="35.25" customHeight="1" thickTop="1" x14ac:dyDescent="0.4">
      <c r="B50" s="1"/>
      <c r="C50" s="114">
        <v>1</v>
      </c>
      <c r="D50" s="46" t="s">
        <v>274</v>
      </c>
      <c r="E50" s="114"/>
      <c r="F50" s="113"/>
      <c r="G50" s="114"/>
      <c r="H50" s="114"/>
      <c r="I50" s="114"/>
      <c r="J50" s="114"/>
      <c r="K50" s="114"/>
      <c r="L50" s="114"/>
      <c r="M50" s="114"/>
      <c r="N50" s="114"/>
      <c r="O50" s="1"/>
    </row>
    <row r="51" spans="2:15" ht="35.25" customHeight="1" x14ac:dyDescent="0.4">
      <c r="B51" s="1"/>
      <c r="C51" s="114">
        <v>1</v>
      </c>
      <c r="D51" s="46" t="s">
        <v>291</v>
      </c>
      <c r="E51" s="114"/>
      <c r="F51" s="113"/>
      <c r="G51" s="114"/>
      <c r="H51" s="114"/>
      <c r="I51" s="114"/>
      <c r="J51" s="114"/>
      <c r="K51" s="114"/>
      <c r="L51" s="114"/>
      <c r="M51" s="114"/>
      <c r="N51" s="114"/>
      <c r="O51" s="1"/>
    </row>
    <row r="52" spans="2:15" ht="35.25" customHeight="1" x14ac:dyDescent="0.4">
      <c r="B52" s="1"/>
      <c r="C52" s="1">
        <v>0</v>
      </c>
      <c r="D52" s="46" t="s">
        <v>254</v>
      </c>
      <c r="E52" s="1"/>
      <c r="F52" s="20"/>
      <c r="G52" s="1"/>
      <c r="H52" s="1"/>
      <c r="I52" s="1"/>
      <c r="J52" s="1"/>
      <c r="K52" s="1"/>
      <c r="L52" s="1"/>
      <c r="M52" s="1"/>
      <c r="N52" s="1"/>
      <c r="O52" s="1"/>
    </row>
    <row r="53" spans="2:15" ht="35.25" customHeight="1" thickBot="1" x14ac:dyDescent="0.45">
      <c r="B53" s="1"/>
      <c r="C53" s="1"/>
      <c r="D53" s="53" t="s">
        <v>243</v>
      </c>
      <c r="E53" s="49"/>
      <c r="F53" s="49"/>
      <c r="G53" s="48"/>
      <c r="H53" s="48"/>
      <c r="I53" s="48"/>
      <c r="J53" s="48"/>
      <c r="K53" s="48"/>
      <c r="L53" s="48"/>
      <c r="M53" s="48"/>
      <c r="N53" s="48"/>
      <c r="O53" s="1"/>
    </row>
    <row r="54" spans="2:15" ht="144.75" customHeight="1" x14ac:dyDescent="0.4">
      <c r="B54" s="1"/>
      <c r="C54" s="1"/>
      <c r="D54" s="39"/>
      <c r="E54" s="1"/>
      <c r="F54" s="20"/>
      <c r="G54" s="1"/>
      <c r="H54" s="1"/>
      <c r="I54" s="1"/>
      <c r="J54" s="1"/>
      <c r="K54" s="1"/>
      <c r="L54" s="1"/>
      <c r="M54" s="1"/>
      <c r="N54" s="1"/>
      <c r="O54" s="1"/>
    </row>
    <row r="55" spans="2:15" ht="15" customHeight="1" x14ac:dyDescent="0.4">
      <c r="B55" s="1"/>
      <c r="C55" s="1"/>
      <c r="D55" s="39"/>
      <c r="E55" s="1"/>
      <c r="F55" s="20"/>
      <c r="G55" s="1"/>
      <c r="H55" s="1"/>
      <c r="I55" s="1"/>
      <c r="J55" s="1"/>
      <c r="K55" s="1"/>
      <c r="L55" s="1"/>
      <c r="M55" s="1"/>
      <c r="N55" s="1"/>
      <c r="O55" s="1"/>
    </row>
    <row r="56" spans="2:15" ht="35.25" customHeight="1" thickBot="1" x14ac:dyDescent="0.45">
      <c r="B56" s="1"/>
      <c r="C56" s="1"/>
      <c r="D56" s="53" t="s">
        <v>247</v>
      </c>
      <c r="E56" s="48"/>
      <c r="F56" s="49"/>
      <c r="G56" s="48"/>
      <c r="H56" s="48"/>
      <c r="I56" s="48"/>
      <c r="J56" s="48"/>
      <c r="K56" s="48"/>
      <c r="L56" s="48"/>
      <c r="M56" s="48"/>
      <c r="N56" s="48"/>
      <c r="O56" s="1"/>
    </row>
    <row r="57" spans="2:15" ht="140.25" customHeight="1" x14ac:dyDescent="0.4">
      <c r="B57" s="1"/>
      <c r="C57" s="1"/>
      <c r="D57" s="39"/>
      <c r="E57" s="1"/>
      <c r="F57" s="20"/>
      <c r="G57" s="1"/>
      <c r="H57" s="1"/>
      <c r="I57" s="1"/>
      <c r="J57" s="1"/>
      <c r="K57" s="1"/>
      <c r="L57" s="1"/>
      <c r="M57" s="1"/>
      <c r="N57" s="1"/>
      <c r="O57" s="1"/>
    </row>
    <row r="58" spans="2:15" ht="15" customHeight="1" x14ac:dyDescent="0.4">
      <c r="B58" s="1"/>
      <c r="C58" s="1"/>
      <c r="D58" s="39"/>
      <c r="E58" s="1"/>
      <c r="F58" s="20"/>
      <c r="G58" s="1"/>
      <c r="H58" s="1"/>
      <c r="I58" s="1"/>
      <c r="J58" s="1"/>
      <c r="K58" s="1"/>
      <c r="L58" s="1"/>
      <c r="M58" s="1"/>
      <c r="N58" s="1"/>
      <c r="O58" s="1"/>
    </row>
    <row r="59" spans="2:15" ht="35.25" customHeight="1" thickBot="1" x14ac:dyDescent="0.45">
      <c r="B59" s="1"/>
      <c r="C59" s="1"/>
      <c r="D59" s="53" t="s">
        <v>248</v>
      </c>
      <c r="E59" s="48"/>
      <c r="F59" s="49"/>
      <c r="G59" s="48"/>
      <c r="H59" s="48"/>
      <c r="I59" s="48"/>
      <c r="J59" s="48"/>
      <c r="K59" s="48"/>
      <c r="L59" s="48"/>
      <c r="M59" s="48"/>
      <c r="N59" s="48"/>
      <c r="O59" s="1"/>
    </row>
    <row r="60" spans="2:15" ht="162" customHeight="1" x14ac:dyDescent="0.4">
      <c r="B60" s="1"/>
      <c r="C60" s="1"/>
      <c r="D60" s="39"/>
      <c r="E60" s="1"/>
      <c r="F60" s="20"/>
      <c r="G60" s="1"/>
      <c r="H60" s="1"/>
      <c r="I60" s="1"/>
      <c r="J60" s="1"/>
      <c r="K60" s="1"/>
      <c r="L60" s="1"/>
      <c r="M60" s="1"/>
      <c r="N60" s="1"/>
      <c r="O60" s="1"/>
    </row>
    <row r="61" spans="2:15" ht="15" customHeight="1" x14ac:dyDescent="0.4">
      <c r="B61" s="1"/>
      <c r="C61" s="1"/>
      <c r="D61" s="39"/>
      <c r="E61" s="1"/>
      <c r="F61" s="20"/>
      <c r="G61" s="1"/>
      <c r="H61" s="1"/>
      <c r="I61" s="1"/>
      <c r="J61" s="1"/>
      <c r="K61" s="1"/>
      <c r="L61" s="1"/>
      <c r="M61" s="1"/>
      <c r="N61" s="1"/>
      <c r="O61" s="1"/>
    </row>
    <row r="62" spans="2:15" ht="35.25" customHeight="1" thickBot="1" x14ac:dyDescent="0.45">
      <c r="B62" s="1"/>
      <c r="C62" s="1"/>
      <c r="D62" s="53" t="s">
        <v>244</v>
      </c>
      <c r="E62" s="48"/>
      <c r="F62" s="49"/>
      <c r="G62" s="48"/>
      <c r="H62" s="48"/>
      <c r="I62" s="48"/>
      <c r="J62" s="48"/>
      <c r="K62" s="48"/>
      <c r="L62" s="48"/>
      <c r="M62" s="48"/>
      <c r="N62" s="48"/>
      <c r="O62" s="1"/>
    </row>
    <row r="63" spans="2:15" ht="34.5" customHeight="1" x14ac:dyDescent="0.4">
      <c r="B63" s="1"/>
      <c r="C63" s="1"/>
      <c r="D63" s="47" t="s">
        <v>245</v>
      </c>
      <c r="E63" s="1"/>
      <c r="F63" s="20"/>
      <c r="G63" s="1"/>
      <c r="H63" s="1"/>
      <c r="I63" s="1"/>
      <c r="J63" s="1"/>
      <c r="K63" s="1"/>
      <c r="L63" s="1"/>
      <c r="M63" s="1"/>
      <c r="N63" s="1"/>
      <c r="O63" s="1"/>
    </row>
    <row r="64" spans="2:15" ht="35.25" customHeight="1" x14ac:dyDescent="0.4">
      <c r="B64" s="1"/>
      <c r="C64" s="1"/>
      <c r="D64" s="47" t="s">
        <v>246</v>
      </c>
      <c r="E64" s="1"/>
      <c r="F64" s="20"/>
      <c r="G64" s="1"/>
      <c r="H64" s="1"/>
      <c r="I64" s="1"/>
      <c r="J64" s="1"/>
      <c r="K64" s="1"/>
      <c r="L64" s="1"/>
      <c r="M64" s="1"/>
      <c r="N64" s="1"/>
      <c r="O64" s="1"/>
    </row>
    <row r="65" spans="2:15" ht="218.25" customHeight="1" x14ac:dyDescent="0.4">
      <c r="B65" s="1"/>
      <c r="C65" s="1"/>
      <c r="D65" s="39"/>
      <c r="E65" s="1"/>
      <c r="F65" s="20"/>
      <c r="G65" s="1"/>
      <c r="H65" s="1"/>
      <c r="I65" s="1"/>
      <c r="J65" s="1"/>
      <c r="K65" s="1"/>
      <c r="L65" s="1"/>
      <c r="M65" s="1"/>
      <c r="N65" s="1"/>
      <c r="O65" s="1"/>
    </row>
    <row r="66" spans="2:15" ht="8.25" customHeight="1" x14ac:dyDescent="0.4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spans="2:15" ht="14.25" customHeight="1" x14ac:dyDescent="0.4"/>
    <row r="68" spans="2:15" ht="40.1" hidden="1" customHeight="1" x14ac:dyDescent="0.4"/>
    <row r="69" spans="2:15" ht="40.1" hidden="1" customHeight="1" x14ac:dyDescent="0.4"/>
  </sheetData>
  <sheetProtection sheet="1" objects="1" scenarios="1" selectLockedCells="1" selectUnlockedCells="1"/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 H27:H28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H26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21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C1:C1048576 E25:E27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T84"/>
  <sheetViews>
    <sheetView showGridLines="0" zoomScaleNormal="100" workbookViewId="0">
      <selection activeCell="D7" sqref="D7"/>
    </sheetView>
  </sheetViews>
  <sheetFormatPr defaultColWidth="0" defaultRowHeight="40.1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8" width="16.69140625" style="1" customWidth="1"/>
    <col min="9" max="15" width="14.69140625" style="1" customWidth="1"/>
    <col min="16" max="19" width="14.69140625" style="1" hidden="1" customWidth="1"/>
    <col min="20" max="20" width="2.69140625" style="1" customWidth="1"/>
    <col min="21" max="16384" width="9.15234375" style="1" hidden="1"/>
  </cols>
  <sheetData>
    <row r="1" spans="2:19" s="133" customFormat="1" ht="6" customHeight="1" x14ac:dyDescent="0.4"/>
    <row r="2" spans="2:19" s="22" customFormat="1" ht="10.1" customHeight="1" x14ac:dyDescent="0.4"/>
    <row r="3" spans="2:19" s="22" customFormat="1" ht="40.1" customHeight="1" x14ac:dyDescent="0.45">
      <c r="B3" s="23"/>
      <c r="C3" s="41" t="s">
        <v>81</v>
      </c>
    </row>
    <row r="4" spans="2:19" s="22" customFormat="1" ht="8.25" customHeight="1" x14ac:dyDescent="0.4">
      <c r="B4" s="23"/>
      <c r="C4" s="24"/>
    </row>
    <row r="5" spans="2:19" s="22" customFormat="1" ht="40.1" customHeight="1" x14ac:dyDescent="0.4">
      <c r="B5" s="23"/>
      <c r="C5" s="42" t="s">
        <v>249</v>
      </c>
    </row>
    <row r="6" spans="2:19" ht="16.5" customHeight="1" x14ac:dyDescent="0.4">
      <c r="I6" s="25"/>
      <c r="J6" s="25"/>
      <c r="K6" s="25"/>
      <c r="L6" s="25"/>
      <c r="M6" s="25"/>
    </row>
    <row r="7" spans="2:19" ht="40.1" customHeight="1" x14ac:dyDescent="0.4">
      <c r="B7" s="26" t="s">
        <v>13</v>
      </c>
      <c r="C7" s="27" t="s">
        <v>12</v>
      </c>
      <c r="D7" s="120" t="s">
        <v>18</v>
      </c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</row>
    <row r="8" spans="2:19" ht="8.25" customHeight="1" x14ac:dyDescent="0.4"/>
    <row r="9" spans="2:19" ht="40.1" customHeight="1" x14ac:dyDescent="0.4">
      <c r="B9" s="26" t="s">
        <v>14</v>
      </c>
      <c r="C9" s="27" t="s">
        <v>216</v>
      </c>
      <c r="D9" s="27"/>
      <c r="E9" s="27"/>
      <c r="F9" s="27"/>
      <c r="G9" s="27" t="s">
        <v>273</v>
      </c>
      <c r="H9" s="163" t="s">
        <v>222</v>
      </c>
      <c r="I9" s="163"/>
      <c r="J9" s="163"/>
      <c r="K9" s="162" t="s">
        <v>239</v>
      </c>
      <c r="L9" s="162"/>
      <c r="M9" s="162"/>
      <c r="N9" s="162" t="s">
        <v>328</v>
      </c>
      <c r="O9" s="162"/>
      <c r="P9" s="162" t="s">
        <v>469</v>
      </c>
      <c r="Q9" s="162"/>
      <c r="R9" s="162"/>
      <c r="S9" s="162"/>
    </row>
    <row r="10" spans="2:19" ht="40.1" customHeight="1" x14ac:dyDescent="0.4">
      <c r="B10" s="26"/>
      <c r="C10" s="27"/>
      <c r="D10" s="28" t="s">
        <v>3</v>
      </c>
      <c r="E10" s="28" t="s">
        <v>221</v>
      </c>
      <c r="F10" s="28" t="s">
        <v>41</v>
      </c>
      <c r="G10" s="108" t="s">
        <v>272</v>
      </c>
      <c r="H10" s="28" t="s">
        <v>231</v>
      </c>
      <c r="I10" s="28" t="s">
        <v>255</v>
      </c>
      <c r="J10" s="28" t="s">
        <v>256</v>
      </c>
      <c r="K10" s="28" t="s">
        <v>220</v>
      </c>
      <c r="L10" s="28" t="s">
        <v>240</v>
      </c>
      <c r="M10" s="28" t="s">
        <v>223</v>
      </c>
      <c r="N10" s="161" t="s">
        <v>329</v>
      </c>
      <c r="O10" s="161" t="s">
        <v>330</v>
      </c>
      <c r="P10" s="161" t="s">
        <v>465</v>
      </c>
      <c r="Q10" s="161" t="s">
        <v>466</v>
      </c>
      <c r="R10" s="161" t="s">
        <v>467</v>
      </c>
      <c r="S10" s="161" t="s">
        <v>468</v>
      </c>
    </row>
    <row r="11" spans="2:19" ht="40.1" customHeight="1" x14ac:dyDescent="0.4">
      <c r="B11" s="26"/>
      <c r="C11" s="27"/>
      <c r="D11" s="38" t="str">
        <f>CONCATENATE(Store_Setting[[#This Row],[商品序号]], " | ", Store_Setting[[#This Row],[商品名称]])</f>
        <v>1 | 1</v>
      </c>
      <c r="E11" s="17">
        <v>1</v>
      </c>
      <c r="F11" s="119" t="s">
        <v>69</v>
      </c>
      <c r="G11" s="109">
        <f>Store_Setting[[#This Row],[库存负差]]-SUM(Store_Setting[[#This Row],[已存入]]-Store_Setting[[#This Row],[已支取]])</f>
        <v>0</v>
      </c>
      <c r="H11" s="18">
        <f>SUM(UserInfo[1 - 剩余])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Row],[入库小计]]-Store_Setting[[#This Row],[取货小计]]</f>
        <v>0</v>
      </c>
      <c r="L11" s="18">
        <f>SUMIFS(Store_History[数量],Store_History[唯一识别码],Store_Setting[[#This Row],[唯一识别码]],Store_History[类型],"入库")</f>
        <v>0</v>
      </c>
      <c r="M11" s="18">
        <f>SUMIFS(Store_History[数量],Store_History[唯一识别码],Store_Setting[[#This Row],[唯一识别码]],Store_History[类型],"取货")</f>
        <v>0</v>
      </c>
      <c r="N11" s="119" t="s">
        <v>126</v>
      </c>
      <c r="O11" s="119" t="s">
        <v>126</v>
      </c>
      <c r="P11" s="56" t="s">
        <v>371</v>
      </c>
      <c r="Q11" s="56" t="s">
        <v>332</v>
      </c>
      <c r="R11" s="56" t="s">
        <v>333</v>
      </c>
      <c r="S11" s="56" t="s">
        <v>331</v>
      </c>
    </row>
    <row r="12" spans="2:19" ht="40.1" customHeight="1" x14ac:dyDescent="0.4">
      <c r="B12" s="26"/>
      <c r="C12" s="27"/>
      <c r="D12" s="38" t="str">
        <f>CONCATENATE(Store_Setting[[#This Row],[商品序号]], " | ", Store_Setting[[#This Row],[商品名称]])</f>
        <v>2 | 2</v>
      </c>
      <c r="E12" s="17">
        <v>2</v>
      </c>
      <c r="F12" s="119" t="s">
        <v>70</v>
      </c>
      <c r="G12" s="109">
        <f>Store_Setting[[#This Row],[库存负差]]-SUM(Store_Setting[[#This Row],[已存入]]-Store_Setting[[#This Row],[已支取]])</f>
        <v>0</v>
      </c>
      <c r="H12" s="18">
        <f>SUM(UserInfo[2 - 剩余])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Row],[入库小计]]-Store_Setting[[#This Row],[取货小计]]</f>
        <v>0</v>
      </c>
      <c r="L12" s="18">
        <f>SUMIFS(Store_History[数量],Store_History[唯一识别码],Store_Setting[[#This Row],[唯一识别码]],Store_History[类型],"入库")</f>
        <v>0</v>
      </c>
      <c r="M12" s="18">
        <f>SUMIFS(Store_History[数量],Store_History[唯一识别码],Store_Setting[[#This Row],[唯一识别码]],Store_History[类型],"取货")</f>
        <v>0</v>
      </c>
      <c r="N12" s="119" t="s">
        <v>126</v>
      </c>
      <c r="O12" s="119" t="s">
        <v>126</v>
      </c>
      <c r="P12" s="56" t="s">
        <v>372</v>
      </c>
      <c r="Q12" s="56" t="s">
        <v>335</v>
      </c>
      <c r="R12" s="56" t="s">
        <v>336</v>
      </c>
      <c r="S12" s="56" t="s">
        <v>332</v>
      </c>
    </row>
    <row r="13" spans="2:19" ht="40.1" customHeight="1" x14ac:dyDescent="0.4">
      <c r="B13" s="26"/>
      <c r="C13" s="27"/>
      <c r="D13" s="38" t="str">
        <f>CONCATENATE(Store_Setting[[#This Row],[商品序号]], " | ", Store_Setting[[#This Row],[商品名称]])</f>
        <v xml:space="preserve">3 | </v>
      </c>
      <c r="E13" s="17">
        <v>3</v>
      </c>
      <c r="F13" s="119"/>
      <c r="G13" s="109">
        <f>Store_Setting[[#This Row],[库存负差]]-SUM(Store_Setting[[#This Row],[已存入]]-Store_Setting[[#This Row],[已支取]])</f>
        <v>0</v>
      </c>
      <c r="H13" s="18">
        <f>SUM(UserInfo[3 - 剩余])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Row],[入库小计]]-Store_Setting[[#This Row],[取货小计]]</f>
        <v>0</v>
      </c>
      <c r="L13" s="18">
        <f>SUMIFS(Store_History[数量],Store_History[唯一识别码],Store_Setting[[#This Row],[唯一识别码]],Store_History[类型],"入库")</f>
        <v>0</v>
      </c>
      <c r="M13" s="18">
        <f>SUMIFS(Store_History[数量],Store_History[唯一识别码],Store_Setting[[#This Row],[唯一识别码]],Store_History[类型],"取货")</f>
        <v>0</v>
      </c>
      <c r="N13" s="119" t="s">
        <v>126</v>
      </c>
      <c r="O13" s="119" t="s">
        <v>126</v>
      </c>
      <c r="P13" s="56" t="s">
        <v>373</v>
      </c>
      <c r="Q13" s="56" t="s">
        <v>338</v>
      </c>
      <c r="R13" s="56" t="s">
        <v>339</v>
      </c>
      <c r="S13" s="56" t="s">
        <v>333</v>
      </c>
    </row>
    <row r="14" spans="2:19" ht="40.1" customHeight="1" x14ac:dyDescent="0.4">
      <c r="B14" s="26"/>
      <c r="C14" s="27"/>
      <c r="D14" s="38" t="str">
        <f>CONCATENATE(Store_Setting[[#This Row],[商品序号]], " | ", Store_Setting[[#This Row],[商品名称]])</f>
        <v xml:space="preserve">4 | </v>
      </c>
      <c r="E14" s="17">
        <v>4</v>
      </c>
      <c r="F14" s="119"/>
      <c r="G14" s="109">
        <f>Store_Setting[[#This Row],[库存负差]]-SUM(Store_Setting[[#This Row],[已存入]]-Store_Setting[[#This Row],[已支取]])</f>
        <v>0</v>
      </c>
      <c r="H14" s="18">
        <f>SUM(UserInfo[4 - 剩余])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Row],[入库小计]]-Store_Setting[[#This Row],[取货小计]]</f>
        <v>0</v>
      </c>
      <c r="L14" s="18">
        <f>SUMIFS(Store_History[数量],Store_History[唯一识别码],Store_Setting[[#This Row],[唯一识别码]],Store_History[类型],"入库")</f>
        <v>0</v>
      </c>
      <c r="M14" s="18">
        <f>SUMIFS(Store_History[数量],Store_History[唯一识别码],Store_Setting[[#This Row],[唯一识别码]],Store_History[类型],"取货")</f>
        <v>0</v>
      </c>
      <c r="N14" s="119" t="s">
        <v>126</v>
      </c>
      <c r="O14" s="119" t="s">
        <v>126</v>
      </c>
      <c r="P14" s="56" t="s">
        <v>374</v>
      </c>
      <c r="Q14" s="56" t="s">
        <v>341</v>
      </c>
      <c r="R14" s="56" t="s">
        <v>342</v>
      </c>
      <c r="S14" s="56" t="s">
        <v>334</v>
      </c>
    </row>
    <row r="15" spans="2:19" ht="40.1" customHeight="1" x14ac:dyDescent="0.4">
      <c r="B15" s="26"/>
      <c r="C15" s="27"/>
      <c r="D15" s="38" t="str">
        <f>CONCATENATE(Store_Setting[[#This Row],[商品序号]], " | ", Store_Setting[[#This Row],[商品名称]])</f>
        <v xml:space="preserve">5 | </v>
      </c>
      <c r="E15" s="17">
        <v>5</v>
      </c>
      <c r="F15" s="119"/>
      <c r="G15" s="109">
        <f>Store_Setting[[#This Row],[库存负差]]-SUM(Store_Setting[[#This Row],[已存入]]-Store_Setting[[#This Row],[已支取]])</f>
        <v>0</v>
      </c>
      <c r="H15" s="18">
        <f>SUM(UserInfo[5 - 剩余])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Row],[入库小计]]-Store_Setting[[#This Row],[取货小计]]</f>
        <v>0</v>
      </c>
      <c r="L15" s="18">
        <f>SUMIFS(Store_History[数量],Store_History[唯一识别码],Store_Setting[[#This Row],[唯一识别码]],Store_History[类型],"入库")</f>
        <v>0</v>
      </c>
      <c r="M15" s="18">
        <f>SUMIFS(Store_History[数量],Store_History[唯一识别码],Store_Setting[[#This Row],[唯一识别码]],Store_History[类型],"取货")</f>
        <v>0</v>
      </c>
      <c r="N15" s="119" t="s">
        <v>126</v>
      </c>
      <c r="O15" s="119" t="s">
        <v>126</v>
      </c>
      <c r="P15" s="56" t="s">
        <v>375</v>
      </c>
      <c r="Q15" s="56" t="s">
        <v>344</v>
      </c>
      <c r="R15" s="56" t="s">
        <v>345</v>
      </c>
      <c r="S15" s="56" t="s">
        <v>335</v>
      </c>
    </row>
    <row r="16" spans="2:19" ht="40.1" customHeight="1" x14ac:dyDescent="0.4">
      <c r="B16" s="26"/>
      <c r="C16" s="27"/>
      <c r="D16" s="38" t="str">
        <f>CONCATENATE(Store_Setting[[#This Row],[商品序号]], " | ", Store_Setting[[#This Row],[商品名称]])</f>
        <v xml:space="preserve">6 | </v>
      </c>
      <c r="E16" s="17">
        <v>6</v>
      </c>
      <c r="F16" s="119"/>
      <c r="G16" s="109">
        <f>Store_Setting[[#This Row],[库存负差]]-SUM(Store_Setting[[#This Row],[已存入]]-Store_Setting[[#This Row],[已支取]])</f>
        <v>0</v>
      </c>
      <c r="H16" s="18">
        <f>SUM(UserInfo[6 - 剩余])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Row],[入库小计]]-Store_Setting[[#This Row],[取货小计]]</f>
        <v>0</v>
      </c>
      <c r="L16" s="18">
        <f>SUMIFS(Store_History[数量],Store_History[唯一识别码],Store_Setting[[#This Row],[唯一识别码]],Store_History[类型],"入库")</f>
        <v>0</v>
      </c>
      <c r="M16" s="18">
        <f>SUMIFS(Store_History[数量],Store_History[唯一识别码],Store_Setting[[#This Row],[唯一识别码]],Store_History[类型],"取货")</f>
        <v>0</v>
      </c>
      <c r="N16" s="119" t="s">
        <v>126</v>
      </c>
      <c r="O16" s="119" t="s">
        <v>126</v>
      </c>
      <c r="P16" s="56" t="s">
        <v>376</v>
      </c>
      <c r="Q16" s="56" t="s">
        <v>347</v>
      </c>
      <c r="R16" s="56" t="s">
        <v>348</v>
      </c>
      <c r="S16" s="56" t="s">
        <v>336</v>
      </c>
    </row>
    <row r="17" spans="2:19" ht="40.1" customHeight="1" x14ac:dyDescent="0.4">
      <c r="B17" s="26"/>
      <c r="C17" s="27"/>
      <c r="D17" s="38" t="str">
        <f>CONCATENATE(Store_Setting[[#This Row],[商品序号]], " | ", Store_Setting[[#This Row],[商品名称]])</f>
        <v xml:space="preserve">7 | </v>
      </c>
      <c r="E17" s="17">
        <v>7</v>
      </c>
      <c r="F17" s="119"/>
      <c r="G17" s="109">
        <f>Store_Setting[[#This Row],[库存负差]]-SUM(Store_Setting[[#This Row],[已存入]]-Store_Setting[[#This Row],[已支取]])</f>
        <v>0</v>
      </c>
      <c r="H17" s="18">
        <f>SUM(UserInfo[7 - 剩余])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Row],[入库小计]]-Store_Setting[[#This Row],[取货小计]]</f>
        <v>0</v>
      </c>
      <c r="L17" s="18">
        <f>SUMIFS(Store_History[数量],Store_History[唯一识别码],Store_Setting[[#This Row],[唯一识别码]],Store_History[类型],"入库")</f>
        <v>0</v>
      </c>
      <c r="M17" s="18">
        <f>SUMIFS(Store_History[数量],Store_History[唯一识别码],Store_Setting[[#This Row],[唯一识别码]],Store_History[类型],"取货")</f>
        <v>0</v>
      </c>
      <c r="N17" s="119" t="s">
        <v>126</v>
      </c>
      <c r="O17" s="119" t="s">
        <v>126</v>
      </c>
      <c r="P17" s="56" t="s">
        <v>377</v>
      </c>
      <c r="Q17" s="56" t="s">
        <v>350</v>
      </c>
      <c r="R17" s="56" t="s">
        <v>351</v>
      </c>
      <c r="S17" s="56" t="s">
        <v>337</v>
      </c>
    </row>
    <row r="18" spans="2:19" ht="40.1" customHeight="1" x14ac:dyDescent="0.4">
      <c r="B18" s="26"/>
      <c r="C18" s="27"/>
      <c r="D18" s="38" t="str">
        <f>CONCATENATE(Store_Setting[[#This Row],[商品序号]], " | ", Store_Setting[[#This Row],[商品名称]])</f>
        <v xml:space="preserve">8 | </v>
      </c>
      <c r="E18" s="17">
        <v>8</v>
      </c>
      <c r="F18" s="119"/>
      <c r="G18" s="109">
        <f>Store_Setting[[#This Row],[库存负差]]-SUM(Store_Setting[[#This Row],[已存入]]-Store_Setting[[#This Row],[已支取]])</f>
        <v>0</v>
      </c>
      <c r="H18" s="18">
        <f>SUM(UserInfo[8 - 剩余])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Row],[入库小计]]-Store_Setting[[#This Row],[取货小计]]</f>
        <v>0</v>
      </c>
      <c r="L18" s="18">
        <f>SUMIFS(Store_History[数量],Store_History[唯一识别码],Store_Setting[[#This Row],[唯一识别码]],Store_History[类型],"入库")</f>
        <v>0</v>
      </c>
      <c r="M18" s="18">
        <f>SUMIFS(Store_History[数量],Store_History[唯一识别码],Store_Setting[[#This Row],[唯一识别码]],Store_History[类型],"取货")</f>
        <v>0</v>
      </c>
      <c r="N18" s="119" t="s">
        <v>126</v>
      </c>
      <c r="O18" s="119" t="s">
        <v>126</v>
      </c>
      <c r="P18" s="56" t="s">
        <v>378</v>
      </c>
      <c r="Q18" s="56" t="s">
        <v>353</v>
      </c>
      <c r="R18" s="56" t="s">
        <v>369</v>
      </c>
      <c r="S18" s="56" t="s">
        <v>338</v>
      </c>
    </row>
    <row r="19" spans="2:19" ht="40.1" customHeight="1" x14ac:dyDescent="0.4">
      <c r="B19" s="26"/>
      <c r="C19" s="27"/>
      <c r="D19" s="38" t="str">
        <f>CONCATENATE(Store_Setting[[#This Row],[商品序号]], " | ", Store_Setting[[#This Row],[商品名称]])</f>
        <v xml:space="preserve">9 | </v>
      </c>
      <c r="E19" s="17">
        <v>9</v>
      </c>
      <c r="F19" s="119"/>
      <c r="G19" s="109">
        <f>Store_Setting[[#This Row],[库存负差]]-SUM(Store_Setting[[#This Row],[已存入]]-Store_Setting[[#This Row],[已支取]])</f>
        <v>0</v>
      </c>
      <c r="H19" s="18">
        <f>SUM(UserInfo[9 - 剩余])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Row],[入库小计]]-Store_Setting[[#This Row],[取货小计]]</f>
        <v>0</v>
      </c>
      <c r="L19" s="18">
        <f>SUMIFS(Store_History[数量],Store_History[唯一识别码],Store_Setting[[#This Row],[唯一识别码]],Store_History[类型],"入库")</f>
        <v>0</v>
      </c>
      <c r="M19" s="18">
        <f>SUMIFS(Store_History[数量],Store_History[唯一识别码],Store_Setting[[#This Row],[唯一识别码]],Store_History[类型],"取货")</f>
        <v>0</v>
      </c>
      <c r="N19" s="119" t="s">
        <v>126</v>
      </c>
      <c r="O19" s="119" t="s">
        <v>126</v>
      </c>
      <c r="P19" s="56" t="s">
        <v>379</v>
      </c>
      <c r="Q19" s="56" t="s">
        <v>355</v>
      </c>
      <c r="R19" s="56" t="s">
        <v>356</v>
      </c>
      <c r="S19" s="56" t="s">
        <v>339</v>
      </c>
    </row>
    <row r="20" spans="2:19" ht="40.1" customHeight="1" x14ac:dyDescent="0.4">
      <c r="B20" s="26"/>
      <c r="C20" s="27"/>
      <c r="D20" s="38" t="str">
        <f>CONCATENATE(Store_Setting[[#This Row],[商品序号]], " | ", Store_Setting[[#This Row],[商品名称]])</f>
        <v xml:space="preserve">10 | </v>
      </c>
      <c r="E20" s="17">
        <v>10</v>
      </c>
      <c r="F20" s="119"/>
      <c r="G20" s="109">
        <f>Store_Setting[[#This Row],[库存负差]]-SUM(Store_Setting[[#This Row],[已存入]]-Store_Setting[[#This Row],[已支取]])</f>
        <v>0</v>
      </c>
      <c r="H20" s="18">
        <f>SUM(UserInfo[10 - 剩余])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Row],[入库小计]]-Store_Setting[[#This Row],[取货小计]]</f>
        <v>0</v>
      </c>
      <c r="L20" s="18">
        <f>SUMIFS(Store_History[数量],Store_History[唯一识别码],Store_Setting[[#This Row],[唯一识别码]],Store_History[类型],"入库")</f>
        <v>0</v>
      </c>
      <c r="M20" s="18">
        <f>SUMIFS(Store_History[数量],Store_History[唯一识别码],Store_Setting[[#This Row],[唯一识别码]],Store_History[类型],"取货")</f>
        <v>0</v>
      </c>
      <c r="N20" s="119" t="s">
        <v>126</v>
      </c>
      <c r="O20" s="119" t="s">
        <v>126</v>
      </c>
      <c r="P20" s="56" t="s">
        <v>380</v>
      </c>
      <c r="Q20" s="56" t="s">
        <v>358</v>
      </c>
      <c r="R20" s="56" t="s">
        <v>359</v>
      </c>
      <c r="S20" s="56" t="s">
        <v>340</v>
      </c>
    </row>
    <row r="21" spans="2:19" ht="40.1" customHeight="1" x14ac:dyDescent="0.4">
      <c r="B21" s="26"/>
      <c r="C21" s="27"/>
      <c r="D21" s="38" t="str">
        <f>CONCATENATE(Store_Setting[[#This Row],[商品序号]], " | ", Store_Setting[[#This Row],[商品名称]])</f>
        <v xml:space="preserve">11 | </v>
      </c>
      <c r="E21" s="17">
        <v>11</v>
      </c>
      <c r="F21" s="119"/>
      <c r="G21" s="109">
        <f>Store_Setting[[#This Row],[库存负差]]-SUM(Store_Setting[[#This Row],[已存入]]-Store_Setting[[#This Row],[已支取]])</f>
        <v>0</v>
      </c>
      <c r="H21" s="18">
        <f>SUM(UserInfo[11 - 剩余])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Row],[入库小计]]-Store_Setting[[#This Row],[取货小计]]</f>
        <v>0</v>
      </c>
      <c r="L21" s="18">
        <f>SUMIFS(Store_History[数量],Store_History[唯一识别码],Store_Setting[[#This Row],[唯一识别码]],Store_History[类型],"入库")</f>
        <v>0</v>
      </c>
      <c r="M21" s="18">
        <f>SUMIFS(Store_History[数量],Store_History[唯一识别码],Store_Setting[[#This Row],[唯一识别码]],Store_History[类型],"取货")</f>
        <v>0</v>
      </c>
      <c r="N21" s="119" t="s">
        <v>126</v>
      </c>
      <c r="O21" s="119" t="s">
        <v>126</v>
      </c>
      <c r="P21" s="56" t="s">
        <v>381</v>
      </c>
      <c r="Q21" s="56" t="s">
        <v>361</v>
      </c>
      <c r="R21" s="56" t="s">
        <v>362</v>
      </c>
      <c r="S21" s="56" t="s">
        <v>341</v>
      </c>
    </row>
    <row r="22" spans="2:19" ht="40.1" customHeight="1" x14ac:dyDescent="0.4">
      <c r="B22" s="26"/>
      <c r="C22" s="27"/>
      <c r="D22" s="38" t="str">
        <f>CONCATENATE(Store_Setting[[#This Row],[商品序号]], " | ", Store_Setting[[#This Row],[商品名称]])</f>
        <v xml:space="preserve">12 | </v>
      </c>
      <c r="E22" s="17">
        <v>12</v>
      </c>
      <c r="F22" s="119"/>
      <c r="G22" s="109">
        <f>Store_Setting[[#This Row],[库存负差]]-SUM(Store_Setting[[#This Row],[已存入]]-Store_Setting[[#This Row],[已支取]])</f>
        <v>0</v>
      </c>
      <c r="H22" s="18">
        <f>SUM(UserInfo[12 - 剩余])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Row],[入库小计]]-Store_Setting[[#This Row],[取货小计]]</f>
        <v>0</v>
      </c>
      <c r="L22" s="18">
        <f>SUMIFS(Store_History[数量],Store_History[唯一识别码],Store_Setting[[#This Row],[唯一识别码]],Store_History[类型],"入库")</f>
        <v>0</v>
      </c>
      <c r="M22" s="18">
        <f>SUMIFS(Store_History[数量],Store_History[唯一识别码],Store_Setting[[#This Row],[唯一识别码]],Store_History[类型],"取货")</f>
        <v>0</v>
      </c>
      <c r="N22" s="119" t="s">
        <v>126</v>
      </c>
      <c r="O22" s="119" t="s">
        <v>126</v>
      </c>
      <c r="P22" s="56" t="s">
        <v>382</v>
      </c>
      <c r="Q22" s="56" t="s">
        <v>364</v>
      </c>
      <c r="R22" s="56" t="s">
        <v>365</v>
      </c>
      <c r="S22" s="56" t="s">
        <v>342</v>
      </c>
    </row>
    <row r="23" spans="2:19" ht="40.1" customHeight="1" x14ac:dyDescent="0.4">
      <c r="B23" s="26"/>
      <c r="C23" s="27"/>
      <c r="D23" s="38" t="str">
        <f>CONCATENATE(Store_Setting[[#This Row],[商品序号]], " | ", Store_Setting[[#This Row],[商品名称]])</f>
        <v xml:space="preserve">13 | </v>
      </c>
      <c r="E23" s="17">
        <v>13</v>
      </c>
      <c r="F23" s="119"/>
      <c r="G23" s="109">
        <f>Store_Setting[[#This Row],[库存负差]]-SUM(Store_Setting[[#This Row],[已存入]]-Store_Setting[[#This Row],[已支取]])</f>
        <v>0</v>
      </c>
      <c r="H23" s="18">
        <f>SUM(UserInfo[13 - 剩余])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Row],[入库小计]]-Store_Setting[[#This Row],[取货小计]]</f>
        <v>0</v>
      </c>
      <c r="L23" s="18">
        <f>SUMIFS(Store_History[数量],Store_History[唯一识别码],Store_Setting[[#This Row],[唯一识别码]],Store_History[类型],"入库")</f>
        <v>0</v>
      </c>
      <c r="M23" s="18">
        <f>SUMIFS(Store_History[数量],Store_History[唯一识别码],Store_Setting[[#This Row],[唯一识别码]],Store_History[类型],"取货")</f>
        <v>0</v>
      </c>
      <c r="N23" s="119" t="s">
        <v>126</v>
      </c>
      <c r="O23" s="119" t="s">
        <v>126</v>
      </c>
      <c r="P23" s="56" t="s">
        <v>383</v>
      </c>
      <c r="Q23" s="56" t="s">
        <v>367</v>
      </c>
      <c r="R23" s="56" t="s">
        <v>368</v>
      </c>
      <c r="S23" s="56" t="s">
        <v>343</v>
      </c>
    </row>
    <row r="24" spans="2:19" ht="40.1" customHeight="1" x14ac:dyDescent="0.4">
      <c r="B24" s="26"/>
      <c r="C24" s="27"/>
      <c r="D24" s="38" t="str">
        <f>CONCATENATE(Store_Setting[[#This Row],[商品序号]], " | ", Store_Setting[[#This Row],[商品名称]])</f>
        <v xml:space="preserve">14 | </v>
      </c>
      <c r="E24" s="17">
        <v>14</v>
      </c>
      <c r="F24" s="119"/>
      <c r="G24" s="109">
        <f>Store_Setting[[#This Row],[库存负差]]-SUM(Store_Setting[[#This Row],[已存入]]-Store_Setting[[#This Row],[已支取]])</f>
        <v>0</v>
      </c>
      <c r="H24" s="18">
        <f>SUM(UserInfo[14 - 剩余])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Row],[入库小计]]-Store_Setting[[#This Row],[取货小计]]</f>
        <v>0</v>
      </c>
      <c r="L24" s="18">
        <f>SUMIFS(Store_History[数量],Store_History[唯一识别码],Store_Setting[[#This Row],[唯一识别码]],Store_History[类型],"入库")</f>
        <v>0</v>
      </c>
      <c r="M24" s="18">
        <f>SUMIFS(Store_History[数量],Store_History[唯一识别码],Store_Setting[[#This Row],[唯一识别码]],Store_History[类型],"取货")</f>
        <v>0</v>
      </c>
      <c r="N24" s="119" t="s">
        <v>126</v>
      </c>
      <c r="O24" s="119" t="s">
        <v>126</v>
      </c>
      <c r="P24" s="56" t="s">
        <v>384</v>
      </c>
      <c r="Q24" s="56" t="s">
        <v>410</v>
      </c>
      <c r="R24" s="56" t="s">
        <v>411</v>
      </c>
      <c r="S24" s="56" t="s">
        <v>344</v>
      </c>
    </row>
    <row r="25" spans="2:19" ht="40.1" customHeight="1" x14ac:dyDescent="0.4">
      <c r="B25" s="26"/>
      <c r="C25" s="27"/>
      <c r="D25" s="38" t="str">
        <f>CONCATENATE(Store_Setting[[#This Row],[商品序号]], " | ", Store_Setting[[#This Row],[商品名称]])</f>
        <v xml:space="preserve">15 | </v>
      </c>
      <c r="E25" s="17">
        <v>15</v>
      </c>
      <c r="F25" s="119"/>
      <c r="G25" s="109">
        <f>Store_Setting[[#This Row],[库存负差]]-SUM(Store_Setting[[#This Row],[已存入]]-Store_Setting[[#This Row],[已支取]])</f>
        <v>0</v>
      </c>
      <c r="H25" s="18">
        <f>SUM(UserInfo[15 - 剩余])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Row],[入库小计]]-Store_Setting[[#This Row],[取货小计]]</f>
        <v>0</v>
      </c>
      <c r="L25" s="18">
        <f>SUMIFS(Store_History[数量],Store_History[唯一识别码],Store_Setting[[#This Row],[唯一识别码]],Store_History[类型],"入库")</f>
        <v>0</v>
      </c>
      <c r="M25" s="18">
        <f>SUMIFS(Store_History[数量],Store_History[唯一识别码],Store_Setting[[#This Row],[唯一识别码]],Store_History[类型],"取货")</f>
        <v>0</v>
      </c>
      <c r="N25" s="119" t="s">
        <v>126</v>
      </c>
      <c r="O25" s="119" t="s">
        <v>126</v>
      </c>
      <c r="P25" s="56" t="s">
        <v>464</v>
      </c>
      <c r="Q25" s="56" t="s">
        <v>412</v>
      </c>
      <c r="R25" s="56" t="s">
        <v>413</v>
      </c>
      <c r="S25" s="56" t="s">
        <v>345</v>
      </c>
    </row>
    <row r="26" spans="2:19" ht="40.1" customHeight="1" x14ac:dyDescent="0.4">
      <c r="B26" s="26"/>
      <c r="C26" s="27"/>
      <c r="D26" s="38" t="str">
        <f>CONCATENATE(Store_Setting[[#This Row],[商品序号]], " | ", Store_Setting[[#This Row],[商品名称]])</f>
        <v xml:space="preserve">16 | </v>
      </c>
      <c r="E26" s="17">
        <v>16</v>
      </c>
      <c r="F26" s="119"/>
      <c r="G26" s="109">
        <f>Store_Setting[[#This Row],[库存负差]]-SUM(Store_Setting[[#This Row],[已存入]]-Store_Setting[[#This Row],[已支取]])</f>
        <v>0</v>
      </c>
      <c r="H26" s="18">
        <f>SUM(UserInfo[16 - 剩余])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Row],[入库小计]]-Store_Setting[[#This Row],[取货小计]]</f>
        <v>0</v>
      </c>
      <c r="L26" s="18">
        <f>SUMIFS(Store_History[数量],Store_History[唯一识别码],Store_Setting[[#This Row],[唯一识别码]],Store_History[类型],"入库")</f>
        <v>0</v>
      </c>
      <c r="M26" s="18">
        <f>SUMIFS(Store_History[数量],Store_History[唯一识别码],Store_Setting[[#This Row],[唯一识别码]],Store_History[类型],"取货")</f>
        <v>0</v>
      </c>
      <c r="N26" s="119" t="s">
        <v>126</v>
      </c>
      <c r="O26" s="119" t="s">
        <v>126</v>
      </c>
      <c r="P26" s="56" t="s">
        <v>385</v>
      </c>
      <c r="Q26" s="56" t="s">
        <v>414</v>
      </c>
      <c r="R26" s="56" t="s">
        <v>415</v>
      </c>
      <c r="S26" s="56" t="s">
        <v>346</v>
      </c>
    </row>
    <row r="27" spans="2:19" ht="40.1" customHeight="1" x14ac:dyDescent="0.4">
      <c r="B27" s="26"/>
      <c r="C27" s="27"/>
      <c r="D27" s="38" t="str">
        <f>CONCATENATE(Store_Setting[[#This Row],[商品序号]], " | ", Store_Setting[[#This Row],[商品名称]])</f>
        <v xml:space="preserve">17 | </v>
      </c>
      <c r="E27" s="17">
        <v>17</v>
      </c>
      <c r="F27" s="119"/>
      <c r="G27" s="109">
        <f>Store_Setting[[#This Row],[库存负差]]-SUM(Store_Setting[[#This Row],[已存入]]-Store_Setting[[#This Row],[已支取]])</f>
        <v>0</v>
      </c>
      <c r="H27" s="18">
        <f>SUM(UserInfo[17 - 剩余])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Row],[入库小计]]-Store_Setting[[#This Row],[取货小计]]</f>
        <v>0</v>
      </c>
      <c r="L27" s="18">
        <f>SUMIFS(Store_History[数量],Store_History[唯一识别码],Store_Setting[[#This Row],[唯一识别码]],Store_History[类型],"入库")</f>
        <v>0</v>
      </c>
      <c r="M27" s="18">
        <f>SUMIFS(Store_History[数量],Store_History[唯一识别码],Store_Setting[[#This Row],[唯一识别码]],Store_History[类型],"取货")</f>
        <v>0</v>
      </c>
      <c r="N27" s="119" t="s">
        <v>126</v>
      </c>
      <c r="O27" s="119" t="s">
        <v>126</v>
      </c>
      <c r="P27" s="56" t="s">
        <v>386</v>
      </c>
      <c r="Q27" s="56" t="s">
        <v>416</v>
      </c>
      <c r="R27" s="56" t="s">
        <v>417</v>
      </c>
      <c r="S27" s="56" t="s">
        <v>347</v>
      </c>
    </row>
    <row r="28" spans="2:19" ht="40.1" customHeight="1" x14ac:dyDescent="0.4">
      <c r="B28" s="26"/>
      <c r="C28" s="27"/>
      <c r="D28" s="38" t="str">
        <f>CONCATENATE(Store_Setting[[#This Row],[商品序号]], " | ", Store_Setting[[#This Row],[商品名称]])</f>
        <v xml:space="preserve">18 | </v>
      </c>
      <c r="E28" s="17">
        <v>18</v>
      </c>
      <c r="F28" s="119"/>
      <c r="G28" s="109">
        <f>Store_Setting[[#This Row],[库存负差]]-SUM(Store_Setting[[#This Row],[已存入]]-Store_Setting[[#This Row],[已支取]])</f>
        <v>0</v>
      </c>
      <c r="H28" s="18">
        <f>SUM(UserInfo[18 - 剩余])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Row],[入库小计]]-Store_Setting[[#This Row],[取货小计]]</f>
        <v>0</v>
      </c>
      <c r="L28" s="18">
        <f>SUMIFS(Store_History[数量],Store_History[唯一识别码],Store_Setting[[#This Row],[唯一识别码]],Store_History[类型],"入库")</f>
        <v>0</v>
      </c>
      <c r="M28" s="18">
        <f>SUMIFS(Store_History[数量],Store_History[唯一识别码],Store_Setting[[#This Row],[唯一识别码]],Store_History[类型],"取货")</f>
        <v>0</v>
      </c>
      <c r="N28" s="119" t="s">
        <v>126</v>
      </c>
      <c r="O28" s="119" t="s">
        <v>126</v>
      </c>
      <c r="P28" s="56" t="s">
        <v>387</v>
      </c>
      <c r="Q28" s="56" t="s">
        <v>418</v>
      </c>
      <c r="R28" s="56" t="s">
        <v>419</v>
      </c>
      <c r="S28" s="56" t="s">
        <v>348</v>
      </c>
    </row>
    <row r="29" spans="2:19" ht="40.1" customHeight="1" x14ac:dyDescent="0.4">
      <c r="B29" s="26"/>
      <c r="C29" s="27"/>
      <c r="D29" s="38" t="str">
        <f>CONCATENATE(Store_Setting[[#This Row],[商品序号]], " | ", Store_Setting[[#This Row],[商品名称]])</f>
        <v xml:space="preserve">19 | </v>
      </c>
      <c r="E29" s="17">
        <v>19</v>
      </c>
      <c r="F29" s="119"/>
      <c r="G29" s="109">
        <f>Store_Setting[[#This Row],[库存负差]]-SUM(Store_Setting[[#This Row],[已存入]]-Store_Setting[[#This Row],[已支取]])</f>
        <v>0</v>
      </c>
      <c r="H29" s="18">
        <f>SUM(UserInfo[19 - 剩余])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Row],[入库小计]]-Store_Setting[[#This Row],[取货小计]]</f>
        <v>0</v>
      </c>
      <c r="L29" s="18">
        <f>SUMIFS(Store_History[数量],Store_History[唯一识别码],Store_Setting[[#This Row],[唯一识别码]],Store_History[类型],"入库")</f>
        <v>0</v>
      </c>
      <c r="M29" s="18">
        <f>SUMIFS(Store_History[数量],Store_History[唯一识别码],Store_Setting[[#This Row],[唯一识别码]],Store_History[类型],"取货")</f>
        <v>0</v>
      </c>
      <c r="N29" s="119" t="s">
        <v>126</v>
      </c>
      <c r="O29" s="119" t="s">
        <v>126</v>
      </c>
      <c r="P29" s="56" t="s">
        <v>388</v>
      </c>
      <c r="Q29" s="56" t="s">
        <v>420</v>
      </c>
      <c r="R29" s="56" t="s">
        <v>421</v>
      </c>
      <c r="S29" s="56" t="s">
        <v>349</v>
      </c>
    </row>
    <row r="30" spans="2:19" ht="40.1" customHeight="1" x14ac:dyDescent="0.4">
      <c r="B30" s="26"/>
      <c r="C30" s="27"/>
      <c r="D30" s="38" t="str">
        <f>CONCATENATE(Store_Setting[[#This Row],[商品序号]], " | ", Store_Setting[[#This Row],[商品名称]])</f>
        <v xml:space="preserve">20 | </v>
      </c>
      <c r="E30" s="17">
        <v>20</v>
      </c>
      <c r="F30" s="119"/>
      <c r="G30" s="109">
        <f>Store_Setting[[#This Row],[库存负差]]-SUM(Store_Setting[[#This Row],[已存入]]-Store_Setting[[#This Row],[已支取]])</f>
        <v>0</v>
      </c>
      <c r="H30" s="18">
        <f>SUM(UserInfo[20 - 剩余])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Row],[入库小计]]-Store_Setting[[#This Row],[取货小计]]</f>
        <v>0</v>
      </c>
      <c r="L30" s="18">
        <f>SUMIFS(Store_History[数量],Store_History[唯一识别码],Store_Setting[[#This Row],[唯一识别码]],Store_History[类型],"入库")</f>
        <v>0</v>
      </c>
      <c r="M30" s="18">
        <f>SUMIFS(Store_History[数量],Store_History[唯一识别码],Store_Setting[[#This Row],[唯一识别码]],Store_History[类型],"取货")</f>
        <v>0</v>
      </c>
      <c r="N30" s="119" t="s">
        <v>126</v>
      </c>
      <c r="O30" s="119" t="s">
        <v>126</v>
      </c>
      <c r="P30" s="56" t="s">
        <v>389</v>
      </c>
      <c r="Q30" s="56" t="s">
        <v>422</v>
      </c>
      <c r="R30" s="56" t="s">
        <v>423</v>
      </c>
      <c r="S30" s="56" t="s">
        <v>350</v>
      </c>
    </row>
    <row r="31" spans="2:19" ht="40.1" customHeight="1" x14ac:dyDescent="0.4">
      <c r="B31" s="26"/>
      <c r="C31" s="27"/>
      <c r="D31" s="38" t="str">
        <f>CONCATENATE(Store_Setting[[#This Row],[商品序号]], " | ", Store_Setting[[#This Row],[商品名称]])</f>
        <v xml:space="preserve">21 | </v>
      </c>
      <c r="E31" s="17">
        <v>21</v>
      </c>
      <c r="F31" s="119"/>
      <c r="G31" s="109">
        <f>Store_Setting[[#This Row],[库存负差]]-SUM(Store_Setting[[#This Row],[已存入]]-Store_Setting[[#This Row],[已支取]])</f>
        <v>0</v>
      </c>
      <c r="H31" s="18">
        <f>SUM(UserInfo[21 - 剩余])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Row],[入库小计]]-Store_Setting[[#This Row],[取货小计]]</f>
        <v>0</v>
      </c>
      <c r="L31" s="18">
        <f>SUMIFS(Store_History[数量],Store_History[唯一识别码],Store_Setting[[#This Row],[唯一识别码]],Store_History[类型],"入库")</f>
        <v>0</v>
      </c>
      <c r="M31" s="18">
        <f>SUMIFS(Store_History[数量],Store_History[唯一识别码],Store_Setting[[#This Row],[唯一识别码]],Store_History[类型],"取货")</f>
        <v>0</v>
      </c>
      <c r="N31" s="119" t="s">
        <v>126</v>
      </c>
      <c r="O31" s="119" t="s">
        <v>126</v>
      </c>
      <c r="P31" s="56" t="s">
        <v>390</v>
      </c>
      <c r="Q31" s="56" t="s">
        <v>424</v>
      </c>
      <c r="R31" s="56" t="s">
        <v>425</v>
      </c>
      <c r="S31" s="56" t="s">
        <v>351</v>
      </c>
    </row>
    <row r="32" spans="2:19" ht="40.1" customHeight="1" x14ac:dyDescent="0.4">
      <c r="B32" s="26"/>
      <c r="C32" s="27"/>
      <c r="D32" s="38" t="str">
        <f>CONCATENATE(Store_Setting[[#This Row],[商品序号]], " | ", Store_Setting[[#This Row],[商品名称]])</f>
        <v xml:space="preserve">22 | </v>
      </c>
      <c r="E32" s="17">
        <v>22</v>
      </c>
      <c r="F32" s="119"/>
      <c r="G32" s="109">
        <f>Store_Setting[[#This Row],[库存负差]]-SUM(Store_Setting[[#This Row],[已存入]]-Store_Setting[[#This Row],[已支取]])</f>
        <v>0</v>
      </c>
      <c r="H32" s="18">
        <f>SUM(UserInfo[22 - 剩余])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Row],[入库小计]]-Store_Setting[[#This Row],[取货小计]]</f>
        <v>0</v>
      </c>
      <c r="L32" s="18">
        <f>SUMIFS(Store_History[数量],Store_History[唯一识别码],Store_Setting[[#This Row],[唯一识别码]],Store_History[类型],"入库")</f>
        <v>0</v>
      </c>
      <c r="M32" s="18">
        <f>SUMIFS(Store_History[数量],Store_History[唯一识别码],Store_Setting[[#This Row],[唯一识别码]],Store_History[类型],"取货")</f>
        <v>0</v>
      </c>
      <c r="N32" s="119" t="s">
        <v>126</v>
      </c>
      <c r="O32" s="119" t="s">
        <v>126</v>
      </c>
      <c r="P32" s="56" t="s">
        <v>391</v>
      </c>
      <c r="Q32" s="56" t="s">
        <v>426</v>
      </c>
      <c r="R32" s="56" t="s">
        <v>427</v>
      </c>
      <c r="S32" s="56" t="s">
        <v>352</v>
      </c>
    </row>
    <row r="33" spans="2:19" ht="40.1" customHeight="1" x14ac:dyDescent="0.4">
      <c r="B33" s="26"/>
      <c r="C33" s="27"/>
      <c r="D33" s="38" t="str">
        <f>CONCATENATE(Store_Setting[[#This Row],[商品序号]], " | ", Store_Setting[[#This Row],[商品名称]])</f>
        <v xml:space="preserve">23 | </v>
      </c>
      <c r="E33" s="17">
        <v>23</v>
      </c>
      <c r="F33" s="119"/>
      <c r="G33" s="109">
        <f>Store_Setting[[#This Row],[库存负差]]-SUM(Store_Setting[[#This Row],[已存入]]-Store_Setting[[#This Row],[已支取]])</f>
        <v>0</v>
      </c>
      <c r="H33" s="18">
        <f>SUM(UserInfo[23 - 剩余])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Row],[入库小计]]-Store_Setting[[#This Row],[取货小计]]</f>
        <v>0</v>
      </c>
      <c r="L33" s="18">
        <f>SUMIFS(Store_History[数量],Store_History[唯一识别码],Store_Setting[[#This Row],[唯一识别码]],Store_History[类型],"入库")</f>
        <v>0</v>
      </c>
      <c r="M33" s="18">
        <f>SUMIFS(Store_History[数量],Store_History[唯一识别码],Store_Setting[[#This Row],[唯一识别码]],Store_History[类型],"取货")</f>
        <v>0</v>
      </c>
      <c r="N33" s="119" t="s">
        <v>126</v>
      </c>
      <c r="O33" s="119" t="s">
        <v>126</v>
      </c>
      <c r="P33" s="56" t="s">
        <v>392</v>
      </c>
      <c r="Q33" s="56" t="s">
        <v>428</v>
      </c>
      <c r="R33" s="56" t="s">
        <v>429</v>
      </c>
      <c r="S33" s="56" t="s">
        <v>353</v>
      </c>
    </row>
    <row r="34" spans="2:19" ht="40.1" customHeight="1" x14ac:dyDescent="0.4">
      <c r="B34" s="26"/>
      <c r="C34" s="27"/>
      <c r="D34" s="38" t="str">
        <f>CONCATENATE(Store_Setting[[#This Row],[商品序号]], " | ", Store_Setting[[#This Row],[商品名称]])</f>
        <v xml:space="preserve">24 | </v>
      </c>
      <c r="E34" s="17">
        <v>24</v>
      </c>
      <c r="F34" s="119"/>
      <c r="G34" s="109">
        <f>Store_Setting[[#This Row],[库存负差]]-SUM(Store_Setting[[#This Row],[已存入]]-Store_Setting[[#This Row],[已支取]])</f>
        <v>0</v>
      </c>
      <c r="H34" s="18">
        <f>SUM(UserInfo[24 - 剩余])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Row],[入库小计]]-Store_Setting[[#This Row],[取货小计]]</f>
        <v>0</v>
      </c>
      <c r="L34" s="18">
        <f>SUMIFS(Store_History[数量],Store_History[唯一识别码],Store_Setting[[#This Row],[唯一识别码]],Store_History[类型],"入库")</f>
        <v>0</v>
      </c>
      <c r="M34" s="18">
        <f>SUMIFS(Store_History[数量],Store_History[唯一识别码],Store_Setting[[#This Row],[唯一识别码]],Store_History[类型],"取货")</f>
        <v>0</v>
      </c>
      <c r="N34" s="119" t="s">
        <v>126</v>
      </c>
      <c r="O34" s="119" t="s">
        <v>126</v>
      </c>
      <c r="P34" s="56" t="s">
        <v>393</v>
      </c>
      <c r="Q34" s="56" t="s">
        <v>430</v>
      </c>
      <c r="R34" s="56" t="s">
        <v>431</v>
      </c>
      <c r="S34" s="56" t="s">
        <v>369</v>
      </c>
    </row>
    <row r="35" spans="2:19" ht="40.1" customHeight="1" x14ac:dyDescent="0.4">
      <c r="B35" s="26"/>
      <c r="C35" s="27"/>
      <c r="D35" s="38" t="str">
        <f>CONCATENATE(Store_Setting[[#This Row],[商品序号]], " | ", Store_Setting[[#This Row],[商品名称]])</f>
        <v xml:space="preserve">25 | </v>
      </c>
      <c r="E35" s="17">
        <v>25</v>
      </c>
      <c r="F35" s="119"/>
      <c r="G35" s="109">
        <f>Store_Setting[[#This Row],[库存负差]]-SUM(Store_Setting[[#This Row],[已存入]]-Store_Setting[[#This Row],[已支取]])</f>
        <v>0</v>
      </c>
      <c r="H35" s="18">
        <f>SUM(UserInfo[25 - 剩余])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Row],[入库小计]]-Store_Setting[[#This Row],[取货小计]]</f>
        <v>0</v>
      </c>
      <c r="L35" s="18">
        <f>SUMIFS(Store_History[数量],Store_History[唯一识别码],Store_Setting[[#This Row],[唯一识别码]],Store_History[类型],"入库")</f>
        <v>0</v>
      </c>
      <c r="M35" s="18">
        <f>SUMIFS(Store_History[数量],Store_History[唯一识别码],Store_Setting[[#This Row],[唯一识别码]],Store_History[类型],"取货")</f>
        <v>0</v>
      </c>
      <c r="N35" s="119" t="s">
        <v>126</v>
      </c>
      <c r="O35" s="119" t="s">
        <v>126</v>
      </c>
      <c r="P35" s="56" t="s">
        <v>394</v>
      </c>
      <c r="Q35" s="56" t="s">
        <v>432</v>
      </c>
      <c r="R35" s="56" t="s">
        <v>433</v>
      </c>
      <c r="S35" s="56" t="s">
        <v>370</v>
      </c>
    </row>
    <row r="36" spans="2:19" ht="40.1" customHeight="1" x14ac:dyDescent="0.4">
      <c r="B36" s="26"/>
      <c r="C36" s="27"/>
      <c r="D36" s="38" t="str">
        <f>CONCATENATE(Store_Setting[[#This Row],[商品序号]], " | ", Store_Setting[[#This Row],[商品名称]])</f>
        <v xml:space="preserve">26 | </v>
      </c>
      <c r="E36" s="17">
        <v>26</v>
      </c>
      <c r="F36" s="119"/>
      <c r="G36" s="109">
        <f>Store_Setting[[#This Row],[库存负差]]-SUM(Store_Setting[[#This Row],[已存入]]-Store_Setting[[#This Row],[已支取]])</f>
        <v>0</v>
      </c>
      <c r="H36" s="18">
        <f>SUM(UserInfo[26 - 剩余])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Row],[入库小计]]-Store_Setting[[#This Row],[取货小计]]</f>
        <v>0</v>
      </c>
      <c r="L36" s="18">
        <f>SUMIFS(Store_History[数量],Store_History[唯一识别码],Store_Setting[[#This Row],[唯一识别码]],Store_History[类型],"入库")</f>
        <v>0</v>
      </c>
      <c r="M36" s="18">
        <f>SUMIFS(Store_History[数量],Store_History[唯一识别码],Store_Setting[[#This Row],[唯一识别码]],Store_History[类型],"取货")</f>
        <v>0</v>
      </c>
      <c r="N36" s="119" t="s">
        <v>126</v>
      </c>
      <c r="O36" s="119" t="s">
        <v>126</v>
      </c>
      <c r="P36" s="56" t="s">
        <v>395</v>
      </c>
      <c r="Q36" s="56" t="s">
        <v>434</v>
      </c>
      <c r="R36" s="56" t="s">
        <v>435</v>
      </c>
      <c r="S36" s="56" t="s">
        <v>355</v>
      </c>
    </row>
    <row r="37" spans="2:19" ht="40.1" customHeight="1" x14ac:dyDescent="0.4">
      <c r="B37" s="26"/>
      <c r="C37" s="27"/>
      <c r="D37" s="38" t="str">
        <f>CONCATENATE(Store_Setting[[#This Row],[商品序号]], " | ", Store_Setting[[#This Row],[商品名称]])</f>
        <v xml:space="preserve">27 | </v>
      </c>
      <c r="E37" s="17">
        <v>27</v>
      </c>
      <c r="F37" s="119"/>
      <c r="G37" s="109">
        <f>Store_Setting[[#This Row],[库存负差]]-SUM(Store_Setting[[#This Row],[已存入]]-Store_Setting[[#This Row],[已支取]])</f>
        <v>0</v>
      </c>
      <c r="H37" s="18">
        <f>SUM(UserInfo[27 - 剩余])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Row],[入库小计]]-Store_Setting[[#This Row],[取货小计]]</f>
        <v>0</v>
      </c>
      <c r="L37" s="18">
        <f>SUMIFS(Store_History[数量],Store_History[唯一识别码],Store_Setting[[#This Row],[唯一识别码]],Store_History[类型],"入库")</f>
        <v>0</v>
      </c>
      <c r="M37" s="18">
        <f>SUMIFS(Store_History[数量],Store_History[唯一识别码],Store_Setting[[#This Row],[唯一识别码]],Store_History[类型],"取货")</f>
        <v>0</v>
      </c>
      <c r="N37" s="119" t="s">
        <v>126</v>
      </c>
      <c r="O37" s="119" t="s">
        <v>126</v>
      </c>
      <c r="P37" s="56" t="s">
        <v>396</v>
      </c>
      <c r="Q37" s="56" t="s">
        <v>436</v>
      </c>
      <c r="R37" s="56" t="s">
        <v>437</v>
      </c>
      <c r="S37" s="56" t="s">
        <v>356</v>
      </c>
    </row>
    <row r="38" spans="2:19" ht="40.1" customHeight="1" x14ac:dyDescent="0.4">
      <c r="B38" s="26"/>
      <c r="C38" s="27"/>
      <c r="D38" s="38" t="str">
        <f>CONCATENATE(Store_Setting[[#This Row],[商品序号]], " | ", Store_Setting[[#This Row],[商品名称]])</f>
        <v xml:space="preserve">28 | </v>
      </c>
      <c r="E38" s="17">
        <v>28</v>
      </c>
      <c r="F38" s="119"/>
      <c r="G38" s="109">
        <f>Store_Setting[[#This Row],[库存负差]]-SUM(Store_Setting[[#This Row],[已存入]]-Store_Setting[[#This Row],[已支取]])</f>
        <v>0</v>
      </c>
      <c r="H38" s="18">
        <f>SUM(UserInfo[28 - 剩余])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Row],[入库小计]]-Store_Setting[[#This Row],[取货小计]]</f>
        <v>0</v>
      </c>
      <c r="L38" s="18">
        <f>SUMIFS(Store_History[数量],Store_History[唯一识别码],Store_Setting[[#This Row],[唯一识别码]],Store_History[类型],"入库")</f>
        <v>0</v>
      </c>
      <c r="M38" s="18">
        <f>SUMIFS(Store_History[数量],Store_History[唯一识别码],Store_Setting[[#This Row],[唯一识别码]],Store_History[类型],"取货")</f>
        <v>0</v>
      </c>
      <c r="N38" s="119" t="s">
        <v>126</v>
      </c>
      <c r="O38" s="119" t="s">
        <v>126</v>
      </c>
      <c r="P38" s="56" t="s">
        <v>397</v>
      </c>
      <c r="Q38" s="56" t="s">
        <v>438</v>
      </c>
      <c r="R38" s="56" t="s">
        <v>439</v>
      </c>
      <c r="S38" s="56" t="s">
        <v>357</v>
      </c>
    </row>
    <row r="39" spans="2:19" ht="40.1" customHeight="1" x14ac:dyDescent="0.4">
      <c r="B39" s="26"/>
      <c r="C39" s="27"/>
      <c r="D39" s="38" t="str">
        <f>CONCATENATE(Store_Setting[[#This Row],[商品序号]], " | ", Store_Setting[[#This Row],[商品名称]])</f>
        <v xml:space="preserve">29 | </v>
      </c>
      <c r="E39" s="17">
        <v>29</v>
      </c>
      <c r="F39" s="119"/>
      <c r="G39" s="109">
        <f>Store_Setting[[#This Row],[库存负差]]-SUM(Store_Setting[[#This Row],[已存入]]-Store_Setting[[#This Row],[已支取]])</f>
        <v>0</v>
      </c>
      <c r="H39" s="18">
        <f>SUM(UserInfo[29 - 剩余])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Row],[入库小计]]-Store_Setting[[#This Row],[取货小计]]</f>
        <v>0</v>
      </c>
      <c r="L39" s="18">
        <f>SUMIFS(Store_History[数量],Store_History[唯一识别码],Store_Setting[[#This Row],[唯一识别码]],Store_History[类型],"入库")</f>
        <v>0</v>
      </c>
      <c r="M39" s="18">
        <f>SUMIFS(Store_History[数量],Store_History[唯一识别码],Store_Setting[[#This Row],[唯一识别码]],Store_History[类型],"取货")</f>
        <v>0</v>
      </c>
      <c r="N39" s="119" t="s">
        <v>126</v>
      </c>
      <c r="O39" s="119" t="s">
        <v>126</v>
      </c>
      <c r="P39" s="56" t="s">
        <v>398</v>
      </c>
      <c r="Q39" s="56" t="s">
        <v>440</v>
      </c>
      <c r="R39" s="56" t="s">
        <v>441</v>
      </c>
      <c r="S39" s="56" t="s">
        <v>358</v>
      </c>
    </row>
    <row r="40" spans="2:19" ht="40.1" customHeight="1" x14ac:dyDescent="0.4">
      <c r="B40" s="26"/>
      <c r="C40" s="27"/>
      <c r="D40" s="38" t="str">
        <f>CONCATENATE(Store_Setting[[#This Row],[商品序号]], " | ", Store_Setting[[#This Row],[商品名称]])</f>
        <v xml:space="preserve">30 | </v>
      </c>
      <c r="E40" s="17">
        <v>30</v>
      </c>
      <c r="F40" s="119"/>
      <c r="G40" s="109">
        <f>Store_Setting[[#This Row],[库存负差]]-SUM(Store_Setting[[#This Row],[已存入]]-Store_Setting[[#This Row],[已支取]])</f>
        <v>0</v>
      </c>
      <c r="H40" s="18">
        <f>SUM(UserInfo[30 - 剩余])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Row],[入库小计]]-Store_Setting[[#This Row],[取货小计]]</f>
        <v>0</v>
      </c>
      <c r="L40" s="18">
        <f>SUMIFS(Store_History[数量],Store_History[唯一识别码],Store_Setting[[#This Row],[唯一识别码]],Store_History[类型],"入库")</f>
        <v>0</v>
      </c>
      <c r="M40" s="18">
        <f>SUMIFS(Store_History[数量],Store_History[唯一识别码],Store_Setting[[#This Row],[唯一识别码]],Store_History[类型],"取货")</f>
        <v>0</v>
      </c>
      <c r="N40" s="119" t="s">
        <v>126</v>
      </c>
      <c r="O40" s="119" t="s">
        <v>126</v>
      </c>
      <c r="P40" s="56" t="s">
        <v>399</v>
      </c>
      <c r="Q40" s="56" t="s">
        <v>442</v>
      </c>
      <c r="R40" s="56" t="s">
        <v>443</v>
      </c>
      <c r="S40" s="56" t="s">
        <v>359</v>
      </c>
    </row>
    <row r="41" spans="2:19" ht="40.1" customHeight="1" x14ac:dyDescent="0.4">
      <c r="B41" s="26"/>
      <c r="C41" s="27"/>
      <c r="D41" s="38" t="str">
        <f>CONCATENATE(Store_Setting[[#This Row],[商品序号]], " | ", Store_Setting[[#This Row],[商品名称]])</f>
        <v xml:space="preserve">31 | </v>
      </c>
      <c r="E41" s="17">
        <v>31</v>
      </c>
      <c r="F41" s="119"/>
      <c r="G41" s="109">
        <f>Store_Setting[[#This Row],[库存负差]]-SUM(Store_Setting[[#This Row],[已存入]]-Store_Setting[[#This Row],[已支取]])</f>
        <v>0</v>
      </c>
      <c r="H41" s="18">
        <f>SUM(UserInfo[31 - 剩余])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Row],[入库小计]]-Store_Setting[[#This Row],[取货小计]]</f>
        <v>0</v>
      </c>
      <c r="L41" s="18">
        <f>SUMIFS(Store_History[数量],Store_History[唯一识别码],Store_Setting[[#This Row],[唯一识别码]],Store_History[类型],"入库")</f>
        <v>0</v>
      </c>
      <c r="M41" s="18">
        <f>SUMIFS(Store_History[数量],Store_History[唯一识别码],Store_Setting[[#This Row],[唯一识别码]],Store_History[类型],"取货")</f>
        <v>0</v>
      </c>
      <c r="N41" s="119" t="s">
        <v>126</v>
      </c>
      <c r="O41" s="119" t="s">
        <v>126</v>
      </c>
      <c r="P41" s="56" t="s">
        <v>400</v>
      </c>
      <c r="Q41" s="56" t="s">
        <v>444</v>
      </c>
      <c r="R41" s="56" t="s">
        <v>445</v>
      </c>
      <c r="S41" s="56" t="s">
        <v>360</v>
      </c>
    </row>
    <row r="42" spans="2:19" ht="40.1" customHeight="1" x14ac:dyDescent="0.4">
      <c r="B42" s="26"/>
      <c r="C42" s="27"/>
      <c r="D42" s="38" t="str">
        <f>CONCATENATE(Store_Setting[[#This Row],[商品序号]], " | ", Store_Setting[[#This Row],[商品名称]])</f>
        <v xml:space="preserve">32 | </v>
      </c>
      <c r="E42" s="17">
        <v>32</v>
      </c>
      <c r="F42" s="119"/>
      <c r="G42" s="109">
        <f>Store_Setting[[#This Row],[库存负差]]-SUM(Store_Setting[[#This Row],[已存入]]-Store_Setting[[#This Row],[已支取]])</f>
        <v>0</v>
      </c>
      <c r="H42" s="18">
        <f>SUM(UserInfo[32 - 剩余])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Row],[入库小计]]-Store_Setting[[#This Row],[取货小计]]</f>
        <v>0</v>
      </c>
      <c r="L42" s="18">
        <f>SUMIFS(Store_History[数量],Store_History[唯一识别码],Store_Setting[[#This Row],[唯一识别码]],Store_History[类型],"入库")</f>
        <v>0</v>
      </c>
      <c r="M42" s="18">
        <f>SUMIFS(Store_History[数量],Store_History[唯一识别码],Store_Setting[[#This Row],[唯一识别码]],Store_History[类型],"取货")</f>
        <v>0</v>
      </c>
      <c r="N42" s="119" t="s">
        <v>126</v>
      </c>
      <c r="O42" s="119" t="s">
        <v>126</v>
      </c>
      <c r="P42" s="56" t="s">
        <v>401</v>
      </c>
      <c r="Q42" s="56" t="s">
        <v>446</v>
      </c>
      <c r="R42" s="56" t="s">
        <v>447</v>
      </c>
      <c r="S42" s="56" t="s">
        <v>361</v>
      </c>
    </row>
    <row r="43" spans="2:19" ht="40.1" customHeight="1" x14ac:dyDescent="0.4">
      <c r="B43" s="26"/>
      <c r="C43" s="27"/>
      <c r="D43" s="38" t="str">
        <f>CONCATENATE(Store_Setting[[#This Row],[商品序号]], " | ", Store_Setting[[#This Row],[商品名称]])</f>
        <v xml:space="preserve">33 | </v>
      </c>
      <c r="E43" s="17">
        <v>33</v>
      </c>
      <c r="F43" s="119"/>
      <c r="G43" s="109">
        <f>Store_Setting[[#This Row],[库存负差]]-SUM(Store_Setting[[#This Row],[已存入]]-Store_Setting[[#This Row],[已支取]])</f>
        <v>0</v>
      </c>
      <c r="H43" s="18">
        <f>SUM(UserInfo[33 - 剩余])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Row],[入库小计]]-Store_Setting[[#This Row],[取货小计]]</f>
        <v>0</v>
      </c>
      <c r="L43" s="18">
        <f>SUMIFS(Store_History[数量],Store_History[唯一识别码],Store_Setting[[#This Row],[唯一识别码]],Store_History[类型],"入库")</f>
        <v>0</v>
      </c>
      <c r="M43" s="18">
        <f>SUMIFS(Store_History[数量],Store_History[唯一识别码],Store_Setting[[#This Row],[唯一识别码]],Store_History[类型],"取货")</f>
        <v>0</v>
      </c>
      <c r="N43" s="119" t="s">
        <v>126</v>
      </c>
      <c r="O43" s="119" t="s">
        <v>126</v>
      </c>
      <c r="P43" s="56" t="s">
        <v>402</v>
      </c>
      <c r="Q43" s="56" t="s">
        <v>448</v>
      </c>
      <c r="R43" s="56" t="s">
        <v>449</v>
      </c>
      <c r="S43" s="56" t="s">
        <v>362</v>
      </c>
    </row>
    <row r="44" spans="2:19" ht="40.1" customHeight="1" x14ac:dyDescent="0.4">
      <c r="B44" s="26"/>
      <c r="C44" s="27"/>
      <c r="D44" s="38" t="str">
        <f>CONCATENATE(Store_Setting[[#This Row],[商品序号]], " | ", Store_Setting[[#This Row],[商品名称]])</f>
        <v xml:space="preserve">34 | </v>
      </c>
      <c r="E44" s="17">
        <v>34</v>
      </c>
      <c r="F44" s="119"/>
      <c r="G44" s="109">
        <f>Store_Setting[[#This Row],[库存负差]]-SUM(Store_Setting[[#This Row],[已存入]]-Store_Setting[[#This Row],[已支取]])</f>
        <v>0</v>
      </c>
      <c r="H44" s="18">
        <f>SUM(UserInfo[34 - 剩余])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Row],[入库小计]]-Store_Setting[[#This Row],[取货小计]]</f>
        <v>0</v>
      </c>
      <c r="L44" s="18">
        <f>SUMIFS(Store_History[数量],Store_History[唯一识别码],Store_Setting[[#This Row],[唯一识别码]],Store_History[类型],"入库")</f>
        <v>0</v>
      </c>
      <c r="M44" s="18">
        <f>SUMIFS(Store_History[数量],Store_History[唯一识别码],Store_Setting[[#This Row],[唯一识别码]],Store_History[类型],"取货")</f>
        <v>0</v>
      </c>
      <c r="N44" s="119" t="s">
        <v>126</v>
      </c>
      <c r="O44" s="119" t="s">
        <v>126</v>
      </c>
      <c r="P44" s="56" t="s">
        <v>403</v>
      </c>
      <c r="Q44" s="56" t="s">
        <v>450</v>
      </c>
      <c r="R44" s="56" t="s">
        <v>451</v>
      </c>
      <c r="S44" s="56" t="s">
        <v>363</v>
      </c>
    </row>
    <row r="45" spans="2:19" ht="40.1" customHeight="1" x14ac:dyDescent="0.4">
      <c r="B45" s="26"/>
      <c r="C45" s="27"/>
      <c r="D45" s="38" t="str">
        <f>CONCATENATE(Store_Setting[[#This Row],[商品序号]], " | ", Store_Setting[[#This Row],[商品名称]])</f>
        <v xml:space="preserve">35 | </v>
      </c>
      <c r="E45" s="17">
        <v>35</v>
      </c>
      <c r="F45" s="119"/>
      <c r="G45" s="109">
        <f>Store_Setting[[#This Row],[库存负差]]-SUM(Store_Setting[[#This Row],[已存入]]-Store_Setting[[#This Row],[已支取]])</f>
        <v>0</v>
      </c>
      <c r="H45" s="18">
        <f>SUM(UserInfo[35 - 剩余])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Row],[入库小计]]-Store_Setting[[#This Row],[取货小计]]</f>
        <v>0</v>
      </c>
      <c r="L45" s="18">
        <f>SUMIFS(Store_History[数量],Store_History[唯一识别码],Store_Setting[[#This Row],[唯一识别码]],Store_History[类型],"入库")</f>
        <v>0</v>
      </c>
      <c r="M45" s="18">
        <f>SUMIFS(Store_History[数量],Store_History[唯一识别码],Store_Setting[[#This Row],[唯一识别码]],Store_History[类型],"取货")</f>
        <v>0</v>
      </c>
      <c r="N45" s="119" t="s">
        <v>126</v>
      </c>
      <c r="O45" s="119" t="s">
        <v>126</v>
      </c>
      <c r="P45" s="56" t="s">
        <v>404</v>
      </c>
      <c r="Q45" s="56" t="s">
        <v>452</v>
      </c>
      <c r="R45" s="56" t="s">
        <v>453</v>
      </c>
      <c r="S45" s="56" t="s">
        <v>364</v>
      </c>
    </row>
    <row r="46" spans="2:19" ht="40.1" customHeight="1" x14ac:dyDescent="0.4">
      <c r="B46" s="26"/>
      <c r="C46" s="27"/>
      <c r="D46" s="38" t="str">
        <f>CONCATENATE(Store_Setting[[#This Row],[商品序号]], " | ", Store_Setting[[#This Row],[商品名称]])</f>
        <v xml:space="preserve">36 | </v>
      </c>
      <c r="E46" s="17">
        <v>36</v>
      </c>
      <c r="F46" s="119"/>
      <c r="G46" s="109">
        <f>Store_Setting[[#This Row],[库存负差]]-SUM(Store_Setting[[#This Row],[已存入]]-Store_Setting[[#This Row],[已支取]])</f>
        <v>0</v>
      </c>
      <c r="H46" s="18">
        <f>SUM(UserInfo[36 - 剩余])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Row],[入库小计]]-Store_Setting[[#This Row],[取货小计]]</f>
        <v>0</v>
      </c>
      <c r="L46" s="18">
        <f>SUMIFS(Store_History[数量],Store_History[唯一识别码],Store_Setting[[#This Row],[唯一识别码]],Store_History[类型],"入库")</f>
        <v>0</v>
      </c>
      <c r="M46" s="18">
        <f>SUMIFS(Store_History[数量],Store_History[唯一识别码],Store_Setting[[#This Row],[唯一识别码]],Store_History[类型],"取货")</f>
        <v>0</v>
      </c>
      <c r="N46" s="119" t="s">
        <v>126</v>
      </c>
      <c r="O46" s="119" t="s">
        <v>126</v>
      </c>
      <c r="P46" s="56" t="s">
        <v>405</v>
      </c>
      <c r="Q46" s="56" t="s">
        <v>454</v>
      </c>
      <c r="R46" s="56" t="s">
        <v>455</v>
      </c>
      <c r="S46" s="56" t="s">
        <v>365</v>
      </c>
    </row>
    <row r="47" spans="2:19" ht="40.1" customHeight="1" x14ac:dyDescent="0.4">
      <c r="B47" s="26"/>
      <c r="C47" s="27"/>
      <c r="D47" s="38" t="str">
        <f>CONCATENATE(Store_Setting[[#This Row],[商品序号]], " | ", Store_Setting[[#This Row],[商品名称]])</f>
        <v xml:space="preserve">37 | </v>
      </c>
      <c r="E47" s="17">
        <v>37</v>
      </c>
      <c r="F47" s="119"/>
      <c r="G47" s="109">
        <f>Store_Setting[[#This Row],[库存负差]]-SUM(Store_Setting[[#This Row],[已存入]]-Store_Setting[[#This Row],[已支取]])</f>
        <v>0</v>
      </c>
      <c r="H47" s="18">
        <f>SUM(UserInfo[37 - 剩余])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Row],[入库小计]]-Store_Setting[[#This Row],[取货小计]]</f>
        <v>0</v>
      </c>
      <c r="L47" s="18">
        <f>SUMIFS(Store_History[数量],Store_History[唯一识别码],Store_Setting[[#This Row],[唯一识别码]],Store_History[类型],"入库")</f>
        <v>0</v>
      </c>
      <c r="M47" s="18">
        <f>SUMIFS(Store_History[数量],Store_History[唯一识别码],Store_Setting[[#This Row],[唯一识别码]],Store_History[类型],"取货")</f>
        <v>0</v>
      </c>
      <c r="N47" s="119" t="s">
        <v>126</v>
      </c>
      <c r="O47" s="119" t="s">
        <v>126</v>
      </c>
      <c r="P47" s="56" t="s">
        <v>406</v>
      </c>
      <c r="Q47" s="56" t="s">
        <v>456</v>
      </c>
      <c r="R47" s="56" t="s">
        <v>457</v>
      </c>
      <c r="S47" s="56" t="s">
        <v>366</v>
      </c>
    </row>
    <row r="48" spans="2:19" ht="40.1" customHeight="1" x14ac:dyDescent="0.4">
      <c r="B48" s="26"/>
      <c r="C48" s="27"/>
      <c r="D48" s="38" t="str">
        <f>CONCATENATE(Store_Setting[[#This Row],[商品序号]], " | ", Store_Setting[[#This Row],[商品名称]])</f>
        <v xml:space="preserve">38 | </v>
      </c>
      <c r="E48" s="17">
        <v>38</v>
      </c>
      <c r="F48" s="119"/>
      <c r="G48" s="109">
        <f>Store_Setting[[#This Row],[库存负差]]-SUM(Store_Setting[[#This Row],[已存入]]-Store_Setting[[#This Row],[已支取]])</f>
        <v>0</v>
      </c>
      <c r="H48" s="18">
        <f>SUM(UserInfo[38 - 剩余])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Row],[入库小计]]-Store_Setting[[#This Row],[取货小计]]</f>
        <v>0</v>
      </c>
      <c r="L48" s="18">
        <f>SUMIFS(Store_History[数量],Store_History[唯一识别码],Store_Setting[[#This Row],[唯一识别码]],Store_History[类型],"入库")</f>
        <v>0</v>
      </c>
      <c r="M48" s="18">
        <f>SUMIFS(Store_History[数量],Store_History[唯一识别码],Store_Setting[[#This Row],[唯一识别码]],Store_History[类型],"取货")</f>
        <v>0</v>
      </c>
      <c r="N48" s="119" t="s">
        <v>126</v>
      </c>
      <c r="O48" s="119" t="s">
        <v>126</v>
      </c>
      <c r="P48" s="56" t="s">
        <v>407</v>
      </c>
      <c r="Q48" s="56" t="s">
        <v>458</v>
      </c>
      <c r="R48" s="56" t="s">
        <v>459</v>
      </c>
      <c r="S48" s="56" t="s">
        <v>367</v>
      </c>
    </row>
    <row r="49" spans="2:19" ht="40.1" customHeight="1" x14ac:dyDescent="0.4">
      <c r="B49" s="26"/>
      <c r="C49" s="27"/>
      <c r="D49" s="38" t="str">
        <f>CONCATENATE(Store_Setting[[#This Row],[商品序号]], " | ", Store_Setting[[#This Row],[商品名称]])</f>
        <v xml:space="preserve">39 | </v>
      </c>
      <c r="E49" s="17">
        <v>39</v>
      </c>
      <c r="F49" s="119"/>
      <c r="G49" s="109">
        <f>Store_Setting[[#This Row],[库存负差]]-SUM(Store_Setting[[#This Row],[已存入]]-Store_Setting[[#This Row],[已支取]])</f>
        <v>0</v>
      </c>
      <c r="H49" s="18">
        <f>SUM(UserInfo[39 - 剩余])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Row],[入库小计]]-Store_Setting[[#This Row],[取货小计]]</f>
        <v>0</v>
      </c>
      <c r="L49" s="18">
        <f>SUMIFS(Store_History[数量],Store_History[唯一识别码],Store_Setting[[#This Row],[唯一识别码]],Store_History[类型],"入库")</f>
        <v>0</v>
      </c>
      <c r="M49" s="18">
        <f>SUMIFS(Store_History[数量],Store_History[唯一识别码],Store_Setting[[#This Row],[唯一识别码]],Store_History[类型],"取货")</f>
        <v>0</v>
      </c>
      <c r="N49" s="119" t="s">
        <v>126</v>
      </c>
      <c r="O49" s="119" t="s">
        <v>126</v>
      </c>
      <c r="P49" s="56" t="s">
        <v>408</v>
      </c>
      <c r="Q49" s="56" t="s">
        <v>460</v>
      </c>
      <c r="R49" s="56" t="s">
        <v>461</v>
      </c>
      <c r="S49" s="56" t="s">
        <v>368</v>
      </c>
    </row>
    <row r="50" spans="2:19" ht="40.1" customHeight="1" x14ac:dyDescent="0.4">
      <c r="B50" s="26"/>
      <c r="C50" s="27"/>
      <c r="D50" s="38" t="str">
        <f>CONCATENATE(Store_Setting[[#This Row],[商品序号]], " | ", Store_Setting[[#This Row],[商品名称]])</f>
        <v xml:space="preserve">40 | </v>
      </c>
      <c r="E50" s="17">
        <v>40</v>
      </c>
      <c r="F50" s="119"/>
      <c r="G50" s="109">
        <f>Store_Setting[[#This Row],[库存负差]]-SUM(Store_Setting[[#This Row],[已存入]]-Store_Setting[[#This Row],[已支取]])</f>
        <v>0</v>
      </c>
      <c r="H50" s="18">
        <f>SUM(UserInfo[40 - 剩余])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Row],[入库小计]]-Store_Setting[[#This Row],[取货小计]]</f>
        <v>0</v>
      </c>
      <c r="L50" s="18">
        <f>SUMIFS(Store_History[数量],Store_History[唯一识别码],Store_Setting[[#This Row],[唯一识别码]],Store_History[类型],"入库")</f>
        <v>0</v>
      </c>
      <c r="M50" s="18">
        <f>SUMIFS(Store_History[数量],Store_History[唯一识别码],Store_Setting[[#This Row],[唯一识别码]],Store_History[类型],"取货")</f>
        <v>0</v>
      </c>
      <c r="N50" s="119" t="s">
        <v>126</v>
      </c>
      <c r="O50" s="119" t="s">
        <v>126</v>
      </c>
      <c r="P50" s="56" t="s">
        <v>409</v>
      </c>
      <c r="Q50" s="56" t="s">
        <v>462</v>
      </c>
      <c r="R50" s="56" t="s">
        <v>463</v>
      </c>
      <c r="S50" s="56" t="s">
        <v>354</v>
      </c>
    </row>
    <row r="51" spans="2:19" ht="8.25" customHeight="1" x14ac:dyDescent="0.4">
      <c r="I51" s="60"/>
    </row>
    <row r="52" spans="2:19" ht="40.1" customHeight="1" x14ac:dyDescent="0.4">
      <c r="B52" s="26" t="s">
        <v>15</v>
      </c>
      <c r="C52" s="27" t="s">
        <v>125</v>
      </c>
      <c r="D52" s="121" t="s">
        <v>278</v>
      </c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</row>
    <row r="53" spans="2:19" ht="40.1" customHeight="1" x14ac:dyDescent="0.4">
      <c r="B53" s="26"/>
      <c r="C53" s="27" t="s">
        <v>29</v>
      </c>
      <c r="D53" s="122" t="s">
        <v>277</v>
      </c>
      <c r="E53" s="122" t="s">
        <v>278</v>
      </c>
      <c r="F53" s="122"/>
      <c r="G53" s="122"/>
      <c r="H53" s="122"/>
      <c r="I53" s="123"/>
      <c r="J53" s="123"/>
      <c r="K53" s="123"/>
      <c r="L53" s="123"/>
      <c r="M53" s="123"/>
      <c r="N53" s="123"/>
      <c r="O53" s="123"/>
    </row>
    <row r="54" spans="2:19" ht="40.1" customHeight="1" x14ac:dyDescent="0.4">
      <c r="B54" s="26"/>
      <c r="C54" s="27" t="s">
        <v>30</v>
      </c>
      <c r="D54" s="122"/>
      <c r="E54" s="122"/>
      <c r="F54" s="122"/>
      <c r="G54" s="122"/>
      <c r="H54" s="122"/>
      <c r="I54" s="123"/>
      <c r="J54" s="123"/>
      <c r="K54" s="123"/>
      <c r="L54" s="123"/>
      <c r="M54" s="123"/>
      <c r="N54" s="123"/>
      <c r="O54" s="123"/>
    </row>
    <row r="55" spans="2:19" ht="8.25" customHeight="1" x14ac:dyDescent="0.4">
      <c r="B55" s="106"/>
      <c r="D55" s="107"/>
      <c r="E55" s="107"/>
      <c r="F55" s="107"/>
      <c r="G55" s="107"/>
      <c r="H55" s="107"/>
      <c r="I55" s="107"/>
      <c r="J55" s="107"/>
      <c r="K55" s="107"/>
      <c r="L55" s="107"/>
      <c r="M55" s="107"/>
      <c r="N55" s="107"/>
      <c r="O55" s="107"/>
    </row>
    <row r="56" spans="2:19" ht="40.1" customHeight="1" x14ac:dyDescent="0.4">
      <c r="B56" s="26" t="s">
        <v>16</v>
      </c>
      <c r="C56" s="27" t="s">
        <v>312</v>
      </c>
      <c r="D56" s="29" t="s">
        <v>28</v>
      </c>
      <c r="E56" s="12" t="s">
        <v>1</v>
      </c>
      <c r="F56" s="12" t="s">
        <v>22</v>
      </c>
      <c r="G56" s="30" t="s">
        <v>21</v>
      </c>
      <c r="H56" s="30" t="s">
        <v>23</v>
      </c>
      <c r="I56" s="30" t="s">
        <v>24</v>
      </c>
      <c r="J56" s="148"/>
      <c r="K56" s="148"/>
      <c r="L56" s="148"/>
      <c r="M56" s="148"/>
      <c r="N56" s="148"/>
      <c r="O56" s="148"/>
    </row>
    <row r="57" spans="2:19" ht="40.1" customHeight="1" x14ac:dyDescent="0.4">
      <c r="B57" s="26"/>
      <c r="C57" s="27"/>
      <c r="D57" s="65" t="s">
        <v>126</v>
      </c>
      <c r="E57" s="65" t="s">
        <v>127</v>
      </c>
      <c r="F57" s="65" t="s">
        <v>127</v>
      </c>
      <c r="G57" s="65" t="s">
        <v>127</v>
      </c>
      <c r="H57" s="65" t="s">
        <v>127</v>
      </c>
      <c r="I57" s="65" t="s">
        <v>127</v>
      </c>
      <c r="J57" s="148"/>
      <c r="K57" s="148"/>
      <c r="L57" s="148"/>
      <c r="M57" s="148"/>
      <c r="N57" s="148"/>
      <c r="O57" s="148"/>
    </row>
    <row r="58" spans="2:19" ht="40.1" customHeight="1" x14ac:dyDescent="0.4">
      <c r="B58" s="26"/>
      <c r="C58" s="71" t="s">
        <v>309</v>
      </c>
      <c r="D58" s="65" t="s">
        <v>127</v>
      </c>
      <c r="E58" s="149" t="s">
        <v>263</v>
      </c>
      <c r="F58" s="148"/>
      <c r="G58" s="148"/>
      <c r="H58" s="148"/>
      <c r="I58" s="148"/>
      <c r="J58" s="148"/>
      <c r="K58" s="148"/>
      <c r="L58" s="148"/>
      <c r="M58" s="148"/>
      <c r="N58" s="148"/>
      <c r="O58" s="148"/>
    </row>
    <row r="59" spans="2:19" ht="40.1" customHeight="1" x14ac:dyDescent="0.4">
      <c r="B59" s="26"/>
      <c r="C59" s="71" t="s">
        <v>315</v>
      </c>
      <c r="D59" s="65" t="s">
        <v>126</v>
      </c>
      <c r="E59" s="149" t="s">
        <v>319</v>
      </c>
      <c r="F59" s="148"/>
      <c r="G59" s="148"/>
      <c r="H59" s="148"/>
      <c r="I59" s="148"/>
      <c r="J59" s="148"/>
      <c r="K59" s="148"/>
      <c r="L59" s="148"/>
      <c r="M59" s="148"/>
      <c r="N59" s="148"/>
      <c r="O59" s="148"/>
    </row>
    <row r="60" spans="2:19" ht="40.1" customHeight="1" x14ac:dyDescent="0.4">
      <c r="B60" s="26"/>
      <c r="C60" s="71" t="s">
        <v>314</v>
      </c>
      <c r="D60" s="65" t="s">
        <v>126</v>
      </c>
      <c r="E60" s="149" t="s">
        <v>320</v>
      </c>
      <c r="F60" s="148"/>
      <c r="G60" s="148"/>
      <c r="H60" s="148"/>
      <c r="I60" s="148"/>
      <c r="J60" s="148"/>
      <c r="K60" s="148"/>
      <c r="L60" s="148"/>
      <c r="M60" s="148"/>
      <c r="N60" s="148"/>
      <c r="O60" s="148"/>
    </row>
    <row r="61" spans="2:19" ht="8.25" customHeight="1" x14ac:dyDescent="0.4">
      <c r="B61" s="106"/>
      <c r="D61" s="107"/>
      <c r="E61" s="107"/>
      <c r="F61" s="107"/>
      <c r="G61" s="107"/>
      <c r="H61" s="107"/>
      <c r="I61" s="107"/>
      <c r="J61" s="107"/>
      <c r="K61" s="107"/>
      <c r="L61" s="107"/>
      <c r="M61" s="107"/>
      <c r="N61" s="107"/>
      <c r="O61" s="107"/>
    </row>
    <row r="62" spans="2:19" ht="40.1" customHeight="1" x14ac:dyDescent="0.4">
      <c r="B62" s="26" t="s">
        <v>25</v>
      </c>
      <c r="C62" s="27" t="s">
        <v>224</v>
      </c>
      <c r="D62" s="121" t="s">
        <v>225</v>
      </c>
      <c r="E62" s="121" t="s">
        <v>226</v>
      </c>
      <c r="F62" s="121" t="s">
        <v>227</v>
      </c>
      <c r="G62" s="121" t="s">
        <v>259</v>
      </c>
      <c r="H62" s="121" t="s">
        <v>260</v>
      </c>
      <c r="I62" s="121" t="s">
        <v>261</v>
      </c>
      <c r="J62" s="121" t="s">
        <v>262</v>
      </c>
      <c r="K62" s="121"/>
      <c r="L62" s="121"/>
      <c r="M62" s="121"/>
      <c r="N62" s="121"/>
      <c r="O62" s="121"/>
    </row>
    <row r="63" spans="2:19" ht="40.1" customHeight="1" x14ac:dyDescent="0.4">
      <c r="B63" s="26"/>
      <c r="C63" s="71" t="s">
        <v>311</v>
      </c>
      <c r="D63" s="65" t="s">
        <v>126</v>
      </c>
      <c r="E63" s="149" t="s">
        <v>268</v>
      </c>
      <c r="F63" s="27"/>
      <c r="G63" s="27"/>
      <c r="H63" s="27"/>
      <c r="I63" s="27"/>
      <c r="J63" s="27"/>
      <c r="K63" s="27"/>
      <c r="L63" s="27"/>
      <c r="M63" s="27"/>
      <c r="N63" s="27"/>
      <c r="O63" s="27"/>
    </row>
    <row r="64" spans="2:19" ht="40.1" customHeight="1" x14ac:dyDescent="0.4">
      <c r="B64" s="26"/>
      <c r="C64" s="71" t="s">
        <v>317</v>
      </c>
      <c r="D64" s="65" t="s">
        <v>126</v>
      </c>
      <c r="E64" s="149" t="s">
        <v>318</v>
      </c>
      <c r="F64" s="27"/>
      <c r="G64" s="27"/>
      <c r="H64" s="27"/>
      <c r="I64" s="27"/>
      <c r="J64" s="27"/>
      <c r="K64" s="27"/>
      <c r="L64" s="27"/>
      <c r="M64" s="27"/>
      <c r="N64" s="27"/>
      <c r="O64" s="27"/>
    </row>
    <row r="65" spans="2:15" ht="40.1" customHeight="1" x14ac:dyDescent="0.4">
      <c r="B65" s="26"/>
      <c r="C65" s="71" t="s">
        <v>316</v>
      </c>
      <c r="D65" s="65" t="s">
        <v>126</v>
      </c>
      <c r="E65" s="149" t="s">
        <v>321</v>
      </c>
      <c r="F65" s="27"/>
      <c r="G65" s="27"/>
      <c r="H65" s="27"/>
      <c r="I65" s="27"/>
      <c r="J65" s="27"/>
      <c r="K65" s="27"/>
      <c r="L65" s="27"/>
      <c r="M65" s="27"/>
      <c r="N65" s="27"/>
      <c r="O65" s="27"/>
    </row>
    <row r="66" spans="2:15" ht="8.25" customHeight="1" x14ac:dyDescent="0.4"/>
    <row r="67" spans="2:15" ht="40.1" customHeight="1" x14ac:dyDescent="0.4">
      <c r="B67" s="138" t="s">
        <v>217</v>
      </c>
      <c r="C67" s="27" t="s">
        <v>5</v>
      </c>
      <c r="D67" s="146" t="s">
        <v>8</v>
      </c>
      <c r="E67" s="146" t="s">
        <v>9</v>
      </c>
      <c r="F67" s="147"/>
      <c r="G67" s="147"/>
      <c r="H67" s="147"/>
      <c r="I67" s="147"/>
      <c r="J67" s="147"/>
      <c r="K67" s="147"/>
      <c r="L67" s="147"/>
      <c r="M67" s="147"/>
      <c r="N67" s="147"/>
      <c r="O67" s="147"/>
    </row>
    <row r="68" spans="2:15" ht="8.25" customHeight="1" x14ac:dyDescent="0.4">
      <c r="B68" s="106"/>
      <c r="D68" s="107"/>
      <c r="E68" s="107"/>
      <c r="F68" s="107"/>
      <c r="G68" s="107"/>
      <c r="H68" s="107"/>
      <c r="I68" s="107"/>
      <c r="J68" s="107"/>
      <c r="K68" s="107"/>
      <c r="L68" s="107"/>
      <c r="M68" s="107"/>
      <c r="N68" s="107"/>
      <c r="O68" s="107"/>
    </row>
    <row r="69" spans="2:15" ht="40.1" customHeight="1" x14ac:dyDescent="0.4">
      <c r="B69" s="138" t="s">
        <v>258</v>
      </c>
      <c r="C69" s="27" t="s">
        <v>310</v>
      </c>
      <c r="D69" s="146" t="s">
        <v>232</v>
      </c>
      <c r="E69" s="146" t="s">
        <v>218</v>
      </c>
      <c r="F69" s="147"/>
      <c r="G69" s="147"/>
      <c r="H69" s="147"/>
      <c r="I69" s="147"/>
      <c r="J69" s="147"/>
      <c r="K69" s="147"/>
      <c r="L69" s="147"/>
      <c r="M69" s="147"/>
      <c r="N69" s="147"/>
      <c r="O69" s="147"/>
    </row>
    <row r="70" spans="2:15" ht="8.25" customHeight="1" x14ac:dyDescent="0.4">
      <c r="B70" s="106"/>
      <c r="D70" s="107"/>
      <c r="E70" s="107"/>
      <c r="F70" s="107"/>
      <c r="G70" s="107"/>
      <c r="H70" s="107"/>
      <c r="I70" s="107"/>
      <c r="J70" s="107"/>
      <c r="K70" s="107"/>
      <c r="L70" s="107"/>
      <c r="M70" s="107"/>
      <c r="N70" s="107"/>
      <c r="O70" s="107"/>
    </row>
    <row r="71" spans="2:15" ht="40.1" customHeight="1" x14ac:dyDescent="0.4">
      <c r="B71" s="138" t="s">
        <v>266</v>
      </c>
      <c r="C71" s="27" t="s">
        <v>1</v>
      </c>
      <c r="D71" s="146" t="s">
        <v>10</v>
      </c>
      <c r="E71" s="146" t="s">
        <v>11</v>
      </c>
      <c r="F71" s="147"/>
      <c r="G71" s="147"/>
      <c r="H71" s="147"/>
      <c r="I71" s="147"/>
      <c r="J71" s="147"/>
      <c r="K71" s="147"/>
      <c r="L71" s="147"/>
      <c r="M71" s="147"/>
      <c r="N71" s="147"/>
      <c r="O71" s="147"/>
    </row>
    <row r="72" spans="2:15" ht="8.25" customHeight="1" x14ac:dyDescent="0.4">
      <c r="B72" s="106"/>
      <c r="D72" s="107"/>
      <c r="E72" s="107"/>
      <c r="F72" s="107"/>
      <c r="G72" s="107"/>
      <c r="H72" s="107"/>
      <c r="I72" s="107"/>
      <c r="J72" s="107"/>
      <c r="K72" s="107"/>
      <c r="L72" s="107"/>
      <c r="M72" s="107"/>
      <c r="N72" s="107"/>
      <c r="O72" s="107"/>
    </row>
    <row r="73" spans="2:15" ht="40.1" customHeight="1" x14ac:dyDescent="0.4">
      <c r="B73" s="138" t="s">
        <v>273</v>
      </c>
      <c r="C73" s="152" t="s">
        <v>122</v>
      </c>
      <c r="D73" s="153" t="str">
        <f>_xlfn.CONCAT("共有 ", COUNT(UserInfo[序号]), " 人", "，男占 ", COUNTIF(UserInfo[性别],"男")," 人", "，女占 ", COUNTIF(UserInfo[性别],"女")," 人")</f>
        <v>共有 2 人，男占 1 人，女占 1 人</v>
      </c>
      <c r="E73" s="148"/>
      <c r="F73" s="27"/>
      <c r="G73" s="27"/>
      <c r="H73" s="27"/>
      <c r="I73" s="27"/>
      <c r="J73" s="27"/>
      <c r="K73" s="27"/>
      <c r="L73" s="27"/>
      <c r="M73" s="27"/>
      <c r="N73" s="27"/>
      <c r="O73" s="27"/>
    </row>
    <row r="74" spans="2:15" ht="40.1" customHeight="1" x14ac:dyDescent="0.4">
      <c r="B74" s="138"/>
      <c r="C74" s="152" t="s">
        <v>313</v>
      </c>
      <c r="D74" s="153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74" s="148"/>
      <c r="F74" s="27"/>
      <c r="G74" s="27"/>
      <c r="H74" s="27"/>
      <c r="I74" s="27"/>
      <c r="J74" s="27"/>
      <c r="K74" s="27"/>
      <c r="L74" s="27"/>
      <c r="M74" s="27"/>
      <c r="N74" s="27"/>
      <c r="O74" s="27"/>
    </row>
    <row r="75" spans="2:15" ht="40.1" customHeight="1" x14ac:dyDescent="0.4">
      <c r="B75" s="138"/>
      <c r="C75" s="152" t="s">
        <v>135</v>
      </c>
      <c r="D75" s="153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75" s="148"/>
      <c r="F75" s="27"/>
      <c r="G75" s="27"/>
      <c r="H75" s="27"/>
      <c r="I75" s="154"/>
      <c r="J75" s="27"/>
      <c r="K75" s="27"/>
      <c r="L75" s="27"/>
      <c r="M75" s="27"/>
      <c r="N75" s="27"/>
      <c r="O75" s="27"/>
    </row>
    <row r="76" spans="2:15" ht="40.1" customHeight="1" x14ac:dyDescent="0.4">
      <c r="B76" s="138"/>
      <c r="C76" s="152" t="s">
        <v>26</v>
      </c>
      <c r="D76" s="153" t="str">
        <f>_xlfn.CONCAT("共有 ", COUNTA(Get_Staff_Member)," 位员工")</f>
        <v>共有 2 位员工</v>
      </c>
      <c r="E76" s="148"/>
      <c r="F76" s="27"/>
      <c r="G76" s="27"/>
      <c r="H76" s="27"/>
      <c r="I76" s="27"/>
      <c r="J76" s="27"/>
      <c r="K76" s="27"/>
      <c r="L76" s="27"/>
      <c r="M76" s="27"/>
      <c r="N76" s="27"/>
      <c r="O76" s="27"/>
    </row>
    <row r="77" spans="2:15" ht="40.1" customHeight="1" x14ac:dyDescent="0.4">
      <c r="B77" s="138"/>
      <c r="C77" s="152" t="s">
        <v>224</v>
      </c>
      <c r="D77" s="153" t="str">
        <f>_xlfn.CONCAT("已设置 ", COUNTA(Get_Work_Unit)," 个单位")</f>
        <v>已设置 7 个单位</v>
      </c>
      <c r="E77" s="148"/>
      <c r="F77" s="27"/>
      <c r="G77" s="27"/>
      <c r="H77" s="27"/>
      <c r="I77" s="27"/>
      <c r="J77" s="27"/>
      <c r="K77" s="27"/>
      <c r="L77" s="27"/>
      <c r="M77" s="27"/>
      <c r="N77" s="27"/>
      <c r="O77" s="27"/>
    </row>
    <row r="78" spans="2:15" ht="16.100000000000001" customHeight="1" x14ac:dyDescent="0.4"/>
    <row r="79" spans="2:15" ht="40.1" customHeight="1" x14ac:dyDescent="0.4">
      <c r="B79" s="44" t="s">
        <v>17</v>
      </c>
      <c r="C79" s="44"/>
      <c r="D79" s="44"/>
      <c r="E79" s="44"/>
    </row>
    <row r="80" spans="2:15" ht="40.1" customHeight="1" x14ac:dyDescent="0.4">
      <c r="B80" s="31" t="s">
        <v>19</v>
      </c>
      <c r="C80" s="36" t="s">
        <v>130</v>
      </c>
      <c r="D80" s="45"/>
      <c r="E80" s="45"/>
    </row>
    <row r="81" spans="2:5" ht="40.1" customHeight="1" x14ac:dyDescent="0.4">
      <c r="B81" s="31" t="s">
        <v>20</v>
      </c>
      <c r="C81" s="40" t="s">
        <v>18</v>
      </c>
      <c r="D81" s="43"/>
      <c r="E81" s="43"/>
    </row>
    <row r="82" spans="2:5" ht="40.1" customHeight="1" x14ac:dyDescent="0.4">
      <c r="B82" s="31" t="s">
        <v>128</v>
      </c>
      <c r="C82" s="36" t="s">
        <v>129</v>
      </c>
      <c r="D82" s="45"/>
      <c r="E82" s="45"/>
    </row>
    <row r="83" spans="2:5" ht="40.1" customHeight="1" x14ac:dyDescent="0.4">
      <c r="B83" s="31" t="s">
        <v>123</v>
      </c>
      <c r="C83" s="36" t="s">
        <v>470</v>
      </c>
      <c r="D83" s="36"/>
      <c r="E83" s="36"/>
    </row>
    <row r="84" spans="2:5" ht="14.25" customHeight="1" x14ac:dyDescent="0.4"/>
  </sheetData>
  <sheetProtection sheet="1" selectLockedCells="1"/>
  <mergeCells count="4">
    <mergeCell ref="K9:M9"/>
    <mergeCell ref="H9:J9"/>
    <mergeCell ref="P9:S9"/>
    <mergeCell ref="N9:O9"/>
  </mergeCells>
  <phoneticPr fontId="7" type="noConversion"/>
  <conditionalFormatting sqref="F11:F50 N11:O50">
    <cfRule type="expression" dxfId="398" priority="4">
      <formula>MOD(ROW(),2)=1</formula>
    </cfRule>
    <cfRule type="expression" dxfId="397" priority="5">
      <formula>MOD(ROW(),2)=0</formula>
    </cfRule>
  </conditionalFormatting>
  <dataValidations count="3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8:D60 D63:D65 D57:I57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</dataValidations>
  <hyperlinks>
    <hyperlink ref="C82" r:id="rId1" xr:uid="{4E14B09B-F407-4922-ABB2-323A16485ECB}"/>
    <hyperlink ref="C80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 x14ac:dyDescent="0.4"/>
  <cols>
    <col min="1" max="2" width="2.69140625" style="125" customWidth="1"/>
    <col min="3" max="3" width="14.69140625" style="125" customWidth="1"/>
    <col min="4" max="4" width="15.69140625" style="125" customWidth="1"/>
    <col min="5" max="5" width="44.69140625" style="125" customWidth="1"/>
    <col min="6" max="6" width="5.69140625" style="126" customWidth="1"/>
    <col min="7" max="8" width="2.69140625" style="125" customWidth="1"/>
    <col min="9" max="16384" width="9.15234375" style="125" hidden="1"/>
  </cols>
  <sheetData>
    <row r="1" spans="1:8" s="150" customFormat="1" ht="6" customHeight="1" x14ac:dyDescent="0.4">
      <c r="F1" s="151"/>
    </row>
    <row r="2" spans="1:8" ht="55.1" customHeight="1" x14ac:dyDescent="0.4">
      <c r="A2" s="2"/>
      <c r="B2" s="4" t="str">
        <f>设置!D7 &amp;" - 新增入库取货"</f>
        <v>Yi - 新增入库取货</v>
      </c>
      <c r="C2" s="4"/>
      <c r="D2" s="4"/>
      <c r="E2" s="2"/>
      <c r="F2" s="78"/>
      <c r="G2" s="2"/>
      <c r="H2" s="2"/>
    </row>
    <row r="3" spans="1:8" ht="14.25" customHeight="1" x14ac:dyDescent="0.4"/>
    <row r="4" spans="1:8" ht="14.25" customHeight="1" x14ac:dyDescent="0.4">
      <c r="B4" s="1"/>
      <c r="C4" s="1"/>
      <c r="D4" s="1"/>
      <c r="E4" s="1"/>
      <c r="F4" s="79"/>
      <c r="G4" s="1"/>
    </row>
    <row r="5" spans="1:8" ht="35.25" customHeight="1" x14ac:dyDescent="0.4">
      <c r="B5" s="1"/>
      <c r="C5" s="9" t="s">
        <v>86</v>
      </c>
      <c r="D5" s="8"/>
      <c r="E5" s="10"/>
      <c r="F5" s="80"/>
      <c r="G5" s="1"/>
    </row>
    <row r="6" spans="1:8" ht="14.25" customHeight="1" x14ac:dyDescent="0.4">
      <c r="B6" s="1"/>
      <c r="C6" s="1"/>
      <c r="D6" s="1"/>
      <c r="E6" s="1"/>
      <c r="F6" s="79"/>
      <c r="G6" s="1"/>
    </row>
    <row r="7" spans="1:8" ht="35.25" customHeight="1" x14ac:dyDescent="0.4">
      <c r="B7" s="1"/>
      <c r="C7" s="1" t="s">
        <v>216</v>
      </c>
      <c r="D7" s="11" t="s">
        <v>3</v>
      </c>
      <c r="E7" s="34"/>
      <c r="F7" s="110">
        <v>-1</v>
      </c>
      <c r="G7" s="60"/>
    </row>
    <row r="8" spans="1:8" ht="35.25" customHeight="1" x14ac:dyDescent="0.4">
      <c r="B8" s="1"/>
      <c r="C8" s="1"/>
      <c r="D8" s="35" t="s">
        <v>0</v>
      </c>
      <c r="E8" s="32" t="str">
        <f>IFERROR(VLOOKUP(E7,Store_Setting[[唯一识别码]:[取货小计]],2,0)&amp;"","")</f>
        <v/>
      </c>
      <c r="F8" s="75"/>
      <c r="G8" s="60"/>
    </row>
    <row r="9" spans="1:8" ht="35.25" customHeight="1" x14ac:dyDescent="0.4">
      <c r="B9" s="1"/>
      <c r="C9" s="1"/>
      <c r="D9" s="35" t="s">
        <v>41</v>
      </c>
      <c r="E9" s="32" t="str">
        <f>IFERROR(VLOOKUP(E7,Store_Setting[[唯一识别码]:[取货小计]],3,0)&amp;"","")</f>
        <v/>
      </c>
      <c r="F9" s="75"/>
      <c r="G9" s="60"/>
    </row>
    <row r="10" spans="1:8" ht="15" customHeight="1" x14ac:dyDescent="0.4">
      <c r="B10" s="1"/>
      <c r="C10" s="1"/>
      <c r="D10" s="1"/>
      <c r="E10" s="1"/>
      <c r="F10" s="75"/>
      <c r="G10" s="60"/>
    </row>
    <row r="11" spans="1:8" ht="35.25" customHeight="1" x14ac:dyDescent="0.4">
      <c r="B11" s="1"/>
      <c r="C11" s="1" t="s">
        <v>230</v>
      </c>
      <c r="D11" s="11" t="s">
        <v>5</v>
      </c>
      <c r="E11" s="33"/>
      <c r="F11" s="111">
        <v>-1</v>
      </c>
      <c r="G11" s="60"/>
    </row>
    <row r="12" spans="1:8" ht="35.25" customHeight="1" x14ac:dyDescent="0.4">
      <c r="B12" s="1"/>
      <c r="C12" s="1"/>
      <c r="D12" s="11" t="s">
        <v>219</v>
      </c>
      <c r="E12" s="64"/>
      <c r="F12" s="111">
        <v>-1</v>
      </c>
      <c r="G12" s="60"/>
    </row>
    <row r="13" spans="1:8" ht="35.25" customHeight="1" x14ac:dyDescent="0.4">
      <c r="B13" s="1"/>
      <c r="C13" s="1"/>
      <c r="D13" s="11" t="s">
        <v>224</v>
      </c>
      <c r="E13" s="34"/>
      <c r="F13" s="110">
        <v>-1</v>
      </c>
      <c r="G13" s="60"/>
    </row>
    <row r="14" spans="1:8" ht="15" customHeight="1" x14ac:dyDescent="0.4">
      <c r="B14" s="1"/>
      <c r="C14" s="1"/>
      <c r="D14" s="1"/>
      <c r="E14" s="1"/>
      <c r="F14" s="75"/>
      <c r="G14" s="60"/>
    </row>
    <row r="15" spans="1:8" ht="35.25" customHeight="1" x14ac:dyDescent="0.4">
      <c r="B15" s="1"/>
      <c r="C15" s="1"/>
      <c r="D15" s="11" t="s">
        <v>7</v>
      </c>
      <c r="E15" s="14"/>
      <c r="F15" s="76"/>
      <c r="G15" s="60"/>
    </row>
    <row r="16" spans="1:8" ht="15" customHeight="1" x14ac:dyDescent="0.4">
      <c r="B16" s="1"/>
      <c r="C16" s="1"/>
      <c r="D16" s="1"/>
      <c r="E16" s="1"/>
      <c r="F16" s="75"/>
      <c r="G16" s="60"/>
    </row>
    <row r="17" spans="2:12" ht="35.25" customHeight="1" x14ac:dyDescent="0.4">
      <c r="B17" s="1"/>
      <c r="C17" s="1" t="s">
        <v>269</v>
      </c>
      <c r="D17" s="11" t="s">
        <v>6</v>
      </c>
      <c r="E17" s="33" t="s">
        <v>278</v>
      </c>
      <c r="F17" s="75"/>
      <c r="G17" s="60"/>
    </row>
    <row r="18" spans="2:12" ht="14.25" customHeight="1" x14ac:dyDescent="0.4">
      <c r="B18" s="1"/>
      <c r="C18" s="1"/>
      <c r="D18" s="1"/>
      <c r="E18" s="1"/>
      <c r="F18" s="79"/>
      <c r="G18" s="1"/>
    </row>
    <row r="19" spans="2:12" ht="14.25" customHeight="1" x14ac:dyDescent="0.4"/>
    <row r="20" spans="2:12" ht="40.1" hidden="1" customHeight="1" x14ac:dyDescent="0.4">
      <c r="L20" s="125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.1" customHeight="1" x14ac:dyDescent="0.4"/>
  <cols>
    <col min="1" max="1" width="2.69140625" style="1" customWidth="1"/>
    <col min="2" max="2" width="8.69140625" style="1" customWidth="1"/>
    <col min="3" max="3" width="30.69140625" style="124" customWidth="1"/>
    <col min="4" max="4" width="12.69140625" style="85" customWidth="1"/>
    <col min="5" max="5" width="12.69140625" style="88" customWidth="1"/>
    <col min="6" max="6" width="12.69140625" style="85" customWidth="1"/>
    <col min="7" max="7" width="26.69140625" style="86" customWidth="1"/>
    <col min="8" max="8" width="12.69140625" style="85" customWidth="1"/>
    <col min="9" max="9" width="44.69140625" style="130" customWidth="1"/>
    <col min="10" max="10" width="2.69140625" style="1" customWidth="1"/>
    <col min="11" max="12" width="0" style="1" hidden="1" customWidth="1"/>
    <col min="13" max="16384" width="9.15234375" style="1" hidden="1"/>
  </cols>
  <sheetData>
    <row r="1" spans="2:9" s="150" customFormat="1" ht="6" customHeight="1" x14ac:dyDescent="0.4"/>
    <row r="2" spans="2:9" s="2" customFormat="1" ht="55.1" customHeight="1" x14ac:dyDescent="0.4">
      <c r="B2" s="4" t="str">
        <f>设置!D7 &amp;" - 入库取货"</f>
        <v>Yi - 入库取货</v>
      </c>
    </row>
    <row r="3" spans="2:9" ht="8.25" customHeight="1" x14ac:dyDescent="0.4">
      <c r="C3" s="1"/>
      <c r="D3" s="1"/>
      <c r="E3" s="1"/>
      <c r="F3" s="1"/>
      <c r="G3" s="1"/>
      <c r="H3" s="1"/>
      <c r="I3" s="1"/>
    </row>
    <row r="4" spans="2:9" ht="6" customHeight="1" x14ac:dyDescent="0.4">
      <c r="B4" s="5"/>
      <c r="C4" s="3"/>
      <c r="D4" s="3"/>
      <c r="E4" s="3"/>
      <c r="F4" s="3"/>
      <c r="G4" s="3"/>
      <c r="H4" s="3"/>
      <c r="I4" s="3"/>
    </row>
    <row r="5" spans="2:9" ht="8.25" customHeight="1" x14ac:dyDescent="0.4">
      <c r="C5" s="1"/>
      <c r="D5" s="1"/>
      <c r="E5" s="1"/>
      <c r="F5" s="1"/>
      <c r="G5" s="1"/>
      <c r="H5" s="1"/>
      <c r="I5" s="1"/>
    </row>
    <row r="6" spans="2:9" ht="40.1" customHeight="1" x14ac:dyDescent="0.4">
      <c r="B6" s="6" t="s">
        <v>0</v>
      </c>
      <c r="C6" s="6" t="s">
        <v>3</v>
      </c>
      <c r="D6" s="6" t="s">
        <v>5</v>
      </c>
      <c r="E6" s="6" t="s">
        <v>219</v>
      </c>
      <c r="F6" s="6" t="s">
        <v>224</v>
      </c>
      <c r="G6" s="6" t="s">
        <v>4</v>
      </c>
      <c r="H6" s="6" t="s">
        <v>6</v>
      </c>
      <c r="I6" s="6" t="s">
        <v>7</v>
      </c>
    </row>
    <row r="7" spans="2:9" ht="40.1" customHeight="1" x14ac:dyDescent="0.4">
      <c r="B7" s="54" cm="1">
        <f t="array" ref="B7">SNGKI</f>
        <v>1</v>
      </c>
      <c r="C7" s="117" t="s">
        <v>279</v>
      </c>
      <c r="D7" s="55" t="s">
        <v>232</v>
      </c>
      <c r="E7" s="16"/>
      <c r="F7" s="19"/>
      <c r="G7" s="84">
        <v>45268.505555555559</v>
      </c>
      <c r="H7" s="55" t="s">
        <v>278</v>
      </c>
      <c r="I7" s="127" t="s">
        <v>282</v>
      </c>
    </row>
  </sheetData>
  <sheetProtection selectLockedCells="1"/>
  <conditionalFormatting sqref="C7:I7">
    <cfRule type="expression" dxfId="378" priority="21">
      <formula>MOD(ROW(),2)=0</formula>
    </cfRule>
    <cfRule type="expression" dxfId="377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.1" customHeight="1" zeroHeight="1" x14ac:dyDescent="0.4"/>
  <cols>
    <col min="1" max="2" width="2.69140625" style="129" customWidth="1"/>
    <col min="3" max="3" width="14.69140625" style="129" customWidth="1"/>
    <col min="4" max="4" width="15.69140625" style="129" customWidth="1"/>
    <col min="5" max="5" width="44.69140625" style="129" customWidth="1"/>
    <col min="6" max="6" width="5.69140625" style="128" customWidth="1"/>
    <col min="7" max="8" width="2.69140625" style="128" customWidth="1"/>
    <col min="9" max="16384" width="9.15234375" style="128" hidden="1"/>
  </cols>
  <sheetData>
    <row r="1" spans="1:8" ht="6" customHeight="1" x14ac:dyDescent="0.4">
      <c r="A1" s="57"/>
      <c r="B1" s="57"/>
      <c r="C1" s="57"/>
      <c r="D1" s="57"/>
      <c r="E1" s="57"/>
      <c r="F1" s="73"/>
      <c r="G1" s="73"/>
      <c r="H1" s="73"/>
    </row>
    <row r="2" spans="1:8" ht="55.1" customHeight="1" x14ac:dyDescent="0.4">
      <c r="A2" s="59"/>
      <c r="B2" s="58" t="str">
        <f>设置!D7 &amp;" - 新增会员"</f>
        <v>Yi - 新增会员</v>
      </c>
      <c r="C2" s="58"/>
      <c r="D2" s="58"/>
      <c r="E2" s="59"/>
      <c r="F2" s="74"/>
      <c r="G2" s="74"/>
      <c r="H2" s="74"/>
    </row>
    <row r="3" spans="1:8" ht="14.25" customHeight="1" x14ac:dyDescent="0.4"/>
    <row r="4" spans="1:8" ht="14.25" customHeight="1" x14ac:dyDescent="0.4">
      <c r="B4" s="60"/>
      <c r="C4" s="60"/>
      <c r="D4" s="60"/>
      <c r="E4" s="60"/>
      <c r="F4" s="60"/>
      <c r="G4" s="60"/>
    </row>
    <row r="5" spans="1:8" ht="35.25" customHeight="1" x14ac:dyDescent="0.4">
      <c r="B5" s="60"/>
      <c r="C5" s="61" t="s">
        <v>86</v>
      </c>
      <c r="D5" s="8"/>
      <c r="E5" s="62"/>
      <c r="F5" s="81"/>
      <c r="G5" s="75"/>
    </row>
    <row r="6" spans="1:8" ht="14.25" customHeight="1" x14ac:dyDescent="0.4">
      <c r="B6" s="60"/>
      <c r="C6" s="60"/>
      <c r="D6" s="60"/>
      <c r="E6" s="60"/>
      <c r="F6" s="75"/>
      <c r="G6" s="75"/>
    </row>
    <row r="7" spans="1:8" ht="35.25" customHeight="1" x14ac:dyDescent="0.4">
      <c r="B7" s="60"/>
      <c r="C7" s="60" t="s">
        <v>85</v>
      </c>
      <c r="D7" s="140" t="s">
        <v>3</v>
      </c>
      <c r="E7" s="144" t="str">
        <f>CONCATENATE(IF(E8="","", _xlfn.CONCAT(E8)), IF(E9="","", _xlfn.CONCAT(E9)), IF(E14="","", _xlfn.CONCAT(" | ",E14)))</f>
        <v/>
      </c>
      <c r="F7" s="75"/>
      <c r="G7" s="75"/>
    </row>
    <row r="8" spans="1:8" ht="35.25" customHeight="1" x14ac:dyDescent="0.4">
      <c r="B8" s="60"/>
      <c r="C8" s="60"/>
      <c r="D8" s="63" t="s">
        <v>27</v>
      </c>
      <c r="E8" s="14"/>
      <c r="F8" s="110">
        <v>-1</v>
      </c>
      <c r="G8" s="75"/>
    </row>
    <row r="9" spans="1:8" ht="35.25" customHeight="1" x14ac:dyDescent="0.4">
      <c r="B9" s="60"/>
      <c r="C9" s="60"/>
      <c r="D9" s="63" t="s">
        <v>28</v>
      </c>
      <c r="E9" s="7"/>
      <c r="F9" s="111">
        <v>-1</v>
      </c>
      <c r="G9" s="75"/>
    </row>
    <row r="10" spans="1:8" ht="35.25" customHeight="1" x14ac:dyDescent="0.4">
      <c r="B10" s="60"/>
      <c r="C10" s="60"/>
      <c r="D10" s="63" t="s">
        <v>1</v>
      </c>
      <c r="E10" s="7"/>
      <c r="F10" s="111"/>
      <c r="G10" s="75"/>
    </row>
    <row r="11" spans="1:8" ht="35.25" customHeight="1" x14ac:dyDescent="0.4">
      <c r="B11" s="60"/>
      <c r="C11" s="60"/>
      <c r="D11" s="63" t="s">
        <v>22</v>
      </c>
      <c r="E11" s="120"/>
      <c r="F11" s="111"/>
      <c r="G11" s="75"/>
    </row>
    <row r="12" spans="1:8" ht="35.25" customHeight="1" x14ac:dyDescent="0.4">
      <c r="B12" s="60"/>
      <c r="C12" s="60"/>
      <c r="D12" s="63" t="s">
        <v>21</v>
      </c>
      <c r="E12" s="145"/>
      <c r="F12" s="111"/>
      <c r="G12" s="75"/>
    </row>
    <row r="13" spans="1:8" ht="15" customHeight="1" x14ac:dyDescent="0.4">
      <c r="B13" s="60"/>
      <c r="C13" s="60"/>
      <c r="D13" s="60"/>
      <c r="E13" s="60"/>
      <c r="F13" s="75"/>
      <c r="G13" s="75"/>
    </row>
    <row r="14" spans="1:8" ht="35.25" customHeight="1" x14ac:dyDescent="0.4">
      <c r="B14" s="60"/>
      <c r="C14" s="60" t="s">
        <v>89</v>
      </c>
      <c r="D14" s="63" t="s">
        <v>2</v>
      </c>
      <c r="E14" s="7"/>
      <c r="F14" s="111">
        <v>-1</v>
      </c>
      <c r="G14" s="75"/>
    </row>
    <row r="15" spans="1:8" ht="35.25" customHeight="1" x14ac:dyDescent="0.4">
      <c r="B15" s="60"/>
      <c r="C15" s="60"/>
      <c r="D15" s="63" t="s">
        <v>23</v>
      </c>
      <c r="E15" s="7"/>
      <c r="F15" s="111"/>
      <c r="G15" s="75"/>
    </row>
    <row r="16" spans="1:8" ht="35.25" customHeight="1" x14ac:dyDescent="0.4">
      <c r="B16" s="60"/>
      <c r="C16" s="60"/>
      <c r="D16" s="63" t="s">
        <v>24</v>
      </c>
      <c r="E16" s="14"/>
      <c r="F16" s="110"/>
      <c r="G16" s="75"/>
    </row>
    <row r="17" spans="2:7" ht="15" customHeight="1" x14ac:dyDescent="0.4">
      <c r="B17" s="60"/>
      <c r="C17" s="60"/>
      <c r="D17" s="60"/>
      <c r="E17" s="60"/>
      <c r="F17" s="75"/>
      <c r="G17" s="75"/>
    </row>
    <row r="18" spans="2:7" ht="35.25" customHeight="1" x14ac:dyDescent="0.4">
      <c r="B18" s="60"/>
      <c r="C18" s="60"/>
      <c r="D18" s="63" t="s">
        <v>7</v>
      </c>
      <c r="E18" s="14"/>
      <c r="F18" s="76"/>
      <c r="G18" s="75"/>
    </row>
    <row r="19" spans="2:7" ht="15" customHeight="1" x14ac:dyDescent="0.4">
      <c r="B19" s="60"/>
      <c r="C19" s="60"/>
      <c r="D19" s="60"/>
      <c r="E19" s="60"/>
      <c r="F19" s="75"/>
      <c r="G19" s="75"/>
    </row>
    <row r="20" spans="2:7" ht="35.25" customHeight="1" x14ac:dyDescent="0.4">
      <c r="B20" s="60"/>
      <c r="C20" s="60" t="s">
        <v>269</v>
      </c>
      <c r="D20" s="63" t="s">
        <v>6</v>
      </c>
      <c r="E20" s="7" t="s">
        <v>278</v>
      </c>
      <c r="F20" s="75"/>
      <c r="G20" s="75"/>
    </row>
    <row r="21" spans="2:7" ht="14.25" customHeight="1" x14ac:dyDescent="0.4">
      <c r="B21" s="60"/>
      <c r="C21" s="60"/>
      <c r="D21" s="60"/>
      <c r="E21" s="60"/>
      <c r="F21" s="75"/>
      <c r="G21" s="75"/>
    </row>
    <row r="22" spans="2:7" ht="14.25" customHeight="1" x14ac:dyDescent="0.4"/>
  </sheetData>
  <sheetProtection sheet="1" objects="1" scenarios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.1" customHeight="1" x14ac:dyDescent="0.3"/>
  <cols>
    <col min="1" max="1" width="2.69140625" style="60" customWidth="1"/>
    <col min="2" max="2" width="8.69140625" style="60" customWidth="1"/>
    <col min="3" max="3" width="30.69140625" style="141" customWidth="1"/>
    <col min="4" max="4" width="12.69140625" style="142" customWidth="1"/>
    <col min="5" max="6" width="12.69140625" style="142" hidden="1" customWidth="1"/>
    <col min="7" max="7" width="12.69140625" style="142" customWidth="1"/>
    <col min="8" max="123" width="12.69140625" style="142" hidden="1" customWidth="1"/>
    <col min="124" max="124" width="8.69140625" style="131" customWidth="1"/>
    <col min="125" max="125" width="14.69140625" style="132" customWidth="1"/>
    <col min="126" max="126" width="8.69140625" style="85" customWidth="1"/>
    <col min="127" max="127" width="24.69140625" style="97" customWidth="1"/>
    <col min="128" max="128" width="12.69140625" style="85" customWidth="1"/>
    <col min="129" max="129" width="20.69140625" style="97" customWidth="1"/>
    <col min="130" max="130" width="28.69140625" style="97" customWidth="1"/>
    <col min="131" max="131" width="44.69140625" style="97" customWidth="1"/>
    <col min="132" max="132" width="26.69140625" style="86" customWidth="1"/>
    <col min="133" max="133" width="18.69140625" style="77" customWidth="1"/>
    <col min="134" max="134" width="44.69140625" style="130" customWidth="1"/>
    <col min="135" max="135" width="12.69140625" style="112" customWidth="1"/>
    <col min="136" max="137" width="12.69140625" style="159" customWidth="1"/>
    <col min="138" max="138" width="2.69140625" style="13" customWidth="1"/>
    <col min="139" max="16384" width="9.15234375" style="13" hidden="1"/>
  </cols>
  <sheetData>
    <row r="1" spans="1:138" s="158" customFormat="1" ht="6" customHeight="1" x14ac:dyDescent="0.4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  <c r="BL1" s="57"/>
      <c r="BM1" s="57"/>
      <c r="BN1" s="57"/>
      <c r="BO1" s="57"/>
      <c r="BP1" s="57"/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  <c r="DG1" s="57"/>
      <c r="DH1" s="57"/>
      <c r="DI1" s="57"/>
      <c r="DJ1" s="57"/>
      <c r="DK1" s="57"/>
      <c r="DL1" s="57"/>
      <c r="DM1" s="57"/>
      <c r="DN1" s="57"/>
      <c r="DO1" s="57"/>
      <c r="DP1" s="57"/>
      <c r="DQ1" s="57"/>
      <c r="DR1" s="57"/>
      <c r="DS1" s="57"/>
      <c r="DT1" s="57"/>
      <c r="DU1" s="57"/>
      <c r="DV1" s="57"/>
      <c r="DW1" s="57"/>
      <c r="DX1" s="57"/>
      <c r="DY1" s="57"/>
      <c r="DZ1" s="73"/>
      <c r="EA1" s="73"/>
      <c r="EB1" s="57"/>
      <c r="EC1" s="73"/>
      <c r="ED1" s="73"/>
      <c r="EE1" s="57"/>
    </row>
    <row r="2" spans="1:138" s="2" customFormat="1" ht="55.1" customHeight="1" x14ac:dyDescent="0.4">
      <c r="A2" s="59"/>
      <c r="B2" s="58" t="str">
        <f>设置!D7 &amp;" - 会员详细信息"</f>
        <v>Yi - 会员详细信息</v>
      </c>
      <c r="C2" s="59"/>
      <c r="D2" s="15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  <c r="CD2" s="59"/>
      <c r="CE2" s="59"/>
      <c r="CF2" s="59"/>
      <c r="CG2" s="59"/>
      <c r="CH2" s="59"/>
      <c r="CI2" s="59"/>
      <c r="CJ2" s="59"/>
      <c r="CK2" s="59"/>
      <c r="CL2" s="59"/>
      <c r="CM2" s="59"/>
      <c r="CN2" s="59"/>
      <c r="CO2" s="59"/>
      <c r="CP2" s="59"/>
      <c r="CQ2" s="59"/>
      <c r="CR2" s="59"/>
      <c r="CS2" s="59"/>
      <c r="CT2" s="59"/>
      <c r="CU2" s="59"/>
      <c r="CV2" s="59"/>
      <c r="CW2" s="59"/>
      <c r="CX2" s="59"/>
      <c r="CY2" s="59"/>
      <c r="CZ2" s="59"/>
      <c r="DA2" s="59"/>
      <c r="DB2" s="59"/>
      <c r="DC2" s="59"/>
      <c r="DD2" s="59"/>
      <c r="DE2" s="59"/>
      <c r="DF2" s="59"/>
      <c r="DG2" s="59"/>
      <c r="DH2" s="59"/>
      <c r="DI2" s="59"/>
      <c r="DJ2" s="59"/>
      <c r="DK2" s="59"/>
      <c r="DL2" s="59"/>
      <c r="DM2" s="59"/>
      <c r="DN2" s="59"/>
      <c r="DO2" s="59"/>
      <c r="DP2" s="59"/>
      <c r="DQ2" s="59"/>
      <c r="DR2" s="59"/>
      <c r="DS2" s="59"/>
      <c r="DT2" s="59"/>
      <c r="DU2" s="59"/>
      <c r="DV2" s="59"/>
      <c r="DW2" s="74"/>
      <c r="DX2" s="59"/>
      <c r="DY2" s="59"/>
      <c r="DZ2" s="74"/>
      <c r="EA2" s="74"/>
      <c r="EB2" s="59"/>
      <c r="EC2" s="74"/>
      <c r="ED2" s="74"/>
      <c r="EE2" s="59"/>
    </row>
    <row r="3" spans="1:138" s="1" customFormat="1" ht="8.25" customHeight="1" x14ac:dyDescent="0.4">
      <c r="A3" s="60"/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75"/>
      <c r="EA3" s="75"/>
      <c r="EB3" s="60"/>
      <c r="EC3" s="75"/>
      <c r="ED3" s="75"/>
      <c r="EE3" s="60"/>
    </row>
    <row r="4" spans="1:138" s="1" customFormat="1" ht="6" customHeight="1" x14ac:dyDescent="0.4">
      <c r="A4" s="60"/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90"/>
      <c r="BX4" s="90"/>
      <c r="BY4" s="90"/>
      <c r="BZ4" s="90"/>
      <c r="CA4" s="90"/>
      <c r="CB4" s="90"/>
      <c r="CC4" s="90"/>
      <c r="CD4" s="90"/>
      <c r="CE4" s="90"/>
      <c r="CF4" s="90"/>
      <c r="CG4" s="90"/>
      <c r="CH4" s="90"/>
      <c r="CI4" s="90"/>
      <c r="CJ4" s="90"/>
      <c r="CK4" s="90"/>
      <c r="CL4" s="90"/>
      <c r="CM4" s="90"/>
      <c r="CN4" s="90"/>
      <c r="CO4" s="90"/>
      <c r="CP4" s="90"/>
      <c r="CQ4" s="90"/>
      <c r="CR4" s="90"/>
      <c r="CS4" s="90"/>
      <c r="CT4" s="90"/>
      <c r="CU4" s="90"/>
      <c r="CV4" s="90"/>
      <c r="CW4" s="90"/>
      <c r="CX4" s="90"/>
      <c r="CY4" s="90"/>
      <c r="CZ4" s="90"/>
      <c r="DA4" s="90"/>
      <c r="DB4" s="90"/>
      <c r="DC4" s="90"/>
      <c r="DD4" s="90"/>
      <c r="DE4" s="90"/>
      <c r="DF4" s="90"/>
      <c r="DG4" s="90"/>
      <c r="DH4" s="90"/>
      <c r="DI4" s="90"/>
      <c r="DJ4" s="90"/>
      <c r="DK4" s="90"/>
      <c r="DL4" s="90"/>
      <c r="DM4" s="90"/>
      <c r="DN4" s="90"/>
      <c r="DO4" s="90"/>
      <c r="DP4" s="90"/>
      <c r="DQ4" s="90"/>
      <c r="DR4" s="90"/>
      <c r="DS4" s="90"/>
      <c r="DT4" s="98"/>
      <c r="DU4" s="98"/>
      <c r="DV4" s="98"/>
      <c r="DW4" s="98"/>
      <c r="DX4" s="98"/>
      <c r="DY4" s="98"/>
      <c r="DZ4" s="102"/>
      <c r="EA4" s="102"/>
      <c r="EB4" s="98"/>
      <c r="EC4" s="102"/>
      <c r="ED4" s="102"/>
      <c r="EE4" s="90"/>
      <c r="EF4" s="90"/>
      <c r="EG4" s="90"/>
    </row>
    <row r="5" spans="1:138" s="1" customFormat="1" ht="8.25" customHeight="1" x14ac:dyDescent="0.4">
      <c r="A5" s="60"/>
      <c r="B5" s="60"/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75"/>
      <c r="EA5" s="75"/>
      <c r="EB5" s="60"/>
      <c r="EC5" s="75"/>
      <c r="ED5" s="75"/>
      <c r="EE5" s="60"/>
    </row>
    <row r="6" spans="1:138" s="1" customFormat="1" ht="40.1" customHeight="1" x14ac:dyDescent="0.4">
      <c r="A6" s="60"/>
      <c r="B6" s="60"/>
      <c r="C6" s="139"/>
      <c r="D6" s="157" t="str">
        <f>_xlfn.CONCAT(设置!F11)</f>
        <v>1</v>
      </c>
      <c r="E6" s="164" t="str">
        <f>_xlfn.CONCAT(设置!F11," - 历史记录")</f>
        <v>1 - 历史记录</v>
      </c>
      <c r="F6" s="164"/>
      <c r="G6" s="155" t="str">
        <f>_xlfn.CONCAT(设置!F12)</f>
        <v>2</v>
      </c>
      <c r="H6" s="166" t="str">
        <f>_xlfn.CONCAT(设置!F12," - 历史记录")</f>
        <v>2 - 历史记录</v>
      </c>
      <c r="I6" s="166"/>
      <c r="J6" s="160" t="str">
        <f>_xlfn.CONCAT(设置!F13)</f>
        <v/>
      </c>
      <c r="K6" s="164" t="str">
        <f>_xlfn.CONCAT(设置!F13," - 历史记录")</f>
        <v xml:space="preserve"> - 历史记录</v>
      </c>
      <c r="L6" s="164"/>
      <c r="M6" s="155" t="str">
        <f>_xlfn.CONCAT(设置!F14)</f>
        <v/>
      </c>
      <c r="N6" s="166" t="str">
        <f>_xlfn.CONCAT(设置!F14," - 历史记录")</f>
        <v xml:space="preserve"> - 历史记录</v>
      </c>
      <c r="O6" s="166"/>
      <c r="P6" s="157" t="str">
        <f>_xlfn.CONCAT(设置!F15)</f>
        <v/>
      </c>
      <c r="Q6" s="164" t="str">
        <f>_xlfn.CONCAT(设置!F15," - 历史记录")</f>
        <v xml:space="preserve"> - 历史记录</v>
      </c>
      <c r="R6" s="164"/>
      <c r="S6" s="155" t="str">
        <f>_xlfn.CONCAT(设置!F16)</f>
        <v/>
      </c>
      <c r="T6" s="166" t="str">
        <f>_xlfn.CONCAT(设置!F16," - 历史记录")</f>
        <v xml:space="preserve"> - 历史记录</v>
      </c>
      <c r="U6" s="166"/>
      <c r="V6" s="157" t="str">
        <f>_xlfn.CONCAT(设置!F17)</f>
        <v/>
      </c>
      <c r="W6" s="164" t="str">
        <f>_xlfn.CONCAT(设置!F17," - 历史记录")</f>
        <v xml:space="preserve"> - 历史记录</v>
      </c>
      <c r="X6" s="164"/>
      <c r="Y6" s="155" t="str">
        <f>_xlfn.CONCAT(设置!F18)</f>
        <v/>
      </c>
      <c r="Z6" s="166" t="str">
        <f>_xlfn.CONCAT(设置!F18," - 历史记录")</f>
        <v xml:space="preserve"> - 历史记录</v>
      </c>
      <c r="AA6" s="166"/>
      <c r="AB6" s="157" t="str">
        <f>_xlfn.CONCAT(设置!F19)</f>
        <v/>
      </c>
      <c r="AC6" s="164" t="str">
        <f>_xlfn.CONCAT(设置!F19," - 历史记录")</f>
        <v xml:space="preserve"> - 历史记录</v>
      </c>
      <c r="AD6" s="164"/>
      <c r="AE6" s="155" t="str">
        <f>_xlfn.CONCAT(设置!F20)</f>
        <v/>
      </c>
      <c r="AF6" s="166" t="str">
        <f>_xlfn.CONCAT(设置!F20," - 历史记录")</f>
        <v xml:space="preserve"> - 历史记录</v>
      </c>
      <c r="AG6" s="166"/>
      <c r="AH6" s="157" t="str">
        <f>_xlfn.CONCAT(设置!F21)</f>
        <v/>
      </c>
      <c r="AI6" s="164" t="str">
        <f>_xlfn.CONCAT(设置!F21," - 历史记录")</f>
        <v xml:space="preserve"> - 历史记录</v>
      </c>
      <c r="AJ6" s="164"/>
      <c r="AK6" s="155" t="str">
        <f>_xlfn.CONCAT(设置!F22)</f>
        <v/>
      </c>
      <c r="AL6" s="166" t="str">
        <f>_xlfn.CONCAT(设置!F22," - 历史记录")</f>
        <v xml:space="preserve"> - 历史记录</v>
      </c>
      <c r="AM6" s="166"/>
      <c r="AN6" s="157" t="str">
        <f>_xlfn.CONCAT(设置!F23)</f>
        <v/>
      </c>
      <c r="AO6" s="164" t="str">
        <f>_xlfn.CONCAT(设置!F23, " - 历史记录")</f>
        <v xml:space="preserve"> - 历史记录</v>
      </c>
      <c r="AP6" s="164"/>
      <c r="AQ6" s="155" t="str">
        <f>_xlfn.CONCAT(设置!F24)</f>
        <v/>
      </c>
      <c r="AR6" s="166" t="str">
        <f>_xlfn.CONCAT(设置!F24, " - 历史记录")</f>
        <v xml:space="preserve"> - 历史记录</v>
      </c>
      <c r="AS6" s="166"/>
      <c r="AT6" s="157" t="str">
        <f>_xlfn.CONCAT(设置!F25)</f>
        <v/>
      </c>
      <c r="AU6" s="164" t="str">
        <f>_xlfn.CONCAT(设置!F25," - 历史记录")</f>
        <v xml:space="preserve"> - 历史记录</v>
      </c>
      <c r="AV6" s="164"/>
      <c r="AW6" s="155" t="str">
        <f>_xlfn.CONCAT(设置!F26)</f>
        <v/>
      </c>
      <c r="AX6" s="166" t="str">
        <f>_xlfn.CONCAT(设置!F26," - 历史记录")</f>
        <v xml:space="preserve"> - 历史记录</v>
      </c>
      <c r="AY6" s="166"/>
      <c r="AZ6" s="157" t="str">
        <f>_xlfn.CONCAT(设置!F27)</f>
        <v/>
      </c>
      <c r="BA6" s="164" t="str">
        <f>_xlfn.CONCAT(设置!F27," - 历史记录")</f>
        <v xml:space="preserve"> - 历史记录</v>
      </c>
      <c r="BB6" s="164"/>
      <c r="BC6" s="155" t="str">
        <f>_xlfn.CONCAT(设置!F28)</f>
        <v/>
      </c>
      <c r="BD6" s="166" t="str">
        <f>_xlfn.CONCAT(设置!F28," - 历史记录")</f>
        <v xml:space="preserve"> - 历史记录</v>
      </c>
      <c r="BE6" s="166"/>
      <c r="BF6" s="157" t="str">
        <f>_xlfn.CONCAT(设置!F29)</f>
        <v/>
      </c>
      <c r="BG6" s="164" t="str">
        <f>_xlfn.CONCAT(设置!F29," - 历史记录")</f>
        <v xml:space="preserve"> - 历史记录</v>
      </c>
      <c r="BH6" s="164"/>
      <c r="BI6" s="155" t="str">
        <f>_xlfn.CONCAT(设置!F30)</f>
        <v/>
      </c>
      <c r="BJ6" s="166" t="str">
        <f>_xlfn.CONCAT(设置!F30," - 历史记录")</f>
        <v xml:space="preserve"> - 历史记录</v>
      </c>
      <c r="BK6" s="166"/>
      <c r="BL6" s="156" t="str">
        <f>_xlfn.CONCAT(设置!F31)</f>
        <v/>
      </c>
      <c r="BM6" s="167" t="str">
        <f>_xlfn.CONCAT(设置!F31," - 历史记录")</f>
        <v xml:space="preserve"> - 历史记录</v>
      </c>
      <c r="BN6" s="167"/>
      <c r="BO6" s="155" t="str">
        <f>_xlfn.CONCAT(设置!F32)</f>
        <v/>
      </c>
      <c r="BP6" s="166" t="str">
        <f>_xlfn.CONCAT(设置!F32," - 历史记录")</f>
        <v xml:space="preserve"> - 历史记录</v>
      </c>
      <c r="BQ6" s="166"/>
      <c r="BR6" s="156" t="str">
        <f>_xlfn.CONCAT(设置!F33)</f>
        <v/>
      </c>
      <c r="BS6" s="167" t="str">
        <f>_xlfn.CONCAT(设置!F33," - 历史记录")</f>
        <v xml:space="preserve"> - 历史记录</v>
      </c>
      <c r="BT6" s="167"/>
      <c r="BU6" s="155" t="str">
        <f>_xlfn.CONCAT(设置!F34)</f>
        <v/>
      </c>
      <c r="BV6" s="166" t="str">
        <f>_xlfn.CONCAT(设置!F34," - 历史记录")</f>
        <v xml:space="preserve"> - 历史记录</v>
      </c>
      <c r="BW6" s="166"/>
      <c r="BX6" s="156" t="str">
        <f>_xlfn.CONCAT(设置!F35)</f>
        <v/>
      </c>
      <c r="BY6" s="167" t="str">
        <f>_xlfn.CONCAT(设置!F35," - 历史记录")</f>
        <v xml:space="preserve"> - 历史记录</v>
      </c>
      <c r="BZ6" s="167"/>
      <c r="CA6" s="155" t="str">
        <f>_xlfn.CONCAT(设置!F36)</f>
        <v/>
      </c>
      <c r="CB6" s="166" t="str">
        <f>_xlfn.CONCAT(设置!F36," - 历史记录")</f>
        <v xml:space="preserve"> - 历史记录</v>
      </c>
      <c r="CC6" s="166"/>
      <c r="CD6" s="156" t="str">
        <f>_xlfn.CONCAT(设置!F37)</f>
        <v/>
      </c>
      <c r="CE6" s="167" t="str">
        <f>_xlfn.CONCAT(设置!F37," - 历史记录")</f>
        <v xml:space="preserve"> - 历史记录</v>
      </c>
      <c r="CF6" s="167"/>
      <c r="CG6" s="155" t="str">
        <f>_xlfn.CONCAT(设置!F38)</f>
        <v/>
      </c>
      <c r="CH6" s="166" t="str">
        <f>_xlfn.CONCAT(设置!F38," - 历史记录")</f>
        <v xml:space="preserve"> - 历史记录</v>
      </c>
      <c r="CI6" s="166"/>
      <c r="CJ6" s="156" t="str">
        <f>_xlfn.CONCAT(设置!F39)</f>
        <v/>
      </c>
      <c r="CK6" s="167" t="str">
        <f>_xlfn.CONCAT(设置!F39," - 历史记录")</f>
        <v xml:space="preserve"> - 历史记录</v>
      </c>
      <c r="CL6" s="167"/>
      <c r="CM6" s="155" t="str">
        <f>_xlfn.CONCAT(设置!F40)</f>
        <v/>
      </c>
      <c r="CN6" s="166" t="str">
        <f>_xlfn.CONCAT(设置!F40," - 历史记录")</f>
        <v xml:space="preserve"> - 历史记录</v>
      </c>
      <c r="CO6" s="166"/>
      <c r="CP6" s="156" t="str">
        <f>_xlfn.CONCAT(设置!F41)</f>
        <v/>
      </c>
      <c r="CQ6" s="167" t="str">
        <f>_xlfn.CONCAT(设置!F41," - 历史记录")</f>
        <v xml:space="preserve"> - 历史记录</v>
      </c>
      <c r="CR6" s="167"/>
      <c r="CS6" s="155" t="str">
        <f>_xlfn.CONCAT(设置!F42)</f>
        <v/>
      </c>
      <c r="CT6" s="166" t="str">
        <f>_xlfn.CONCAT(设置!F42," - 历史记录")</f>
        <v xml:space="preserve"> - 历史记录</v>
      </c>
      <c r="CU6" s="166"/>
      <c r="CV6" s="156" t="str">
        <f>_xlfn.CONCAT(设置!F43)</f>
        <v/>
      </c>
      <c r="CW6" s="167" t="str">
        <f>_xlfn.CONCAT(设置!F43," - 历史记录")</f>
        <v xml:space="preserve"> - 历史记录</v>
      </c>
      <c r="CX6" s="167"/>
      <c r="CY6" s="155" t="str">
        <f>_xlfn.CONCAT(设置!F44)</f>
        <v/>
      </c>
      <c r="CZ6" s="166" t="str">
        <f>_xlfn.CONCAT(设置!F44," - 历史记录")</f>
        <v xml:space="preserve"> - 历史记录</v>
      </c>
      <c r="DA6" s="166"/>
      <c r="DB6" s="156" t="str">
        <f>_xlfn.CONCAT(设置!F45)</f>
        <v/>
      </c>
      <c r="DC6" s="167" t="str">
        <f>_xlfn.CONCAT(设置!F45," - 历史记录")</f>
        <v xml:space="preserve"> - 历史记录</v>
      </c>
      <c r="DD6" s="167"/>
      <c r="DE6" s="155" t="str">
        <f>_xlfn.CONCAT(设置!F46)</f>
        <v/>
      </c>
      <c r="DF6" s="166" t="str">
        <f>_xlfn.CONCAT(设置!F46," - 历史记录")</f>
        <v xml:space="preserve"> - 历史记录</v>
      </c>
      <c r="DG6" s="166"/>
      <c r="DH6" s="156" t="str">
        <f>_xlfn.CONCAT(设置!F47)</f>
        <v/>
      </c>
      <c r="DI6" s="167" t="str">
        <f>_xlfn.CONCAT(设置!F47," - 历史记录")</f>
        <v xml:space="preserve"> - 历史记录</v>
      </c>
      <c r="DJ6" s="167"/>
      <c r="DK6" s="155" t="str">
        <f>_xlfn.CONCAT(设置!F48)</f>
        <v/>
      </c>
      <c r="DL6" s="166" t="str">
        <f>_xlfn.CONCAT(设置!F48," - 历史记录")</f>
        <v xml:space="preserve"> - 历史记录</v>
      </c>
      <c r="DM6" s="166"/>
      <c r="DN6" s="156" t="str">
        <f>_xlfn.CONCAT(设置!F49)</f>
        <v/>
      </c>
      <c r="DO6" s="167" t="str">
        <f>_xlfn.CONCAT(设置!F49," - 历史记录")</f>
        <v xml:space="preserve"> - 历史记录</v>
      </c>
      <c r="DP6" s="167"/>
      <c r="DQ6" s="155" t="str">
        <f>_xlfn.CONCAT(设置!F50)</f>
        <v/>
      </c>
      <c r="DR6" s="166" t="str">
        <f>_xlfn.CONCAT(设置!F50," - 历史记录")</f>
        <v xml:space="preserve"> - 历史记录</v>
      </c>
      <c r="DS6" s="166"/>
      <c r="DT6" s="164" t="s">
        <v>72</v>
      </c>
      <c r="DU6" s="164"/>
      <c r="DV6" s="164"/>
      <c r="DW6" s="164"/>
      <c r="DX6" s="164"/>
      <c r="DY6" s="164" t="s">
        <v>87</v>
      </c>
      <c r="DZ6" s="164"/>
      <c r="EA6" s="164"/>
      <c r="EB6" s="164" t="s">
        <v>270</v>
      </c>
      <c r="EC6" s="164"/>
      <c r="ED6" s="105"/>
      <c r="EE6" s="165" t="s">
        <v>322</v>
      </c>
      <c r="EF6" s="165"/>
      <c r="EG6" s="165"/>
    </row>
    <row r="7" spans="1:138" s="1" customFormat="1" ht="8.25" customHeight="1" x14ac:dyDescent="0.4">
      <c r="A7" s="60"/>
      <c r="B7" s="60"/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60"/>
      <c r="CX7" s="60"/>
      <c r="CY7" s="60"/>
      <c r="CZ7" s="60"/>
      <c r="DA7" s="60"/>
      <c r="DB7" s="60"/>
      <c r="DC7" s="60"/>
      <c r="DD7" s="60"/>
      <c r="DE7" s="60"/>
      <c r="DF7" s="60"/>
      <c r="DG7" s="60"/>
      <c r="DH7" s="60"/>
      <c r="DI7" s="60"/>
      <c r="DJ7" s="60"/>
      <c r="DK7" s="60"/>
      <c r="DL7" s="60"/>
      <c r="DM7" s="60"/>
      <c r="DN7" s="60"/>
      <c r="DO7" s="60"/>
      <c r="DP7" s="60"/>
      <c r="DQ7" s="60"/>
      <c r="DR7" s="60"/>
      <c r="DS7" s="60"/>
      <c r="DT7" s="60"/>
      <c r="DU7" s="60"/>
      <c r="DV7" s="60"/>
      <c r="DW7" s="60"/>
      <c r="DX7" s="60"/>
      <c r="DY7" s="60"/>
      <c r="DZ7" s="75"/>
      <c r="EA7" s="75"/>
      <c r="EB7" s="60"/>
      <c r="EC7" s="75"/>
      <c r="ED7" s="75"/>
      <c r="EE7" s="60"/>
    </row>
    <row r="8" spans="1:138" s="1" customFormat="1" ht="40.1" customHeight="1" x14ac:dyDescent="0.4">
      <c r="A8" s="60"/>
      <c r="B8" s="94" t="s">
        <v>0</v>
      </c>
      <c r="C8" s="94" t="s">
        <v>3</v>
      </c>
      <c r="D8" s="94" t="s">
        <v>124</v>
      </c>
      <c r="E8" s="94" t="s">
        <v>80</v>
      </c>
      <c r="F8" s="94" t="s">
        <v>79</v>
      </c>
      <c r="G8" s="94" t="s">
        <v>71</v>
      </c>
      <c r="H8" s="94" t="s">
        <v>78</v>
      </c>
      <c r="I8" s="94" t="s">
        <v>77</v>
      </c>
      <c r="J8" s="94" t="s">
        <v>58</v>
      </c>
      <c r="K8" s="94" t="s">
        <v>42</v>
      </c>
      <c r="L8" s="94" t="s">
        <v>76</v>
      </c>
      <c r="M8" s="94" t="s">
        <v>59</v>
      </c>
      <c r="N8" s="94" t="s">
        <v>43</v>
      </c>
      <c r="O8" s="94" t="s">
        <v>75</v>
      </c>
      <c r="P8" s="94" t="s">
        <v>60</v>
      </c>
      <c r="Q8" s="94" t="s">
        <v>44</v>
      </c>
      <c r="R8" s="94" t="s">
        <v>74</v>
      </c>
      <c r="S8" s="94" t="s">
        <v>61</v>
      </c>
      <c r="T8" s="94" t="s">
        <v>45</v>
      </c>
      <c r="U8" s="94" t="s">
        <v>68</v>
      </c>
      <c r="V8" s="94" t="s">
        <v>62</v>
      </c>
      <c r="W8" s="94" t="s">
        <v>46</v>
      </c>
      <c r="X8" s="94" t="s">
        <v>51</v>
      </c>
      <c r="Y8" s="94" t="s">
        <v>63</v>
      </c>
      <c r="Z8" s="94" t="s">
        <v>47</v>
      </c>
      <c r="AA8" s="94" t="s">
        <v>52</v>
      </c>
      <c r="AB8" s="94" t="s">
        <v>64</v>
      </c>
      <c r="AC8" s="94" t="s">
        <v>48</v>
      </c>
      <c r="AD8" s="94" t="s">
        <v>53</v>
      </c>
      <c r="AE8" s="94" t="s">
        <v>65</v>
      </c>
      <c r="AF8" s="94" t="s">
        <v>49</v>
      </c>
      <c r="AG8" s="94" t="s">
        <v>54</v>
      </c>
      <c r="AH8" s="94" t="s">
        <v>66</v>
      </c>
      <c r="AI8" s="94" t="s">
        <v>50</v>
      </c>
      <c r="AJ8" s="94" t="s">
        <v>55</v>
      </c>
      <c r="AK8" s="94" t="s">
        <v>67</v>
      </c>
      <c r="AL8" s="94" t="s">
        <v>56</v>
      </c>
      <c r="AM8" s="94" t="s">
        <v>57</v>
      </c>
      <c r="AN8" s="94" t="s">
        <v>99</v>
      </c>
      <c r="AO8" s="94" t="s">
        <v>100</v>
      </c>
      <c r="AP8" s="94" t="s">
        <v>98</v>
      </c>
      <c r="AQ8" s="94" t="s">
        <v>103</v>
      </c>
      <c r="AR8" s="94" t="s">
        <v>102</v>
      </c>
      <c r="AS8" s="94" t="s">
        <v>101</v>
      </c>
      <c r="AT8" s="94" t="s">
        <v>109</v>
      </c>
      <c r="AU8" s="94" t="s">
        <v>108</v>
      </c>
      <c r="AV8" s="94" t="s">
        <v>106</v>
      </c>
      <c r="AW8" s="94" t="s">
        <v>105</v>
      </c>
      <c r="AX8" s="94" t="s">
        <v>104</v>
      </c>
      <c r="AY8" s="94" t="s">
        <v>107</v>
      </c>
      <c r="AZ8" s="94" t="s">
        <v>112</v>
      </c>
      <c r="BA8" s="94" t="s">
        <v>111</v>
      </c>
      <c r="BB8" s="94" t="s">
        <v>110</v>
      </c>
      <c r="BC8" s="94" t="s">
        <v>113</v>
      </c>
      <c r="BD8" s="94" t="s">
        <v>114</v>
      </c>
      <c r="BE8" s="94" t="s">
        <v>115</v>
      </c>
      <c r="BF8" s="94" t="s">
        <v>116</v>
      </c>
      <c r="BG8" s="94" t="s">
        <v>117</v>
      </c>
      <c r="BH8" s="94" t="s">
        <v>118</v>
      </c>
      <c r="BI8" s="94" t="s">
        <v>119</v>
      </c>
      <c r="BJ8" s="94" t="s">
        <v>120</v>
      </c>
      <c r="BK8" s="94" t="s">
        <v>121</v>
      </c>
      <c r="BL8" s="94" t="s">
        <v>157</v>
      </c>
      <c r="BM8" s="94" t="s">
        <v>158</v>
      </c>
      <c r="BN8" s="94" t="s">
        <v>156</v>
      </c>
      <c r="BO8" s="94" t="s">
        <v>159</v>
      </c>
      <c r="BP8" s="94" t="s">
        <v>160</v>
      </c>
      <c r="BQ8" s="94" t="s">
        <v>161</v>
      </c>
      <c r="BR8" s="94" t="s">
        <v>162</v>
      </c>
      <c r="BS8" s="94" t="s">
        <v>163</v>
      </c>
      <c r="BT8" s="94" t="s">
        <v>164</v>
      </c>
      <c r="BU8" s="94" t="s">
        <v>165</v>
      </c>
      <c r="BV8" s="94" t="s">
        <v>166</v>
      </c>
      <c r="BW8" s="94" t="s">
        <v>167</v>
      </c>
      <c r="BX8" s="94" t="s">
        <v>168</v>
      </c>
      <c r="BY8" s="94" t="s">
        <v>169</v>
      </c>
      <c r="BZ8" s="94" t="s">
        <v>170</v>
      </c>
      <c r="CA8" s="94" t="s">
        <v>171</v>
      </c>
      <c r="CB8" s="94" t="s">
        <v>172</v>
      </c>
      <c r="CC8" s="94" t="s">
        <v>173</v>
      </c>
      <c r="CD8" s="94" t="s">
        <v>174</v>
      </c>
      <c r="CE8" s="94" t="s">
        <v>175</v>
      </c>
      <c r="CF8" s="94" t="s">
        <v>176</v>
      </c>
      <c r="CG8" s="94" t="s">
        <v>177</v>
      </c>
      <c r="CH8" s="94" t="s">
        <v>178</v>
      </c>
      <c r="CI8" s="94" t="s">
        <v>179</v>
      </c>
      <c r="CJ8" s="94" t="s">
        <v>180</v>
      </c>
      <c r="CK8" s="94" t="s">
        <v>181</v>
      </c>
      <c r="CL8" s="94" t="s">
        <v>182</v>
      </c>
      <c r="CM8" s="94" t="s">
        <v>183</v>
      </c>
      <c r="CN8" s="94" t="s">
        <v>184</v>
      </c>
      <c r="CO8" s="94" t="s">
        <v>185</v>
      </c>
      <c r="CP8" s="94" t="s">
        <v>186</v>
      </c>
      <c r="CQ8" s="94" t="s">
        <v>187</v>
      </c>
      <c r="CR8" s="94" t="s">
        <v>188</v>
      </c>
      <c r="CS8" s="94" t="s">
        <v>189</v>
      </c>
      <c r="CT8" s="94" t="s">
        <v>190</v>
      </c>
      <c r="CU8" s="94" t="s">
        <v>191</v>
      </c>
      <c r="CV8" s="94" t="s">
        <v>192</v>
      </c>
      <c r="CW8" s="94" t="s">
        <v>193</v>
      </c>
      <c r="CX8" s="94" t="s">
        <v>194</v>
      </c>
      <c r="CY8" s="94" t="s">
        <v>195</v>
      </c>
      <c r="CZ8" s="94" t="s">
        <v>196</v>
      </c>
      <c r="DA8" s="94" t="s">
        <v>197</v>
      </c>
      <c r="DB8" s="94" t="s">
        <v>198</v>
      </c>
      <c r="DC8" s="94" t="s">
        <v>199</v>
      </c>
      <c r="DD8" s="94" t="s">
        <v>200</v>
      </c>
      <c r="DE8" s="94" t="s">
        <v>201</v>
      </c>
      <c r="DF8" s="94" t="s">
        <v>202</v>
      </c>
      <c r="DG8" s="94" t="s">
        <v>203</v>
      </c>
      <c r="DH8" s="94" t="s">
        <v>205</v>
      </c>
      <c r="DI8" s="94" t="s">
        <v>206</v>
      </c>
      <c r="DJ8" s="94" t="s">
        <v>204</v>
      </c>
      <c r="DK8" s="94" t="s">
        <v>207</v>
      </c>
      <c r="DL8" s="94" t="s">
        <v>208</v>
      </c>
      <c r="DM8" s="94" t="s">
        <v>209</v>
      </c>
      <c r="DN8" s="94" t="s">
        <v>210</v>
      </c>
      <c r="DO8" s="94" t="s">
        <v>211</v>
      </c>
      <c r="DP8" s="94" t="s">
        <v>212</v>
      </c>
      <c r="DQ8" s="94" t="s">
        <v>213</v>
      </c>
      <c r="DR8" s="94" t="s">
        <v>214</v>
      </c>
      <c r="DS8" s="94" t="s">
        <v>215</v>
      </c>
      <c r="DT8" s="94" t="s">
        <v>27</v>
      </c>
      <c r="DU8" s="94" t="s">
        <v>28</v>
      </c>
      <c r="DV8" s="94" t="s">
        <v>1</v>
      </c>
      <c r="DW8" s="94" t="s">
        <v>22</v>
      </c>
      <c r="DX8" s="94" t="s">
        <v>21</v>
      </c>
      <c r="DY8" s="94" t="s">
        <v>2</v>
      </c>
      <c r="DZ8" s="103" t="s">
        <v>23</v>
      </c>
      <c r="EA8" s="103" t="s">
        <v>24</v>
      </c>
      <c r="EB8" s="99" t="s">
        <v>73</v>
      </c>
      <c r="EC8" s="103" t="s">
        <v>6</v>
      </c>
      <c r="ED8" s="103" t="s">
        <v>7</v>
      </c>
      <c r="EE8" s="103" t="s">
        <v>325</v>
      </c>
      <c r="EF8" s="103" t="s">
        <v>323</v>
      </c>
      <c r="EG8" s="103" t="s">
        <v>324</v>
      </c>
      <c r="EH8" s="60"/>
    </row>
    <row r="9" spans="1:138" ht="40.1" customHeight="1" x14ac:dyDescent="0.3">
      <c r="B9" s="56" cm="1">
        <f t="array" ref="B9">SN</f>
        <v>1</v>
      </c>
      <c r="C9" s="95" t="str" cm="1">
        <f t="array" ref="C9">GUID</f>
        <v>冯毅 | 9955</v>
      </c>
      <c r="D9" s="96" cm="1">
        <f t="array" ref="D9">Get_1_Calc</f>
        <v>0</v>
      </c>
      <c r="E9" s="96" cm="1">
        <f t="array" ref="E9">Get_1_Add</f>
        <v>0</v>
      </c>
      <c r="F9" s="96" cm="1">
        <f t="array" ref="F9">Get_1_Del</f>
        <v>0</v>
      </c>
      <c r="G9" s="96" cm="1">
        <f t="array" ref="G9">Get_2_Calc</f>
        <v>0</v>
      </c>
      <c r="H9" s="96" cm="1">
        <f t="array" ref="H9">Get_2_Add</f>
        <v>0</v>
      </c>
      <c r="I9" s="96" cm="1">
        <f t="array" ref="I9">Get_2_Del</f>
        <v>0</v>
      </c>
      <c r="J9" s="96" cm="1">
        <f t="array" ref="J9">Get_3_Calc</f>
        <v>0</v>
      </c>
      <c r="K9" s="96" cm="1">
        <f t="array" ref="K9">Get_3_Add</f>
        <v>0</v>
      </c>
      <c r="L9" s="96" cm="1">
        <f t="array" ref="L9">Get_3_Del</f>
        <v>0</v>
      </c>
      <c r="M9" s="96" cm="1">
        <f t="array" ref="M9">Get_4_Calc</f>
        <v>0</v>
      </c>
      <c r="N9" s="96" cm="1">
        <f t="array" ref="N9">Get_4_Add</f>
        <v>0</v>
      </c>
      <c r="O9" s="96" cm="1">
        <f t="array" ref="O9">Get_4_Del</f>
        <v>0</v>
      </c>
      <c r="P9" s="96" cm="1">
        <f t="array" ref="P9">Get_5_Calc</f>
        <v>0</v>
      </c>
      <c r="Q9" s="96" cm="1">
        <f t="array" ref="Q9">Get_5_Add</f>
        <v>0</v>
      </c>
      <c r="R9" s="96" cm="1">
        <f t="array" ref="R9">Get_5_Del</f>
        <v>0</v>
      </c>
      <c r="S9" s="96" cm="1">
        <f t="array" ref="S9">Get_6_Calc</f>
        <v>0</v>
      </c>
      <c r="T9" s="96" cm="1">
        <f t="array" ref="T9">Get_6_Add</f>
        <v>0</v>
      </c>
      <c r="U9" s="96" cm="1">
        <f t="array" ref="U9">Get_6_Del</f>
        <v>0</v>
      </c>
      <c r="V9" s="96" cm="1">
        <f t="array" ref="V9">Get_7_Calc</f>
        <v>0</v>
      </c>
      <c r="W9" s="96" cm="1">
        <f t="array" ref="W9">Get_7_Add</f>
        <v>0</v>
      </c>
      <c r="X9" s="96" cm="1">
        <f t="array" ref="X9">Get_7_Del</f>
        <v>0</v>
      </c>
      <c r="Y9" s="96" cm="1">
        <f t="array" ref="Y9">Get_8_Calc</f>
        <v>0</v>
      </c>
      <c r="Z9" s="96" cm="1">
        <f t="array" ref="Z9">Get_8_Add</f>
        <v>0</v>
      </c>
      <c r="AA9" s="96" cm="1">
        <f t="array" ref="AA9">Get_8_Del</f>
        <v>0</v>
      </c>
      <c r="AB9" s="96" cm="1">
        <f t="array" ref="AB9">Get_9_Calc</f>
        <v>0</v>
      </c>
      <c r="AC9" s="96" cm="1">
        <f t="array" ref="AC9">Get_9_Add</f>
        <v>0</v>
      </c>
      <c r="AD9" s="96" cm="1">
        <f t="array" ref="AD9">Get_9_Del</f>
        <v>0</v>
      </c>
      <c r="AE9" s="96" cm="1">
        <f t="array" ref="AE9">Get_10_Calc</f>
        <v>0</v>
      </c>
      <c r="AF9" s="96" cm="1">
        <f t="array" ref="AF9">Get_10_Add</f>
        <v>0</v>
      </c>
      <c r="AG9" s="96" cm="1">
        <f t="array" ref="AG9">Get_10_Del</f>
        <v>0</v>
      </c>
      <c r="AH9" s="96" cm="1">
        <f t="array" ref="AH9">Get_11_Calc</f>
        <v>0</v>
      </c>
      <c r="AI9" s="96" cm="1">
        <f t="array" ref="AI9">Get_11_Add</f>
        <v>0</v>
      </c>
      <c r="AJ9" s="96" cm="1">
        <f t="array" ref="AJ9">Get_11_Del</f>
        <v>0</v>
      </c>
      <c r="AK9" s="96" cm="1">
        <f t="array" ref="AK9">Get_12_Calc</f>
        <v>0</v>
      </c>
      <c r="AL9" s="96" cm="1">
        <f t="array" ref="AL9">Get_12_Add</f>
        <v>0</v>
      </c>
      <c r="AM9" s="96" cm="1">
        <f t="array" ref="AM9">Get_12_Del</f>
        <v>0</v>
      </c>
      <c r="AN9" s="96" cm="1">
        <f t="array" ref="AN9">Get_13_Calc</f>
        <v>0</v>
      </c>
      <c r="AO9" s="96" cm="1">
        <f t="array" ref="AO9">Get_13_Add</f>
        <v>0</v>
      </c>
      <c r="AP9" s="96" cm="1">
        <f t="array" ref="AP9">Get_13_Del</f>
        <v>0</v>
      </c>
      <c r="AQ9" s="96" cm="1">
        <f t="array" ref="AQ9">Get_14_Calc</f>
        <v>0</v>
      </c>
      <c r="AR9" s="96" cm="1">
        <f t="array" ref="AR9">Get_14_Add</f>
        <v>0</v>
      </c>
      <c r="AS9" s="96" cm="1">
        <f t="array" ref="AS9">Get_14_Del</f>
        <v>0</v>
      </c>
      <c r="AT9" s="96" cm="1">
        <f t="array" ref="AT9">Get_15_Calc</f>
        <v>0</v>
      </c>
      <c r="AU9" s="96" cm="1">
        <f t="array" ref="AU9">Get_15_Add</f>
        <v>0</v>
      </c>
      <c r="AV9" s="96" cm="1">
        <f t="array" ref="AV9">Get_15_Del</f>
        <v>0</v>
      </c>
      <c r="AW9" s="96" cm="1">
        <f t="array" ref="AW9">Get_16_Calc</f>
        <v>0</v>
      </c>
      <c r="AX9" s="96" cm="1">
        <f t="array" ref="AX9">Get_16_Add</f>
        <v>0</v>
      </c>
      <c r="AY9" s="96" cm="1">
        <f t="array" ref="AY9">Get_16_Del</f>
        <v>0</v>
      </c>
      <c r="AZ9" s="96" cm="1">
        <f t="array" ref="AZ9">Get_17_Calc</f>
        <v>0</v>
      </c>
      <c r="BA9" s="96" cm="1">
        <f t="array" ref="BA9">Get_17_Add</f>
        <v>0</v>
      </c>
      <c r="BB9" s="96" cm="1">
        <f t="array" ref="BB9">Get_17_Del</f>
        <v>0</v>
      </c>
      <c r="BC9" s="96" cm="1">
        <f t="array" ref="BC9">Get_18_Calc</f>
        <v>0</v>
      </c>
      <c r="BD9" s="96" cm="1">
        <f t="array" ref="BD9">Get_18_Add</f>
        <v>0</v>
      </c>
      <c r="BE9" s="96" cm="1">
        <f t="array" ref="BE9">Get_18_Del</f>
        <v>0</v>
      </c>
      <c r="BF9" s="96" cm="1">
        <f t="array" ref="BF9">Get_19_Calc</f>
        <v>0</v>
      </c>
      <c r="BG9" s="96" cm="1">
        <f t="array" ref="BG9">Get_19_Add</f>
        <v>0</v>
      </c>
      <c r="BH9" s="96" cm="1">
        <f t="array" ref="BH9">Get_19_Del</f>
        <v>0</v>
      </c>
      <c r="BI9" s="96" cm="1">
        <f t="array" ref="BI9">Get_20_Calc</f>
        <v>0</v>
      </c>
      <c r="BJ9" s="96" cm="1">
        <f t="array" ref="BJ9">Get_20_Add</f>
        <v>0</v>
      </c>
      <c r="BK9" s="96" cm="1">
        <f t="array" ref="BK9">Get_20_Del</f>
        <v>0</v>
      </c>
      <c r="BL9" s="96" cm="1">
        <f t="array" ref="BL9">Get_21_Calc</f>
        <v>0</v>
      </c>
      <c r="BM9" s="96" cm="1">
        <f t="array" ref="BM9">Get_21_Add</f>
        <v>0</v>
      </c>
      <c r="BN9" s="96" cm="1">
        <f t="array" ref="BN9">Get_21_Del</f>
        <v>0</v>
      </c>
      <c r="BO9" s="96" cm="1">
        <f t="array" ref="BO9">Get_22_Calc</f>
        <v>0</v>
      </c>
      <c r="BP9" s="96" cm="1">
        <f t="array" ref="BP9">Get_22_Add</f>
        <v>0</v>
      </c>
      <c r="BQ9" s="96" cm="1">
        <f t="array" ref="BQ9">Get_22_Del</f>
        <v>0</v>
      </c>
      <c r="BR9" s="96" cm="1">
        <f t="array" ref="BR9">Get_23_Calc</f>
        <v>0</v>
      </c>
      <c r="BS9" s="96" cm="1">
        <f t="array" ref="BS9">Get_23_Add</f>
        <v>0</v>
      </c>
      <c r="BT9" s="96" cm="1">
        <f t="array" ref="BT9">Get_23_Del</f>
        <v>0</v>
      </c>
      <c r="BU9" s="96" cm="1">
        <f t="array" ref="BU9">Get_24_Calc</f>
        <v>0</v>
      </c>
      <c r="BV9" s="96" cm="1">
        <f t="array" ref="BV9">Get_24_Add</f>
        <v>0</v>
      </c>
      <c r="BW9" s="96" cm="1">
        <f t="array" ref="BW9">Get_24_Del</f>
        <v>0</v>
      </c>
      <c r="BX9" s="96" cm="1">
        <f t="array" ref="BX9">Get_25_Calc</f>
        <v>0</v>
      </c>
      <c r="BY9" s="96" cm="1">
        <f t="array" ref="BY9">Get_25_Add</f>
        <v>0</v>
      </c>
      <c r="BZ9" s="96" cm="1">
        <f t="array" ref="BZ9">Get_25_Del</f>
        <v>0</v>
      </c>
      <c r="CA9" s="96" cm="1">
        <f t="array" ref="CA9">Get_26_Calc</f>
        <v>0</v>
      </c>
      <c r="CB9" s="96" cm="1">
        <f t="array" ref="CB9">Get_26_Add</f>
        <v>0</v>
      </c>
      <c r="CC9" s="96" cm="1">
        <f t="array" ref="CC9">Get_26_Del</f>
        <v>0</v>
      </c>
      <c r="CD9" s="96" cm="1">
        <f t="array" ref="CD9">Get_27_Calc</f>
        <v>0</v>
      </c>
      <c r="CE9" s="96" cm="1">
        <f t="array" ref="CE9">Get_27_Add</f>
        <v>0</v>
      </c>
      <c r="CF9" s="96" cm="1">
        <f t="array" ref="CF9">Get_27_Del</f>
        <v>0</v>
      </c>
      <c r="CG9" s="96" cm="1">
        <f t="array" ref="CG9">Get_28_Calc</f>
        <v>0</v>
      </c>
      <c r="CH9" s="96" cm="1">
        <f t="array" ref="CH9">Get_28_Add</f>
        <v>0</v>
      </c>
      <c r="CI9" s="96" cm="1">
        <f t="array" ref="CI9">Get_28_Del</f>
        <v>0</v>
      </c>
      <c r="CJ9" s="96" cm="1">
        <f t="array" ref="CJ9">Get_29_Calc</f>
        <v>0</v>
      </c>
      <c r="CK9" s="96" cm="1">
        <f t="array" ref="CK9">Get_29_Add</f>
        <v>0</v>
      </c>
      <c r="CL9" s="96" cm="1">
        <f t="array" ref="CL9">Get_29_Del</f>
        <v>0</v>
      </c>
      <c r="CM9" s="96" cm="1">
        <f t="array" ref="CM9">Get_30_Calc</f>
        <v>0</v>
      </c>
      <c r="CN9" s="96" cm="1">
        <f t="array" ref="CN9">Get_30_Add</f>
        <v>0</v>
      </c>
      <c r="CO9" s="96" cm="1">
        <f t="array" ref="CO9">Get_30_Del</f>
        <v>0</v>
      </c>
      <c r="CP9" s="96" cm="1">
        <f t="array" ref="CP9">Get_31_Calc</f>
        <v>0</v>
      </c>
      <c r="CQ9" s="96" cm="1">
        <f t="array" ref="CQ9">Get_31_Add</f>
        <v>0</v>
      </c>
      <c r="CR9" s="96" cm="1">
        <f t="array" ref="CR9">Get_31_Del</f>
        <v>0</v>
      </c>
      <c r="CS9" s="96" cm="1">
        <f t="array" ref="CS9">Get_32_Calc</f>
        <v>0</v>
      </c>
      <c r="CT9" s="96" cm="1">
        <f t="array" ref="CT9">Get_32_Add</f>
        <v>0</v>
      </c>
      <c r="CU9" s="96" cm="1">
        <f t="array" ref="CU9">Get_32_Del</f>
        <v>0</v>
      </c>
      <c r="CV9" s="96" cm="1">
        <f t="array" ref="CV9">Get_33_Calc</f>
        <v>0</v>
      </c>
      <c r="CW9" s="96" cm="1">
        <f t="array" ref="CW9">Get_33_Add</f>
        <v>0</v>
      </c>
      <c r="CX9" s="96" cm="1">
        <f t="array" ref="CX9">Get_33_Del</f>
        <v>0</v>
      </c>
      <c r="CY9" s="96" cm="1">
        <f t="array" ref="CY9">Get_34_Calc</f>
        <v>0</v>
      </c>
      <c r="CZ9" s="96" cm="1">
        <f t="array" ref="CZ9">Get_34_Add</f>
        <v>0</v>
      </c>
      <c r="DA9" s="96" cm="1">
        <f t="array" ref="DA9">Get_34_Del</f>
        <v>0</v>
      </c>
      <c r="DB9" s="96" cm="1">
        <f t="array" ref="DB9">Get_35_Calc</f>
        <v>0</v>
      </c>
      <c r="DC9" s="96" cm="1">
        <f t="array" ref="DC9">Get_35_Add</f>
        <v>0</v>
      </c>
      <c r="DD9" s="96" cm="1">
        <f t="array" ref="DD9">Get_35_Del</f>
        <v>0</v>
      </c>
      <c r="DE9" s="96" cm="1">
        <f t="array" ref="DE9">Get_36_Calc</f>
        <v>0</v>
      </c>
      <c r="DF9" s="96" cm="1">
        <f t="array" ref="DF9">Get_36_Add</f>
        <v>0</v>
      </c>
      <c r="DG9" s="96" cm="1">
        <f t="array" ref="DG9">Get_36_Del</f>
        <v>0</v>
      </c>
      <c r="DH9" s="96" cm="1">
        <f t="array" ref="DH9">Get_37_Calc</f>
        <v>0</v>
      </c>
      <c r="DI9" s="96" cm="1">
        <f t="array" ref="DI9">Get_37_Add</f>
        <v>0</v>
      </c>
      <c r="DJ9" s="96" cm="1">
        <f t="array" ref="DJ9">Get_37_Del</f>
        <v>0</v>
      </c>
      <c r="DK9" s="96" cm="1">
        <f t="array" ref="DK9">Get_38_Calc</f>
        <v>0</v>
      </c>
      <c r="DL9" s="96" cm="1">
        <f t="array" ref="DL9">Get_38_Add</f>
        <v>0</v>
      </c>
      <c r="DM9" s="96" cm="1">
        <f t="array" ref="DM9">Get_38_Del</f>
        <v>0</v>
      </c>
      <c r="DN9" s="96" cm="1">
        <f t="array" ref="DN9">Get_39_Calc</f>
        <v>0</v>
      </c>
      <c r="DO9" s="96" cm="1">
        <f t="array" ref="DO9">Get_39_Add</f>
        <v>0</v>
      </c>
      <c r="DP9" s="96" cm="1">
        <f t="array" ref="DP9">Get_39_Del</f>
        <v>0</v>
      </c>
      <c r="DQ9" s="96" cm="1">
        <f t="array" ref="DQ9">Get_40_Calc</f>
        <v>0</v>
      </c>
      <c r="DR9" s="96" cm="1">
        <f t="array" ref="DR9">Get_40_Add</f>
        <v>0</v>
      </c>
      <c r="DS9" s="96" cm="1">
        <f t="array" ref="DS9">Get_40_Del</f>
        <v>0</v>
      </c>
      <c r="DT9" s="66" t="s">
        <v>228</v>
      </c>
      <c r="DU9" s="67" t="s">
        <v>229</v>
      </c>
      <c r="DV9" s="68" t="s">
        <v>10</v>
      </c>
      <c r="DW9" s="68"/>
      <c r="DX9" s="55"/>
      <c r="DY9" s="68" t="s">
        <v>280</v>
      </c>
      <c r="DZ9" s="68" t="s">
        <v>265</v>
      </c>
      <c r="EA9" s="68"/>
      <c r="EB9" s="84">
        <v>45268.505555555559</v>
      </c>
      <c r="EC9" s="104" t="s">
        <v>278</v>
      </c>
      <c r="ED9" s="127" t="s">
        <v>282</v>
      </c>
      <c r="EE9" s="96" cm="1">
        <f t="array" ref="EE9">History_Total</f>
        <v>1</v>
      </c>
      <c r="EF9" s="96" cm="1">
        <f t="array" ref="EF9">History_Saved</f>
        <v>1</v>
      </c>
      <c r="EG9" s="96" cm="1">
        <f t="array" ref="EG9">History_Withdraw</f>
        <v>0</v>
      </c>
    </row>
    <row r="10" spans="1:138" ht="40.1" customHeight="1" x14ac:dyDescent="0.3">
      <c r="B10" s="54" cm="1">
        <f t="array" ref="B10">SN</f>
        <v>2</v>
      </c>
      <c r="C10" s="115" t="str" cm="1">
        <f t="array" ref="C10">GUID</f>
        <v>李怡 | 7551</v>
      </c>
      <c r="D10" s="116" cm="1">
        <f t="array" ref="D10">Get_1_Calc</f>
        <v>0</v>
      </c>
      <c r="E10" s="116" cm="1">
        <f t="array" ref="E10">Get_1_Add</f>
        <v>0</v>
      </c>
      <c r="F10" s="116" cm="1">
        <f t="array" ref="F10">Get_1_Del</f>
        <v>0</v>
      </c>
      <c r="G10" s="116" cm="1">
        <f t="array" ref="G10">Get_2_Calc</f>
        <v>0</v>
      </c>
      <c r="H10" s="116" cm="1">
        <f t="array" ref="H10">Get_2_Add</f>
        <v>0</v>
      </c>
      <c r="I10" s="116" cm="1">
        <f t="array" ref="I10">Get_2_Del</f>
        <v>0</v>
      </c>
      <c r="J10" s="116" cm="1">
        <f t="array" ref="J10">Get_3_Calc</f>
        <v>0</v>
      </c>
      <c r="K10" s="116" cm="1">
        <f t="array" ref="K10">Get_3_Add</f>
        <v>0</v>
      </c>
      <c r="L10" s="116" cm="1">
        <f t="array" ref="L10">Get_3_Del</f>
        <v>0</v>
      </c>
      <c r="M10" s="116" cm="1">
        <f t="array" ref="M10">Get_4_Calc</f>
        <v>0</v>
      </c>
      <c r="N10" s="116" cm="1">
        <f t="array" ref="N10">Get_4_Add</f>
        <v>0</v>
      </c>
      <c r="O10" s="116" cm="1">
        <f t="array" ref="O10">Get_4_Del</f>
        <v>0</v>
      </c>
      <c r="P10" s="116" cm="1">
        <f t="array" ref="P10">Get_5_Calc</f>
        <v>0</v>
      </c>
      <c r="Q10" s="116" cm="1">
        <f t="array" ref="Q10">Get_5_Add</f>
        <v>0</v>
      </c>
      <c r="R10" s="116" cm="1">
        <f t="array" ref="R10">Get_5_Del</f>
        <v>0</v>
      </c>
      <c r="S10" s="116" cm="1">
        <f t="array" ref="S10">Get_6_Calc</f>
        <v>0</v>
      </c>
      <c r="T10" s="116" cm="1">
        <f t="array" ref="T10">Get_6_Add</f>
        <v>0</v>
      </c>
      <c r="U10" s="116" cm="1">
        <f t="array" ref="U10">Get_6_Del</f>
        <v>0</v>
      </c>
      <c r="V10" s="116" cm="1">
        <f t="array" ref="V10">Get_7_Calc</f>
        <v>0</v>
      </c>
      <c r="W10" s="116" cm="1">
        <f t="array" ref="W10">Get_7_Add</f>
        <v>0</v>
      </c>
      <c r="X10" s="116" cm="1">
        <f t="array" ref="X10">Get_7_Del</f>
        <v>0</v>
      </c>
      <c r="Y10" s="116" cm="1">
        <f t="array" ref="Y10">Get_8_Calc</f>
        <v>0</v>
      </c>
      <c r="Z10" s="116" cm="1">
        <f t="array" ref="Z10">Get_8_Add</f>
        <v>0</v>
      </c>
      <c r="AA10" s="116" cm="1">
        <f t="array" ref="AA10">Get_8_Del</f>
        <v>0</v>
      </c>
      <c r="AB10" s="116" cm="1">
        <f t="array" ref="AB10">Get_9_Calc</f>
        <v>0</v>
      </c>
      <c r="AC10" s="116" cm="1">
        <f t="array" ref="AC10">Get_9_Add</f>
        <v>0</v>
      </c>
      <c r="AD10" s="116" cm="1">
        <f t="array" ref="AD10">Get_9_Del</f>
        <v>0</v>
      </c>
      <c r="AE10" s="116" cm="1">
        <f t="array" ref="AE10">Get_10_Calc</f>
        <v>0</v>
      </c>
      <c r="AF10" s="116" cm="1">
        <f t="array" ref="AF10">Get_10_Add</f>
        <v>0</v>
      </c>
      <c r="AG10" s="116" cm="1">
        <f t="array" ref="AG10">Get_10_Del</f>
        <v>0</v>
      </c>
      <c r="AH10" s="116" cm="1">
        <f t="array" ref="AH10">Get_11_Calc</f>
        <v>0</v>
      </c>
      <c r="AI10" s="116" cm="1">
        <f t="array" ref="AI10">Get_11_Add</f>
        <v>0</v>
      </c>
      <c r="AJ10" s="116" cm="1">
        <f t="array" ref="AJ10">Get_11_Del</f>
        <v>0</v>
      </c>
      <c r="AK10" s="116" cm="1">
        <f t="array" ref="AK10">Get_12_Calc</f>
        <v>0</v>
      </c>
      <c r="AL10" s="116" cm="1">
        <f t="array" ref="AL10">Get_12_Add</f>
        <v>0</v>
      </c>
      <c r="AM10" s="116" cm="1">
        <f t="array" ref="AM10">Get_12_Del</f>
        <v>0</v>
      </c>
      <c r="AN10" s="116" cm="1">
        <f t="array" ref="AN10">Get_13_Calc</f>
        <v>0</v>
      </c>
      <c r="AO10" s="116" cm="1">
        <f t="array" ref="AO10">Get_13_Add</f>
        <v>0</v>
      </c>
      <c r="AP10" s="116" cm="1">
        <f t="array" ref="AP10">Get_13_Del</f>
        <v>0</v>
      </c>
      <c r="AQ10" s="116" cm="1">
        <f t="array" ref="AQ10">Get_14_Calc</f>
        <v>0</v>
      </c>
      <c r="AR10" s="116" cm="1">
        <f t="array" ref="AR10">Get_14_Add</f>
        <v>0</v>
      </c>
      <c r="AS10" s="116" cm="1">
        <f t="array" ref="AS10">Get_14_Del</f>
        <v>0</v>
      </c>
      <c r="AT10" s="116" cm="1">
        <f t="array" ref="AT10">Get_15_Calc</f>
        <v>0</v>
      </c>
      <c r="AU10" s="116" cm="1">
        <f t="array" ref="AU10">Get_15_Add</f>
        <v>0</v>
      </c>
      <c r="AV10" s="116" cm="1">
        <f t="array" ref="AV10">Get_15_Del</f>
        <v>0</v>
      </c>
      <c r="AW10" s="116" cm="1">
        <f t="array" ref="AW10">Get_16_Calc</f>
        <v>0</v>
      </c>
      <c r="AX10" s="116" cm="1">
        <f t="array" ref="AX10">Get_16_Add</f>
        <v>0</v>
      </c>
      <c r="AY10" s="116" cm="1">
        <f t="array" ref="AY10">Get_16_Del</f>
        <v>0</v>
      </c>
      <c r="AZ10" s="116" cm="1">
        <f t="array" ref="AZ10">Get_17_Calc</f>
        <v>0</v>
      </c>
      <c r="BA10" s="116" cm="1">
        <f t="array" ref="BA10">Get_17_Add</f>
        <v>0</v>
      </c>
      <c r="BB10" s="116" cm="1">
        <f t="array" ref="BB10">Get_17_Del</f>
        <v>0</v>
      </c>
      <c r="BC10" s="116" cm="1">
        <f t="array" ref="BC10">Get_18_Calc</f>
        <v>0</v>
      </c>
      <c r="BD10" s="116" cm="1">
        <f t="array" ref="BD10">Get_18_Add</f>
        <v>0</v>
      </c>
      <c r="BE10" s="116" cm="1">
        <f t="array" ref="BE10">Get_18_Del</f>
        <v>0</v>
      </c>
      <c r="BF10" s="116" cm="1">
        <f t="array" ref="BF10">Get_19_Calc</f>
        <v>0</v>
      </c>
      <c r="BG10" s="116" cm="1">
        <f t="array" ref="BG10">Get_19_Add</f>
        <v>0</v>
      </c>
      <c r="BH10" s="116" cm="1">
        <f t="array" ref="BH10">Get_19_Del</f>
        <v>0</v>
      </c>
      <c r="BI10" s="116" cm="1">
        <f t="array" ref="BI10">Get_20_Calc</f>
        <v>0</v>
      </c>
      <c r="BJ10" s="116" cm="1">
        <f t="array" ref="BJ10">Get_20_Add</f>
        <v>0</v>
      </c>
      <c r="BK10" s="116" cm="1">
        <f t="array" ref="BK10">Get_20_Del</f>
        <v>0</v>
      </c>
      <c r="BL10" s="96" cm="1">
        <f t="array" ref="BL10">Get_21_Calc</f>
        <v>0</v>
      </c>
      <c r="BM10" s="96" cm="1">
        <f t="array" ref="BM10">Get_21_Add</f>
        <v>0</v>
      </c>
      <c r="BN10" s="96" cm="1">
        <f t="array" ref="BN10">Get_21_Del</f>
        <v>0</v>
      </c>
      <c r="BO10" s="116" cm="1">
        <f t="array" ref="BO10">Get_22_Calc</f>
        <v>0</v>
      </c>
      <c r="BP10" s="116" cm="1">
        <f t="array" ref="BP10">Get_22_Add</f>
        <v>0</v>
      </c>
      <c r="BQ10" s="116" cm="1">
        <f t="array" ref="BQ10">Get_22_Del</f>
        <v>0</v>
      </c>
      <c r="BR10" s="116" cm="1">
        <f t="array" ref="BR10">Get_23_Calc</f>
        <v>0</v>
      </c>
      <c r="BS10" s="116" cm="1">
        <f t="array" ref="BS10">Get_23_Add</f>
        <v>0</v>
      </c>
      <c r="BT10" s="116" cm="1">
        <f t="array" ref="BT10">Get_23_Del</f>
        <v>0</v>
      </c>
      <c r="BU10" s="116" cm="1">
        <f t="array" ref="BU10">Get_24_Calc</f>
        <v>0</v>
      </c>
      <c r="BV10" s="116" cm="1">
        <f t="array" ref="BV10">Get_24_Add</f>
        <v>0</v>
      </c>
      <c r="BW10" s="116" cm="1">
        <f t="array" ref="BW10">Get_24_Del</f>
        <v>0</v>
      </c>
      <c r="BX10" s="116" cm="1">
        <f t="array" ref="BX10">Get_25_Calc</f>
        <v>0</v>
      </c>
      <c r="BY10" s="116" cm="1">
        <f t="array" ref="BY10">Get_25_Add</f>
        <v>0</v>
      </c>
      <c r="BZ10" s="116" cm="1">
        <f t="array" ref="BZ10">Get_25_Del</f>
        <v>0</v>
      </c>
      <c r="CA10" s="116" cm="1">
        <f t="array" ref="CA10">Get_26_Calc</f>
        <v>0</v>
      </c>
      <c r="CB10" s="116" cm="1">
        <f t="array" ref="CB10">Get_26_Add</f>
        <v>0</v>
      </c>
      <c r="CC10" s="116" cm="1">
        <f t="array" ref="CC10">Get_26_Del</f>
        <v>0</v>
      </c>
      <c r="CD10" s="116" cm="1">
        <f t="array" ref="CD10">Get_27_Calc</f>
        <v>0</v>
      </c>
      <c r="CE10" s="116" cm="1">
        <f t="array" ref="CE10">Get_27_Add</f>
        <v>0</v>
      </c>
      <c r="CF10" s="116" cm="1">
        <f t="array" ref="CF10">Get_27_Del</f>
        <v>0</v>
      </c>
      <c r="CG10" s="116" cm="1">
        <f t="array" ref="CG10">Get_28_Calc</f>
        <v>0</v>
      </c>
      <c r="CH10" s="116" cm="1">
        <f t="array" ref="CH10">Get_28_Add</f>
        <v>0</v>
      </c>
      <c r="CI10" s="116" cm="1">
        <f t="array" ref="CI10">Get_28_Del</f>
        <v>0</v>
      </c>
      <c r="CJ10" s="116" cm="1">
        <f t="array" ref="CJ10">Get_29_Calc</f>
        <v>0</v>
      </c>
      <c r="CK10" s="116" cm="1">
        <f t="array" ref="CK10">Get_29_Add</f>
        <v>0</v>
      </c>
      <c r="CL10" s="116" cm="1">
        <f t="array" ref="CL10">Get_29_Del</f>
        <v>0</v>
      </c>
      <c r="CM10" s="116" cm="1">
        <f t="array" ref="CM10">Get_30_Calc</f>
        <v>0</v>
      </c>
      <c r="CN10" s="116" cm="1">
        <f t="array" ref="CN10">Get_30_Add</f>
        <v>0</v>
      </c>
      <c r="CO10" s="116" cm="1">
        <f t="array" ref="CO10">Get_30_Del</f>
        <v>0</v>
      </c>
      <c r="CP10" s="116" cm="1">
        <f t="array" ref="CP10">Get_31_Calc</f>
        <v>0</v>
      </c>
      <c r="CQ10" s="116" cm="1">
        <f t="array" ref="CQ10">Get_31_Add</f>
        <v>0</v>
      </c>
      <c r="CR10" s="116" cm="1">
        <f t="array" ref="CR10">Get_31_Del</f>
        <v>0</v>
      </c>
      <c r="CS10" s="116" cm="1">
        <f t="array" ref="CS10">Get_32_Calc</f>
        <v>0</v>
      </c>
      <c r="CT10" s="116" cm="1">
        <f t="array" ref="CT10">Get_32_Add</f>
        <v>0</v>
      </c>
      <c r="CU10" s="116" cm="1">
        <f t="array" ref="CU10">Get_32_Del</f>
        <v>0</v>
      </c>
      <c r="CV10" s="116" cm="1">
        <f t="array" ref="CV10">Get_33_Calc</f>
        <v>0</v>
      </c>
      <c r="CW10" s="116" cm="1">
        <f t="array" ref="CW10">Get_33_Add</f>
        <v>0</v>
      </c>
      <c r="CX10" s="116" cm="1">
        <f t="array" ref="CX10">Get_33_Del</f>
        <v>0</v>
      </c>
      <c r="CY10" s="116" cm="1">
        <f t="array" ref="CY10">Get_34_Calc</f>
        <v>0</v>
      </c>
      <c r="CZ10" s="116" cm="1">
        <f t="array" ref="CZ10">Get_34_Add</f>
        <v>0</v>
      </c>
      <c r="DA10" s="116" cm="1">
        <f t="array" ref="DA10">Get_34_Del</f>
        <v>0</v>
      </c>
      <c r="DB10" s="116" cm="1">
        <f t="array" ref="DB10">Get_35_Calc</f>
        <v>0</v>
      </c>
      <c r="DC10" s="116" cm="1">
        <f t="array" ref="DC10">Get_35_Add</f>
        <v>0</v>
      </c>
      <c r="DD10" s="116" cm="1">
        <f t="array" ref="DD10">Get_35_Del</f>
        <v>0</v>
      </c>
      <c r="DE10" s="116" cm="1">
        <f t="array" ref="DE10">Get_36_Calc</f>
        <v>0</v>
      </c>
      <c r="DF10" s="116" cm="1">
        <f t="array" ref="DF10">Get_36_Add</f>
        <v>0</v>
      </c>
      <c r="DG10" s="116" cm="1">
        <f t="array" ref="DG10">Get_36_Del</f>
        <v>0</v>
      </c>
      <c r="DH10" s="116" cm="1">
        <f t="array" ref="DH10">Get_37_Calc</f>
        <v>0</v>
      </c>
      <c r="DI10" s="116" cm="1">
        <f t="array" ref="DI10">Get_37_Add</f>
        <v>0</v>
      </c>
      <c r="DJ10" s="116" cm="1">
        <f t="array" ref="DJ10">Get_37_Del</f>
        <v>0</v>
      </c>
      <c r="DK10" s="116" cm="1">
        <f t="array" ref="DK10">Get_38_Calc</f>
        <v>0</v>
      </c>
      <c r="DL10" s="116" cm="1">
        <f t="array" ref="DL10">Get_38_Add</f>
        <v>0</v>
      </c>
      <c r="DM10" s="116" cm="1">
        <f t="array" ref="DM10">Get_38_Del</f>
        <v>0</v>
      </c>
      <c r="DN10" s="116" cm="1">
        <f t="array" ref="DN10">Get_39_Calc</f>
        <v>0</v>
      </c>
      <c r="DO10" s="116" cm="1">
        <f t="array" ref="DO10">Get_39_Add</f>
        <v>0</v>
      </c>
      <c r="DP10" s="116" cm="1">
        <f t="array" ref="DP10">Get_39_Del</f>
        <v>0</v>
      </c>
      <c r="DQ10" s="116" cm="1">
        <f t="array" ref="DQ10">Get_40_Calc</f>
        <v>0</v>
      </c>
      <c r="DR10" s="116" cm="1">
        <f t="array" ref="DR10">Get_40_Add</f>
        <v>0</v>
      </c>
      <c r="DS10" s="116" cm="1">
        <f t="array" ref="DS10">Get_40_Del</f>
        <v>0</v>
      </c>
      <c r="DT10" s="66" t="s">
        <v>275</v>
      </c>
      <c r="DU10" s="67" t="s">
        <v>276</v>
      </c>
      <c r="DV10" s="68" t="s">
        <v>11</v>
      </c>
      <c r="DW10" s="68"/>
      <c r="DX10" s="55"/>
      <c r="DY10" s="68" t="s">
        <v>281</v>
      </c>
      <c r="DZ10" s="68"/>
      <c r="EA10" s="68"/>
      <c r="EB10" s="84">
        <v>45268.505555555559</v>
      </c>
      <c r="EC10" s="104" t="s">
        <v>278</v>
      </c>
      <c r="ED10" s="127" t="s">
        <v>282</v>
      </c>
      <c r="EE10" s="96" cm="1">
        <f t="array" ref="EE10">History_Total</f>
        <v>1</v>
      </c>
      <c r="EF10" s="96" cm="1">
        <f t="array" ref="EF10">History_Saved</f>
        <v>1</v>
      </c>
      <c r="EG10" s="96" cm="1">
        <f t="array" ref="EG10">History_Withdraw</f>
        <v>0</v>
      </c>
      <c r="EH10" s="1"/>
    </row>
  </sheetData>
  <sheetProtection selectLockedCells="1"/>
  <mergeCells count="44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N6:CO6"/>
    <mergeCell ref="CK6:CL6"/>
    <mergeCell ref="CQ6:CR6"/>
    <mergeCell ref="CT6:CU6"/>
    <mergeCell ref="BS6:BT6"/>
    <mergeCell ref="BV6:BW6"/>
    <mergeCell ref="BY6:BZ6"/>
    <mergeCell ref="CB6:CC6"/>
    <mergeCell ref="CE6:CF6"/>
    <mergeCell ref="BD6:BE6"/>
    <mergeCell ref="BG6:BH6"/>
    <mergeCell ref="BJ6:BK6"/>
    <mergeCell ref="BM6:BN6"/>
    <mergeCell ref="BP6:BQ6"/>
    <mergeCell ref="AO6:AP6"/>
    <mergeCell ref="AR6:AS6"/>
    <mergeCell ref="AU6:AV6"/>
    <mergeCell ref="AX6:AY6"/>
    <mergeCell ref="BA6:BB6"/>
    <mergeCell ref="DY6:EA6"/>
    <mergeCell ref="EB6:EC6"/>
    <mergeCell ref="DT6:DX6"/>
    <mergeCell ref="EE6:EG6"/>
    <mergeCell ref="E6:F6"/>
    <mergeCell ref="H6:I6"/>
    <mergeCell ref="N6:O6"/>
    <mergeCell ref="Q6:R6"/>
    <mergeCell ref="K6:L6"/>
    <mergeCell ref="T6:U6"/>
    <mergeCell ref="W6:X6"/>
    <mergeCell ref="Z6:AA6"/>
    <mergeCell ref="AC6:AD6"/>
    <mergeCell ref="AF6:AG6"/>
    <mergeCell ref="AI6:AJ6"/>
    <mergeCell ref="AL6:AM6"/>
  </mergeCells>
  <phoneticPr fontId="7" type="noConversion"/>
  <conditionalFormatting sqref="DT9:ED10">
    <cfRule type="expression" dxfId="366" priority="27">
      <formula>MOD(ROW(),2)=0</formula>
    </cfRule>
    <cfRule type="expression" dxfId="365" priority="28">
      <formula>MOD(ROW(),2)=1</formula>
    </cfRule>
  </conditionalFormatting>
  <dataValidations count="4">
    <dataValidation operator="greaterThanOrEqual" allowBlank="1" showInputMessage="1" showErrorMessage="1" sqref="D9:DS10 EE9:EG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1017814</xdr:colOff>
                    <xdr:row>5</xdr:row>
                    <xdr:rowOff>424543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5</xdr:row>
                    <xdr:rowOff>97971</xdr:rowOff>
                  </from>
                  <to>
                    <xdr:col>2</xdr:col>
                    <xdr:colOff>2057400</xdr:colOff>
                    <xdr:row>5</xdr:row>
                    <xdr:rowOff>424543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6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.1" customHeight="1" x14ac:dyDescent="0.4"/>
  <cols>
    <col min="1" max="1" width="2.69140625" style="60" customWidth="1"/>
    <col min="2" max="2" width="8.69140625" style="60" customWidth="1"/>
    <col min="3" max="3" width="30.69140625" style="87" customWidth="1"/>
    <col min="4" max="5" width="12.69140625" style="88" customWidth="1"/>
    <col min="6" max="43" width="12.69140625" style="88" hidden="1" customWidth="1"/>
    <col min="44" max="44" width="12.69140625" style="85" customWidth="1"/>
    <col min="45" max="45" width="26.69140625" style="86" customWidth="1"/>
    <col min="46" max="46" width="18.69140625" style="85" customWidth="1"/>
    <col min="47" max="47" width="44.69140625" style="118" customWidth="1"/>
    <col min="48" max="48" width="2.69140625" style="60" customWidth="1"/>
    <col min="49" max="49" width="14.69140625" style="60" hidden="1" customWidth="1"/>
    <col min="50" max="50" width="8.69140625" style="60" hidden="1" customWidth="1"/>
    <col min="51" max="51" width="20.69140625" style="60" hidden="1" customWidth="1"/>
    <col min="52" max="52" width="0" style="60" hidden="1" customWidth="1"/>
    <col min="53" max="16384" width="9.15234375" style="60" hidden="1"/>
  </cols>
  <sheetData>
    <row r="1" spans="2:47" s="100" customFormat="1" ht="6" customHeight="1" x14ac:dyDescent="0.4"/>
    <row r="2" spans="2:47" s="59" customFormat="1" ht="55.1" customHeight="1" x14ac:dyDescent="0.4">
      <c r="B2" s="58" t="str">
        <f>设置!D7 &amp;" - 历史记录"</f>
        <v>Yi - 历史记录</v>
      </c>
      <c r="D2" s="101"/>
    </row>
    <row r="3" spans="2:47" ht="8.25" customHeight="1" x14ac:dyDescent="0.4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</row>
    <row r="4" spans="2:47" s="93" customFormat="1" ht="6" customHeight="1" x14ac:dyDescent="0.3">
      <c r="B4" s="90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  <c r="AC4" s="98"/>
      <c r="AD4" s="98"/>
      <c r="AE4" s="98"/>
      <c r="AF4" s="98"/>
      <c r="AG4" s="98"/>
      <c r="AH4" s="98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98"/>
      <c r="AT4" s="98"/>
      <c r="AU4" s="98"/>
    </row>
    <row r="5" spans="2:47" ht="8.25" customHeight="1" x14ac:dyDescent="0.4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</row>
    <row r="6" spans="2:47" s="93" customFormat="1" ht="40.1" customHeight="1" x14ac:dyDescent="0.3">
      <c r="B6" s="60"/>
      <c r="C6" s="143"/>
      <c r="D6" s="91" t="str">
        <f>_xlfn.CONCAT(设置!F11)</f>
        <v>1</v>
      </c>
      <c r="E6" s="92" t="str">
        <f>_xlfn.CONCAT(设置!F12)</f>
        <v>2</v>
      </c>
      <c r="F6" s="91" t="str">
        <f>_xlfn.CONCAT(设置!F13)</f>
        <v/>
      </c>
      <c r="G6" s="92" t="str">
        <f>_xlfn.CONCAT(设置!F14)</f>
        <v/>
      </c>
      <c r="H6" s="91" t="str">
        <f>_xlfn.CONCAT(设置!F15)</f>
        <v/>
      </c>
      <c r="I6" s="92" t="str">
        <f>_xlfn.CONCAT(设置!F16)</f>
        <v/>
      </c>
      <c r="J6" s="91" t="str">
        <f>_xlfn.CONCAT(设置!F17)</f>
        <v/>
      </c>
      <c r="K6" s="92" t="str">
        <f>_xlfn.CONCAT(设置!F18)</f>
        <v/>
      </c>
      <c r="L6" s="91" t="str">
        <f>_xlfn.CONCAT(设置!F19)</f>
        <v/>
      </c>
      <c r="M6" s="92" t="str">
        <f>_xlfn.CONCAT(设置!F20)</f>
        <v/>
      </c>
      <c r="N6" s="91" t="str">
        <f>_xlfn.CONCAT(设置!F21)</f>
        <v/>
      </c>
      <c r="O6" s="92" t="str">
        <f>_xlfn.CONCAT(设置!F22)</f>
        <v/>
      </c>
      <c r="P6" s="91" t="str">
        <f>_xlfn.CONCAT(设置!F23)</f>
        <v/>
      </c>
      <c r="Q6" s="92" t="str">
        <f>_xlfn.CONCAT(设置!F24)</f>
        <v/>
      </c>
      <c r="R6" s="91" t="str">
        <f>_xlfn.CONCAT(设置!F25)</f>
        <v/>
      </c>
      <c r="S6" s="92" t="str">
        <f>_xlfn.CONCAT(设置!F26)</f>
        <v/>
      </c>
      <c r="T6" s="91" t="str">
        <f>_xlfn.CONCAT(设置!F27)</f>
        <v/>
      </c>
      <c r="U6" s="92" t="str">
        <f>_xlfn.CONCAT(设置!F28)</f>
        <v/>
      </c>
      <c r="V6" s="91" t="str">
        <f>_xlfn.CONCAT(设置!F29)</f>
        <v/>
      </c>
      <c r="W6" s="92" t="str">
        <f>_xlfn.CONCAT(设置!F30)</f>
        <v/>
      </c>
      <c r="X6" s="91" t="str">
        <f>_xlfn.CONCAT(设置!F31)</f>
        <v/>
      </c>
      <c r="Y6" s="92" t="str">
        <f>_xlfn.CONCAT(设置!F32)</f>
        <v/>
      </c>
      <c r="Z6" s="91" t="str">
        <f>_xlfn.CONCAT(设置!F33)</f>
        <v/>
      </c>
      <c r="AA6" s="92" t="str">
        <f>_xlfn.CONCAT(设置!F34)</f>
        <v/>
      </c>
      <c r="AB6" s="91" t="str">
        <f>_xlfn.CONCAT(设置!F35)</f>
        <v/>
      </c>
      <c r="AC6" s="92" t="str">
        <f>_xlfn.CONCAT(设置!F36)</f>
        <v/>
      </c>
      <c r="AD6" s="91" t="str">
        <f>_xlfn.CONCAT(设置!F37)</f>
        <v/>
      </c>
      <c r="AE6" s="92" t="str">
        <f>_xlfn.CONCAT(设置!F38)</f>
        <v/>
      </c>
      <c r="AF6" s="91" t="str">
        <f>_xlfn.CONCAT(设置!F39)</f>
        <v/>
      </c>
      <c r="AG6" s="92" t="str">
        <f>_xlfn.CONCAT(设置!F40)</f>
        <v/>
      </c>
      <c r="AH6" s="91" t="str">
        <f>_xlfn.CONCAT(设置!F41)</f>
        <v/>
      </c>
      <c r="AI6" s="92" t="str">
        <f>_xlfn.CONCAT(设置!F42)</f>
        <v/>
      </c>
      <c r="AJ6" s="91" t="str">
        <f>_xlfn.CONCAT(设置!F43)</f>
        <v/>
      </c>
      <c r="AK6" s="92" t="str">
        <f>_xlfn.CONCAT(设置!F44)</f>
        <v/>
      </c>
      <c r="AL6" s="91" t="str">
        <f>_xlfn.CONCAT(设置!F45)</f>
        <v/>
      </c>
      <c r="AM6" s="92" t="str">
        <f>_xlfn.CONCAT(设置!F46)</f>
        <v/>
      </c>
      <c r="AN6" s="91" t="str">
        <f>_xlfn.CONCAT(设置!F47)</f>
        <v/>
      </c>
      <c r="AO6" s="92" t="str">
        <f>_xlfn.CONCAT(设置!F48)</f>
        <v/>
      </c>
      <c r="AP6" s="91" t="str">
        <f>_xlfn.CONCAT(设置!F49)</f>
        <v/>
      </c>
      <c r="AQ6" s="92" t="str">
        <f>_xlfn.CONCAT(设置!F50)</f>
        <v/>
      </c>
      <c r="AR6" s="164" t="s">
        <v>82</v>
      </c>
      <c r="AS6" s="164"/>
      <c r="AT6" s="164"/>
      <c r="AU6" s="164"/>
    </row>
    <row r="7" spans="2:47" ht="8.25" customHeight="1" x14ac:dyDescent="0.4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</row>
    <row r="8" spans="2:47" ht="40.1" customHeight="1" x14ac:dyDescent="0.4">
      <c r="B8" s="94" t="s">
        <v>0</v>
      </c>
      <c r="C8" s="94" t="s">
        <v>3</v>
      </c>
      <c r="D8" s="94" t="s">
        <v>69</v>
      </c>
      <c r="E8" s="94" t="s">
        <v>70</v>
      </c>
      <c r="F8" s="94" t="s">
        <v>31</v>
      </c>
      <c r="G8" s="94" t="s">
        <v>32</v>
      </c>
      <c r="H8" s="94" t="s">
        <v>33</v>
      </c>
      <c r="I8" s="94" t="s">
        <v>34</v>
      </c>
      <c r="J8" s="94" t="s">
        <v>35</v>
      </c>
      <c r="K8" s="94" t="s">
        <v>36</v>
      </c>
      <c r="L8" s="94" t="s">
        <v>37</v>
      </c>
      <c r="M8" s="94" t="s">
        <v>39</v>
      </c>
      <c r="N8" s="94" t="s">
        <v>38</v>
      </c>
      <c r="O8" s="94" t="s">
        <v>40</v>
      </c>
      <c r="P8" s="94" t="s">
        <v>90</v>
      </c>
      <c r="Q8" s="94" t="s">
        <v>91</v>
      </c>
      <c r="R8" s="94" t="s">
        <v>92</v>
      </c>
      <c r="S8" s="94" t="s">
        <v>93</v>
      </c>
      <c r="T8" s="94" t="s">
        <v>94</v>
      </c>
      <c r="U8" s="94" t="s">
        <v>95</v>
      </c>
      <c r="V8" s="94" t="s">
        <v>96</v>
      </c>
      <c r="W8" s="94" t="s">
        <v>97</v>
      </c>
      <c r="X8" s="94" t="s">
        <v>137</v>
      </c>
      <c r="Y8" s="94" t="s">
        <v>138</v>
      </c>
      <c r="Z8" s="94" t="s">
        <v>139</v>
      </c>
      <c r="AA8" s="94" t="s">
        <v>140</v>
      </c>
      <c r="AB8" s="94" t="s">
        <v>141</v>
      </c>
      <c r="AC8" s="94" t="s">
        <v>142</v>
      </c>
      <c r="AD8" s="94" t="s">
        <v>143</v>
      </c>
      <c r="AE8" s="94" t="s">
        <v>144</v>
      </c>
      <c r="AF8" s="94" t="s">
        <v>145</v>
      </c>
      <c r="AG8" s="94" t="s">
        <v>146</v>
      </c>
      <c r="AH8" s="94" t="s">
        <v>136</v>
      </c>
      <c r="AI8" s="94" t="s">
        <v>147</v>
      </c>
      <c r="AJ8" s="94" t="s">
        <v>148</v>
      </c>
      <c r="AK8" s="94" t="s">
        <v>149</v>
      </c>
      <c r="AL8" s="94" t="s">
        <v>150</v>
      </c>
      <c r="AM8" s="94" t="s">
        <v>151</v>
      </c>
      <c r="AN8" s="94" t="s">
        <v>152</v>
      </c>
      <c r="AO8" s="94" t="s">
        <v>153</v>
      </c>
      <c r="AP8" s="94" t="s">
        <v>154</v>
      </c>
      <c r="AQ8" s="94" t="s">
        <v>155</v>
      </c>
      <c r="AR8" s="94" t="s">
        <v>5</v>
      </c>
      <c r="AS8" s="94" t="s">
        <v>4</v>
      </c>
      <c r="AT8" s="94" t="s">
        <v>6</v>
      </c>
      <c r="AU8" s="94" t="s">
        <v>7</v>
      </c>
    </row>
    <row r="9" spans="2:47" ht="39.75" customHeight="1" x14ac:dyDescent="0.4">
      <c r="B9" s="56" cm="1">
        <f t="array" ref="B9">SN</f>
        <v>1</v>
      </c>
      <c r="C9" s="69" t="s">
        <v>326</v>
      </c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  <c r="AF9" s="70"/>
      <c r="AG9" s="70"/>
      <c r="AH9" s="70"/>
      <c r="AI9" s="70"/>
      <c r="AJ9" s="70"/>
      <c r="AK9" s="70"/>
      <c r="AL9" s="70"/>
      <c r="AM9" s="70"/>
      <c r="AN9" s="70"/>
      <c r="AO9" s="70"/>
      <c r="AP9" s="70"/>
      <c r="AQ9" s="70"/>
      <c r="AR9" s="55" t="s">
        <v>8</v>
      </c>
      <c r="AS9" s="84">
        <v>45268.505555555559</v>
      </c>
      <c r="AT9" s="55" t="s">
        <v>278</v>
      </c>
      <c r="AU9" s="89" t="s">
        <v>282</v>
      </c>
    </row>
    <row r="10" spans="2:47" ht="40.1" customHeight="1" x14ac:dyDescent="0.4">
      <c r="B10" s="54" cm="1">
        <f t="array" ref="B10">SN</f>
        <v>2</v>
      </c>
      <c r="C10" s="117" t="s">
        <v>327</v>
      </c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55" t="s">
        <v>8</v>
      </c>
      <c r="AS10" s="84">
        <v>45268.505555555559</v>
      </c>
      <c r="AT10" s="55" t="s">
        <v>278</v>
      </c>
      <c r="AU10" s="89" t="s">
        <v>282</v>
      </c>
    </row>
  </sheetData>
  <sheetProtection deleteRows="0" selectLockedCells="1"/>
  <mergeCells count="1">
    <mergeCell ref="AR6:AU6"/>
  </mergeCells>
  <phoneticPr fontId="7" type="noConversion"/>
  <conditionalFormatting sqref="C9:AU10">
    <cfRule type="expression" dxfId="95" priority="26">
      <formula>MOD(ROW(),2)=0</formula>
    </cfRule>
    <cfRule type="expression" dxfId="94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4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2023-12-27T09:34:44Z</cp:lastPrinted>
  <dcterms:created xsi:type="dcterms:W3CDTF">2023-11-27T09:49:08Z</dcterms:created>
  <dcterms:modified xsi:type="dcterms:W3CDTF">2024-02-26T10:56:49Z</dcterms:modified>
</cp:coreProperties>
</file>