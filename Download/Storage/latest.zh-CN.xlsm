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9C10C8E6-2535-4D5F-956D-048C54287BD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设置!$D$53:$M$53</definedName>
    <definedName name="Get_Store_Uid">Store_Setting[唯一识别码]</definedName>
    <definedName name="Get_Type_of_Access">设置!$D$67:$E$67</definedName>
    <definedName name="Get_Work_Unit">设置!$D$62:$M$62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74" i="1" l="1"/>
  <c r="D77" i="1"/>
  <c r="D76" i="1"/>
  <c r="B7" i="8" l="1" a="1"/>
  <c r="B7" i="8" s="1"/>
  <c r="B10" i="5" l="1" a="1"/>
  <c r="B10" i="5" s="1"/>
  <c r="B10" i="6" a="1"/>
  <c r="B10" i="6" s="1"/>
  <c r="C10" i="6" a="1"/>
  <c r="C10" i="6" s="1"/>
  <c r="DS10" i="6" l="1" a="1"/>
  <c r="DS10" i="6" s="1"/>
  <c r="DV10" i="6" a="1"/>
  <c r="DV10" i="6" s="1"/>
  <c r="DT10" i="6" a="1"/>
  <c r="DT10" i="6" s="1"/>
  <c r="DU10" i="6" a="1"/>
  <c r="DU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5" i="1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V9" i="6" l="1" a="1"/>
  <c r="DV9" i="6" s="1"/>
  <c r="DT9" i="6" a="1"/>
  <c r="DT9" i="6" s="1"/>
  <c r="DU9" i="6" a="1"/>
  <c r="DU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<sst xmlns="http://schemas.openxmlformats.org/spreadsheetml/2006/main" count="405" uniqueCount="329">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</sst>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2" dataDxfId="391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90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9"/>
    <tableColumn id="2" xr3:uid="{C28244F3-482D-4CFC-B629-A29496B98C0B}" name="商品名称" dataDxfId="388"/>
    <tableColumn id="11" xr3:uid="{71958388-9C14-426E-8457-DCEA92BC0E87}" name="负差" dataDxfId="38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86">
      <calculatedColumnFormula>SUM(UserInfo[1 - 剩余])</calculatedColumnFormula>
    </tableColumn>
    <tableColumn id="7" xr3:uid="{75829BDD-5513-4744-8184-35AE3788771C}" name="已存入" dataDxfId="385">
      <calculatedColumnFormula>SUM(UserInfo[1 - 存入])</calculatedColumnFormula>
    </tableColumn>
    <tableColumn id="6" xr3:uid="{B71F91EB-0024-4EC1-8035-3636C31B3740}" name="已支取" dataDxfId="384">
      <calculatedColumnFormula>SUM(UserInfo[1 - 支取])</calculatedColumnFormula>
    </tableColumn>
    <tableColumn id="5" xr3:uid="{6E4E3255-2204-43C6-A50C-EEAF08580A14}" name="库存负差" dataDxfId="383">
      <calculatedColumnFormula>Store_Setting[[#This Row],[入库小计]]-Store_Setting[[#This Row],[取货小计]]</calculatedColumnFormula>
    </tableColumn>
    <tableColumn id="9" xr3:uid="{7DA9A308-8441-49E3-B1B4-6AF7A14784F7}" name="入库小计" dataDxfId="382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1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8" dataDxfId="377">
  <autoFilter ref="B6:I7" xr:uid="{B82E5E9F-8725-4EAF-B9F2-1889C4CE31C6}"/>
  <tableColumns count="8">
    <tableColumn id="1" xr3:uid="{CCD5A4A0-03A2-44F4-8FB0-E2743E043E7C}" name="序号" dataDxfId="376">
      <calculatedColumnFormula array="1">SNGKI</calculatedColumnFormula>
    </tableColumn>
    <tableColumn id="2" xr3:uid="{BE286F67-B0FA-40D9-BDA1-B2CFCEBCEB36}" name="唯一识别码" dataDxfId="375"/>
    <tableColumn id="4" xr3:uid="{9CF218BF-31BE-437E-9285-7CE338B0180C}" name="类型" dataDxfId="374"/>
    <tableColumn id="38" xr3:uid="{BE6B60B8-5A23-4085-9CC5-0D91831F16B6}" name="数量" dataDxfId="373"/>
    <tableColumn id="9" xr3:uid="{BCC80DB2-EF55-4BCC-9A8B-636F5A0886E8}" name="单位" dataDxfId="372"/>
    <tableColumn id="3" xr3:uid="{CCD860BE-34B0-4F57-8823-4D2C9F7985B4}" name="时间" dataDxfId="371"/>
    <tableColumn id="7" xr3:uid="{38DADDD1-29F3-4A23-B844-9D021C0D5F68}" name="工号" dataDxfId="370"/>
    <tableColumn id="8" xr3:uid="{945E147D-AEC8-4CD6-9889-CC8A2ADA4657}" name="备注" dataDxfId="369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6" dataDxfId="365" totalsRowDxfId="364">
  <autoFilter ref="B8:EG10" xr:uid="{ADAB6017-62AE-4ECA-A153-D815FED82043}"/>
  <tableColumns count="136">
    <tableColumn id="1" xr3:uid="{69B39378-5DEE-4683-8063-2D1E5E369E67}" name="序号" totalsRowLabel="Total" dataDxfId="363" totalsRowDxfId="362">
      <calculatedColumnFormula array="1">SN</calculatedColumnFormula>
    </tableColumn>
    <tableColumn id="5" xr3:uid="{35BA10B8-A444-4F80-8F55-6146540C5A57}" name="唯一识别码" dataDxfId="361" totalsRowDxfId="360">
      <calculatedColumnFormula array="1">GUID</calculatedColumnFormula>
    </tableColumn>
    <tableColumn id="6" xr3:uid="{8A3791BE-D142-4B77-980F-0E769FF1CE0E}" name="1 - 剩余" dataDxfId="359">
      <calculatedColumnFormula array="1">Get_1_Calc</calculatedColumnFormula>
    </tableColumn>
    <tableColumn id="8" xr3:uid="{E45E7682-0361-46D3-BF20-AF1E07C3D65B}" name="1 - 存入" dataDxfId="358" totalsRowDxfId="357">
      <calculatedColumnFormula array="1">Get_1_Add</calculatedColumnFormula>
    </tableColumn>
    <tableColumn id="9" xr3:uid="{FE45F0F1-8F7A-4A14-B0E4-3EC60A580E37}" name="1 - 支取" dataDxfId="356" totalsRowDxfId="355">
      <calculatedColumnFormula array="1">Get_1_Del</calculatedColumnFormula>
    </tableColumn>
    <tableColumn id="7" xr3:uid="{B53043EA-8EAF-48CD-A1C4-F1751A029F72}" name="2 - 剩余" dataDxfId="354" totalsRowDxfId="353">
      <calculatedColumnFormula array="1">Get_2_Calc</calculatedColumnFormula>
    </tableColumn>
    <tableColumn id="10" xr3:uid="{95260041-5347-400B-AAEF-EE609D2539A1}" name="2 - 存入" dataDxfId="352" totalsRowDxfId="351">
      <calculatedColumnFormula array="1">Get_2_Add</calculatedColumnFormula>
    </tableColumn>
    <tableColumn id="11" xr3:uid="{33755691-0EB3-40CE-9B73-E91F8C102760}" name="2 - 支取" dataDxfId="350" totalsRowDxfId="349">
      <calculatedColumnFormula array="1">Get_2_Del</calculatedColumnFormula>
    </tableColumn>
    <tableColumn id="32" xr3:uid="{EC5EB628-FB36-43AE-A347-41E9ACE5D72E}" name="3 - 剩余" dataDxfId="348" totalsRowDxfId="347">
      <calculatedColumnFormula array="1">Get_3_Calc</calculatedColumnFormula>
    </tableColumn>
    <tableColumn id="33" xr3:uid="{43A56C01-D775-4C69-87D1-225F1941DB58}" name="3 - 存入" dataDxfId="346" totalsRowDxfId="345">
      <calculatedColumnFormula array="1">Get_3_Add</calculatedColumnFormula>
    </tableColumn>
    <tableColumn id="30" xr3:uid="{E3875226-6AB9-4F4B-91BF-CC71FCEAF551}" name="3 - 支取" dataDxfId="344" totalsRowDxfId="343">
      <calculatedColumnFormula array="1">Get_3_Del</calculatedColumnFormula>
    </tableColumn>
    <tableColumn id="31" xr3:uid="{B62D1E0D-5AB3-4BE3-8BC6-8442FF019A25}" name="4 - 剩余" dataDxfId="342" totalsRowDxfId="341">
      <calculatedColumnFormula array="1">Get_4_Calc</calculatedColumnFormula>
    </tableColumn>
    <tableColumn id="28" xr3:uid="{7B09D42A-E4B3-42DA-A7BC-1855D7B3276B}" name="4 - 存入" dataDxfId="340" totalsRowDxfId="339">
      <calculatedColumnFormula array="1">Get_4_Add</calculatedColumnFormula>
    </tableColumn>
    <tableColumn id="29" xr3:uid="{B7BDACF3-46DD-4203-BF1C-D95921A9EAB9}" name="4 - 支取" dataDxfId="338" totalsRowDxfId="337">
      <calculatedColumnFormula array="1">Get_4_Del</calculatedColumnFormula>
    </tableColumn>
    <tableColumn id="26" xr3:uid="{2B28D0BE-0636-4250-93AD-A6F7361B235B}" name="5 - 剩余" dataDxfId="336" totalsRowDxfId="335">
      <calculatedColumnFormula array="1">Get_5_Calc</calculatedColumnFormula>
    </tableColumn>
    <tableColumn id="27" xr3:uid="{E0E33EBF-F853-45D7-8D8D-4968D0DF550A}" name="5 - 存入" dataDxfId="334" totalsRowDxfId="333">
      <calculatedColumnFormula array="1">Get_5_Add</calculatedColumnFormula>
    </tableColumn>
    <tableColumn id="34" xr3:uid="{8BF8358E-3A1F-4FD6-A3D2-5C9ED03B66D2}" name="5 - 支取" dataDxfId="332" totalsRowDxfId="331">
      <calculatedColumnFormula array="1">Get_5_Del</calculatedColumnFormula>
    </tableColumn>
    <tableColumn id="35" xr3:uid="{BB2E7E56-CFEB-45E5-A53A-8F8601B9A6BC}" name="6 - 剩余" dataDxfId="330">
      <calculatedColumnFormula array="1">Get_6_Calc</calculatedColumnFormula>
    </tableColumn>
    <tableColumn id="36" xr3:uid="{B1C76173-BBE5-4463-A5A2-D59DF06DFEA3}" name="6 - 存入" dataDxfId="329" totalsRowDxfId="328">
      <calculatedColumnFormula array="1">Get_6_Add</calculatedColumnFormula>
    </tableColumn>
    <tableColumn id="37" xr3:uid="{252F1115-6468-4A69-A315-CC054804CD2D}" name="6 - 支取" dataDxfId="327" totalsRowDxfId="326">
      <calculatedColumnFormula array="1">Get_6_Del</calculatedColumnFormula>
    </tableColumn>
    <tableColumn id="20" xr3:uid="{A588D5D5-7793-43CD-9189-E1B0E04C4525}" name="7 - 剩余" dataDxfId="325" totalsRowDxfId="324">
      <calculatedColumnFormula array="1">Get_7_Calc</calculatedColumnFormula>
    </tableColumn>
    <tableColumn id="21" xr3:uid="{173A2F2F-7CDB-4106-BA59-7971244FD630}" name="7 - 存入" dataDxfId="323" totalsRowDxfId="322">
      <calculatedColumnFormula array="1">Get_7_Add</calculatedColumnFormula>
    </tableColumn>
    <tableColumn id="46" xr3:uid="{5DD0D315-AA29-4E95-AB07-E17D16311131}" name="7 - 支取" dataDxfId="321" totalsRowDxfId="320">
      <calculatedColumnFormula array="1">Get_7_Del</calculatedColumnFormula>
    </tableColumn>
    <tableColumn id="47" xr3:uid="{887630E9-FAB3-4BC4-AE9D-DA08EE18BEE8}" name="8 - 剩余" dataDxfId="319" totalsRowDxfId="318">
      <calculatedColumnFormula array="1">Get_8_Calc</calculatedColumnFormula>
    </tableColumn>
    <tableColumn id="44" xr3:uid="{74DD3BDF-B83E-43E2-A24B-4F5846C78DBC}" name="8 - 存入" dataDxfId="317" totalsRowDxfId="316">
      <calculatedColumnFormula array="1">Get_8_Add</calculatedColumnFormula>
    </tableColumn>
    <tableColumn id="45" xr3:uid="{F7703264-4D50-4502-8F6F-FB36B91EB021}" name="8 - 支取" dataDxfId="315" totalsRowDxfId="314">
      <calculatedColumnFormula array="1">Get_8_Del</calculatedColumnFormula>
    </tableColumn>
    <tableColumn id="42" xr3:uid="{4E67C08C-7260-499F-B198-7B6E4192E472}" name="9 - 剩余" dataDxfId="313" totalsRowDxfId="312">
      <calculatedColumnFormula array="1">Get_9_Calc</calculatedColumnFormula>
    </tableColumn>
    <tableColumn id="43" xr3:uid="{7F9B0DDB-B0CF-4F25-BEAA-5F937B25BDE0}" name="9 - 存入" dataDxfId="311" totalsRowDxfId="310">
      <calculatedColumnFormula array="1">Get_9_Add</calculatedColumnFormula>
    </tableColumn>
    <tableColumn id="40" xr3:uid="{3AA5B498-FA98-483A-A388-6B6F74476BFD}" name="9 - 支取" dataDxfId="309" totalsRowDxfId="308">
      <calculatedColumnFormula array="1">Get_9_Del</calculatedColumnFormula>
    </tableColumn>
    <tableColumn id="41" xr3:uid="{82D58ED2-A190-4823-8868-5A26D45CD476}" name="10 - 剩余" dataDxfId="307" totalsRowDxfId="306">
      <calculatedColumnFormula array="1">Get_10_Calc</calculatedColumnFormula>
    </tableColumn>
    <tableColumn id="38" xr3:uid="{800CF74D-0283-4B1A-9909-EF49C70CBE94}" name="10 - 存入" dataDxfId="305" totalsRowDxfId="304">
      <calculatedColumnFormula array="1">Get_10_Add</calculatedColumnFormula>
    </tableColumn>
    <tableColumn id="39" xr3:uid="{276FBA7A-AC3A-4E59-B8B1-B09B169E6837}" name="10 - 支取" dataDxfId="303" totalsRowDxfId="302">
      <calculatedColumnFormula array="1">Get_10_Del</calculatedColumnFormula>
    </tableColumn>
    <tableColumn id="48" xr3:uid="{A7B9D79E-F38B-48CB-AEE5-E7B7F6EF5C2C}" name="11 - 剩余" dataDxfId="301" totalsRowDxfId="300">
      <calculatedColumnFormula array="1">Get_11_Calc</calculatedColumnFormula>
    </tableColumn>
    <tableColumn id="49" xr3:uid="{01CFCCAE-6F8F-4C1E-8FF6-6275897A542E}" name="11 - 存入" dataDxfId="299" totalsRowDxfId="298">
      <calculatedColumnFormula array="1">Get_11_Add</calculatedColumnFormula>
    </tableColumn>
    <tableColumn id="14" xr3:uid="{27E31913-0377-43BF-8773-DF68330317BA}" name="11 - 支取" dataDxfId="297" totalsRowDxfId="296">
      <calculatedColumnFormula array="1">Get_11_Del</calculatedColumnFormula>
    </tableColumn>
    <tableColumn id="51" xr3:uid="{5B85F460-5E62-4025-895D-56CA23340014}" name="12 - 剩余" dataDxfId="295" totalsRowDxfId="294">
      <calculatedColumnFormula array="1">Get_12_Calc</calculatedColumnFormula>
    </tableColumn>
    <tableColumn id="52" xr3:uid="{0EC70A7E-2DCB-4261-AA03-9B9BE1BAEC8F}" name="12 - 存入" dataDxfId="293" totalsRowDxfId="292">
      <calculatedColumnFormula array="1">Get_12_Add</calculatedColumnFormula>
    </tableColumn>
    <tableColumn id="50" xr3:uid="{3EB42EAC-DC06-4CC0-A5A9-B7FE23DC5389}" name="12 - 支取" dataDxfId="291" totalsRowDxfId="290">
      <calculatedColumnFormula array="1">Get_12_Del</calculatedColumnFormula>
    </tableColumn>
    <tableColumn id="65" xr3:uid="{EDF8FCAF-50EB-44D5-B6A9-3CD2A6E9AE1E}" name="13 - 剩余" dataDxfId="289" totalsRowDxfId="288">
      <calculatedColumnFormula array="1">Get_13_Calc</calculatedColumnFormula>
    </tableColumn>
    <tableColumn id="66" xr3:uid="{F5CC81DC-58D2-4192-A82D-389419FBEF0D}" name="13 - 存入" dataDxfId="287" totalsRowDxfId="286">
      <calculatedColumnFormula array="1">Get_13_Add</calculatedColumnFormula>
    </tableColumn>
    <tableColumn id="67" xr3:uid="{CDD18276-7453-4E17-BA82-D9E26BD8811B}" name="13 - 支取" dataDxfId="285" totalsRowDxfId="284">
      <calculatedColumnFormula array="1">Get_13_Del</calculatedColumnFormula>
    </tableColumn>
    <tableColumn id="62" xr3:uid="{68ACC17D-E3C3-4466-88A6-F2F14F757F76}" name="14 - 剩余" dataDxfId="283" totalsRowDxfId="282">
      <calculatedColumnFormula array="1">Get_14_Calc</calculatedColumnFormula>
    </tableColumn>
    <tableColumn id="63" xr3:uid="{0E0EE3C5-8F3C-4968-B0E6-50B1C2B616A8}" name="14 - 存入" dataDxfId="281" totalsRowDxfId="280">
      <calculatedColumnFormula array="1">Get_14_Add</calculatedColumnFormula>
    </tableColumn>
    <tableColumn id="64" xr3:uid="{AD67C543-6A27-4C51-906F-D522151C0D92}" name="14 - 支取" dataDxfId="279" totalsRowDxfId="278">
      <calculatedColumnFormula array="1">Get_14_Del</calculatedColumnFormula>
    </tableColumn>
    <tableColumn id="59" xr3:uid="{7CAE30DB-B183-4017-8A77-F435FA507A01}" name="15 - 剩余" dataDxfId="277" totalsRowDxfId="276">
      <calculatedColumnFormula array="1">Get_15_Calc</calculatedColumnFormula>
    </tableColumn>
    <tableColumn id="60" xr3:uid="{10EF06B0-FD95-42A9-BFCC-64BBC565CA14}" name="15 - 存入" dataDxfId="275" totalsRowDxfId="274">
      <calculatedColumnFormula array="1">Get_15_Add</calculatedColumnFormula>
    </tableColumn>
    <tableColumn id="61" xr3:uid="{6301F8B4-4D01-4FDA-8D32-75921B15A2D9}" name="15 - 支取" dataDxfId="273" totalsRowDxfId="272">
      <calculatedColumnFormula array="1">Get_15_Del</calculatedColumnFormula>
    </tableColumn>
    <tableColumn id="56" xr3:uid="{05F125DE-5AE7-4786-ACBC-DAF9D7222A62}" name="16 - 剩余" dataDxfId="271" totalsRowDxfId="270">
      <calculatedColumnFormula array="1">Get_16_Calc</calculatedColumnFormula>
    </tableColumn>
    <tableColumn id="57" xr3:uid="{7E6969DC-E3FC-4DA8-BB9D-6B36E075458F}" name="16 - 存入" dataDxfId="269" totalsRowDxfId="268">
      <calculatedColumnFormula array="1">Get_16_Add</calculatedColumnFormula>
    </tableColumn>
    <tableColumn id="58" xr3:uid="{84C80CB2-57F5-4B66-8756-5573CD699D16}" name="16 - 支取" dataDxfId="267" totalsRowDxfId="266">
      <calculatedColumnFormula array="1">Get_16_Del</calculatedColumnFormula>
    </tableColumn>
    <tableColumn id="53" xr3:uid="{65516705-AD27-4ECA-AF09-D132C51E08CE}" name="17 - 剩余" dataDxfId="265" totalsRowDxfId="264">
      <calculatedColumnFormula array="1">Get_17_Calc</calculatedColumnFormula>
    </tableColumn>
    <tableColumn id="54" xr3:uid="{0756DBD3-FDA1-4E71-849C-F20BBD0A5182}" name="17 - 存入" dataDxfId="263" totalsRowDxfId="262">
      <calculatedColumnFormula array="1">Get_17_Add</calculatedColumnFormula>
    </tableColumn>
    <tableColumn id="55" xr3:uid="{51CB254C-5F29-4215-8FE0-F8B8B7B32759}" name="17 - 支取" dataDxfId="261" totalsRowDxfId="260">
      <calculatedColumnFormula array="1">Get_17_Del</calculatedColumnFormula>
    </tableColumn>
    <tableColumn id="68" xr3:uid="{9C2EC294-A2C3-40B0-9E15-FFA1DA6DE0E7}" name="18 - 剩余" dataDxfId="259" totalsRowDxfId="258">
      <calculatedColumnFormula array="1">Get_18_Calc</calculatedColumnFormula>
    </tableColumn>
    <tableColumn id="69" xr3:uid="{A371F69D-1236-4AAC-B5F1-72D518D6FC69}" name="18 - 存入" dataDxfId="257" totalsRowDxfId="256">
      <calculatedColumnFormula array="1">Get_18_Add</calculatedColumnFormula>
    </tableColumn>
    <tableColumn id="70" xr3:uid="{7B3C5D9B-BC0C-404F-9490-CDADC350F1D7}" name="18 - 支取" dataDxfId="255" totalsRowDxfId="254">
      <calculatedColumnFormula array="1">Get_18_Del</calculatedColumnFormula>
    </tableColumn>
    <tableColumn id="19" xr3:uid="{91B42855-55D1-4A6A-B9A8-5EE011ADEB10}" name="19 - 剩余" dataDxfId="253" totalsRowDxfId="252">
      <calculatedColumnFormula array="1">Get_19_Calc</calculatedColumnFormula>
    </tableColumn>
    <tableColumn id="18" xr3:uid="{98EE3A39-A8AB-42CF-AEB5-291E8B95D8CA}" name="19 - 存入" dataDxfId="251" totalsRowDxfId="250">
      <calculatedColumnFormula array="1">Get_19_Add</calculatedColumnFormula>
    </tableColumn>
    <tableColumn id="73" xr3:uid="{DB40D44F-8801-4D50-BA48-8323E05D2E13}" name="19 - 支取" dataDxfId="249" totalsRowDxfId="248">
      <calculatedColumnFormula array="1">Get_19_Del</calculatedColumnFormula>
    </tableColumn>
    <tableColumn id="72" xr3:uid="{470D5EC3-31A6-4851-B48C-D6DDADACC807}" name="20 - 剩余" dataDxfId="247" totalsRowDxfId="246">
      <calculatedColumnFormula array="1">Get_20_Calc</calculatedColumnFormula>
    </tableColumn>
    <tableColumn id="71" xr3:uid="{39143051-B360-4CEF-883D-35BFEEAE3BA0}" name="20 - 存入" dataDxfId="245" totalsRowDxfId="244">
      <calculatedColumnFormula array="1">Get_20_Add</calculatedColumnFormula>
    </tableColumn>
    <tableColumn id="15" xr3:uid="{8C1BB1E7-B23F-46EC-AE4E-28A3C394FD55}" name="20 - 支取" dataDxfId="243" totalsRowDxfId="242">
      <calculatedColumnFormula array="1">Get_20_Del</calculatedColumnFormula>
    </tableColumn>
    <tableColumn id="102" xr3:uid="{F21D4D43-73EE-4C8A-8AEF-E424CE485010}" name="21 - 剩余" dataDxfId="241" totalsRowDxfId="240">
      <calculatedColumnFormula array="1">Get_21_Calc</calculatedColumnFormula>
    </tableColumn>
    <tableColumn id="103" xr3:uid="{4486E59C-66B0-413C-AFFC-A8A336BC25D8}" name="21 - 存入" dataDxfId="239" totalsRowDxfId="238">
      <calculatedColumnFormula array="1">Get_21_Add</calculatedColumnFormula>
    </tableColumn>
    <tableColumn id="104" xr3:uid="{564EC857-6030-490D-A2E5-16F4F8221C23}" name="21 - 支取" dataDxfId="237" totalsRowDxfId="236">
      <calculatedColumnFormula array="1">Get_21_Del</calculatedColumnFormula>
    </tableColumn>
    <tableColumn id="105" xr3:uid="{31132AB1-247A-4EB9-8A8A-871FED0D5AA1}" name="22 - 剩余" dataDxfId="235" totalsRowDxfId="234">
      <calculatedColumnFormula array="1">Get_22_Calc</calculatedColumnFormula>
    </tableColumn>
    <tableColumn id="98" xr3:uid="{CF6220B5-7B80-445C-A013-845D35543916}" name="22 - 存入" dataDxfId="233" totalsRowDxfId="232">
      <calculatedColumnFormula array="1">Get_22_Add</calculatedColumnFormula>
    </tableColumn>
    <tableColumn id="99" xr3:uid="{98BD4691-C847-4F41-8E6C-BEC01B8FAEB3}" name="22 - 支取" dataDxfId="231" totalsRowDxfId="230">
      <calculatedColumnFormula array="1">Get_22_Del</calculatedColumnFormula>
    </tableColumn>
    <tableColumn id="100" xr3:uid="{66330D4E-ED0D-41A7-921D-E622CA8068A4}" name="23 - 剩余" dataDxfId="229" totalsRowDxfId="228">
      <calculatedColumnFormula array="1">Get_23_Calc</calculatedColumnFormula>
    </tableColumn>
    <tableColumn id="101" xr3:uid="{3345E086-C2E9-453D-A0EB-A7471CF2ACB2}" name="23 - 存入" dataDxfId="227" totalsRowDxfId="226">
      <calculatedColumnFormula array="1">Get_23_Add</calculatedColumnFormula>
    </tableColumn>
    <tableColumn id="94" xr3:uid="{8EF3E108-22A5-4CBC-9928-BC115EFE882A}" name="23 - 支取" dataDxfId="225" totalsRowDxfId="224">
      <calculatedColumnFormula array="1">Get_23_Del</calculatedColumnFormula>
    </tableColumn>
    <tableColumn id="95" xr3:uid="{C6AA287C-2EA3-4286-A71D-29E22D519C41}" name="24 - 剩余" dataDxfId="223" totalsRowDxfId="222">
      <calculatedColumnFormula array="1">Get_24_Calc</calculatedColumnFormula>
    </tableColumn>
    <tableColumn id="96" xr3:uid="{1FDAF720-4143-496A-91C3-D65BD5CBA18F}" name="24 - 存入" dataDxfId="221" totalsRowDxfId="220">
      <calculatedColumnFormula array="1">Get_24_Add</calculatedColumnFormula>
    </tableColumn>
    <tableColumn id="97" xr3:uid="{0CACBF11-449C-4C06-A249-904EB5517854}" name="24 - 支取" dataDxfId="219" totalsRowDxfId="218">
      <calculatedColumnFormula array="1">Get_24_Del</calculatedColumnFormula>
    </tableColumn>
    <tableColumn id="90" xr3:uid="{11D36A45-02CB-476F-A2D2-734F76A2D1A6}" name="25 - 剩余" dataDxfId="217" totalsRowDxfId="216">
      <calculatedColumnFormula array="1">Get_25_Calc</calculatedColumnFormula>
    </tableColumn>
    <tableColumn id="91" xr3:uid="{8B60EC99-F04A-45EF-8F17-680319744A85}" name="25 - 存入" dataDxfId="215" totalsRowDxfId="214">
      <calculatedColumnFormula array="1">Get_25_Add</calculatedColumnFormula>
    </tableColumn>
    <tableColumn id="92" xr3:uid="{AD05D88D-F2C1-4505-9BBD-FDC0B2D388F3}" name="25 - 支取" dataDxfId="213" totalsRowDxfId="212">
      <calculatedColumnFormula array="1">Get_25_Del</calculatedColumnFormula>
    </tableColumn>
    <tableColumn id="93" xr3:uid="{F7CB76E9-97CE-4CC8-AEDA-CB574593A924}" name="26 - 剩余" dataDxfId="211" totalsRowDxfId="210">
      <calculatedColumnFormula array="1">Get_26_Calc</calculatedColumnFormula>
    </tableColumn>
    <tableColumn id="86" xr3:uid="{6D74E673-FBC5-435E-9229-8C187E67EA3F}" name="26 - 存入" dataDxfId="209" totalsRowDxfId="208">
      <calculatedColumnFormula array="1">Get_26_Add</calculatedColumnFormula>
    </tableColumn>
    <tableColumn id="87" xr3:uid="{C2C28027-A1CD-440D-BB33-3A80FCC5A8C1}" name="26 - 支取" dataDxfId="207" totalsRowDxfId="206">
      <calculatedColumnFormula array="1">Get_26_Del</calculatedColumnFormula>
    </tableColumn>
    <tableColumn id="88" xr3:uid="{070B4F15-D610-4FCF-B681-42E984B3F85F}" name="27 - 剩余" dataDxfId="205" totalsRowDxfId="204">
      <calculatedColumnFormula array="1">Get_27_Calc</calculatedColumnFormula>
    </tableColumn>
    <tableColumn id="89" xr3:uid="{04BA09B0-47DA-4E80-BEEC-AB8498C074D5}" name="27 - 存入" dataDxfId="203" totalsRowDxfId="202">
      <calculatedColumnFormula array="1">Get_27_Add</calculatedColumnFormula>
    </tableColumn>
    <tableColumn id="82" xr3:uid="{17B1B927-AD09-4E4A-B7FC-33ED76279CBC}" name="27 - 支取" dataDxfId="201" totalsRowDxfId="200">
      <calculatedColumnFormula array="1">Get_27_Del</calculatedColumnFormula>
    </tableColumn>
    <tableColumn id="83" xr3:uid="{2F4ED0A5-EE6B-4248-832C-F478A57FA0D5}" name="28 - 剩余" dataDxfId="199" totalsRowDxfId="198">
      <calculatedColumnFormula array="1">Get_28_Calc</calculatedColumnFormula>
    </tableColumn>
    <tableColumn id="84" xr3:uid="{D1140375-114D-49D9-A424-519A4250A622}" name="28 - 存入" dataDxfId="197" totalsRowDxfId="196">
      <calculatedColumnFormula array="1">Get_28_Add</calculatedColumnFormula>
    </tableColumn>
    <tableColumn id="85" xr3:uid="{53209986-74FA-491C-8499-CAD58386B246}" name="28 - 支取" dataDxfId="195" totalsRowDxfId="194">
      <calculatedColumnFormula array="1">Get_28_Del</calculatedColumnFormula>
    </tableColumn>
    <tableColumn id="78" xr3:uid="{9B1695E1-88D0-4B66-86DA-6328CEFA236B}" name="29 - 剩余" dataDxfId="193" totalsRowDxfId="192">
      <calculatedColumnFormula array="1">Get_29_Calc</calculatedColumnFormula>
    </tableColumn>
    <tableColumn id="79" xr3:uid="{AD5F07E7-774D-47C8-B9B7-0278E35D62E4}" name="29 - 存入" dataDxfId="191" totalsRowDxfId="190">
      <calculatedColumnFormula array="1">Get_29_Add</calculatedColumnFormula>
    </tableColumn>
    <tableColumn id="80" xr3:uid="{60613223-E2AD-4FE8-AB22-74D7D70E9EC2}" name="29 - 支取" dataDxfId="189" totalsRowDxfId="188">
      <calculatedColumnFormula array="1">Get_29_Del</calculatedColumnFormula>
    </tableColumn>
    <tableColumn id="81" xr3:uid="{598D87C2-40FF-4EB0-A568-2DE01DFD9C9A}" name="30 - 剩余" dataDxfId="187" totalsRowDxfId="186">
      <calculatedColumnFormula array="1">Get_30_Calc</calculatedColumnFormula>
    </tableColumn>
    <tableColumn id="112" xr3:uid="{A33BC1F0-D006-4639-92C6-0E411B6CA96D}" name="30 - 存入" dataDxfId="185" totalsRowDxfId="184">
      <calculatedColumnFormula array="1">Get_30_Add</calculatedColumnFormula>
    </tableColumn>
    <tableColumn id="113" xr3:uid="{AF7F8313-8446-4886-AE41-FE26C24E6965}" name="30 - 支取" dataDxfId="183" totalsRowDxfId="182">
      <calculatedColumnFormula array="1">Get_30_Del</calculatedColumnFormula>
    </tableColumn>
    <tableColumn id="114" xr3:uid="{32AC448A-1D9F-45C6-ADF0-484483D61305}" name="31 - 剩余" dataDxfId="181" totalsRowDxfId="180">
      <calculatedColumnFormula array="1">Get_31_Calc</calculatedColumnFormula>
    </tableColumn>
    <tableColumn id="109" xr3:uid="{6656E887-BCA1-45C6-9018-4F892EDCD6BD}" name="31 - 存入" dataDxfId="179" totalsRowDxfId="178">
      <calculatedColumnFormula array="1">Get_31_Add</calculatedColumnFormula>
    </tableColumn>
    <tableColumn id="110" xr3:uid="{19143AD3-AFEC-4767-B097-6EFED19C1D5F}" name="31 - 支取" dataDxfId="177" totalsRowDxfId="176">
      <calculatedColumnFormula array="1">Get_31_Del</calculatedColumnFormula>
    </tableColumn>
    <tableColumn id="111" xr3:uid="{A73390AD-84AD-4B11-962F-A0DD77AF79DB}" name="32 - 剩余" dataDxfId="175" totalsRowDxfId="174">
      <calculatedColumnFormula array="1">Get_32_Calc</calculatedColumnFormula>
    </tableColumn>
    <tableColumn id="106" xr3:uid="{CD563433-AB70-48C2-B28C-D63B8FE4231B}" name="32 - 存入" dataDxfId="173" totalsRowDxfId="172">
      <calculatedColumnFormula array="1">Get_32_Add</calculatedColumnFormula>
    </tableColumn>
    <tableColumn id="107" xr3:uid="{8C2B9726-7B44-4012-849B-90C10E42CC75}" name="32 - 支取" dataDxfId="171" totalsRowDxfId="170">
      <calculatedColumnFormula array="1">Get_32_Del</calculatedColumnFormula>
    </tableColumn>
    <tableColumn id="108" xr3:uid="{E5AF4544-102C-474F-A246-CC7171B33738}" name="33 - 剩余" dataDxfId="169" totalsRowDxfId="168">
      <calculatedColumnFormula array="1">Get_33_Calc</calculatedColumnFormula>
    </tableColumn>
    <tableColumn id="121" xr3:uid="{C1F5D498-1262-44DF-B066-1A676148E301}" name="33 - 存入" dataDxfId="167" totalsRowDxfId="166">
      <calculatedColumnFormula array="1">Get_33_Add</calculatedColumnFormula>
    </tableColumn>
    <tableColumn id="122" xr3:uid="{2F6821D0-F42C-4DED-A045-B1C398C90F61}" name="33 - 支取" dataDxfId="165" totalsRowDxfId="164">
      <calculatedColumnFormula array="1">Get_33_Del</calculatedColumnFormula>
    </tableColumn>
    <tableColumn id="123" xr3:uid="{DDEBD9FE-7A2F-41FF-9BD6-93F0E3570136}" name="34 - 剩余" dataDxfId="163" totalsRowDxfId="162">
      <calculatedColumnFormula array="1">Get_34_Calc</calculatedColumnFormula>
    </tableColumn>
    <tableColumn id="118" xr3:uid="{DEAF0FA5-8ADE-45D7-B112-EA03FAA0D896}" name="34 - 存入" dataDxfId="161" totalsRowDxfId="160">
      <calculatedColumnFormula array="1">Get_34_Add</calculatedColumnFormula>
    </tableColumn>
    <tableColumn id="119" xr3:uid="{C95831F4-24FC-40B7-A0D8-FEBAAA6EAD80}" name="34 - 支取" dataDxfId="159" totalsRowDxfId="158">
      <calculatedColumnFormula array="1">Get_34_Del</calculatedColumnFormula>
    </tableColumn>
    <tableColumn id="120" xr3:uid="{8C22D30B-320F-49E4-B37A-57A3D5DEE429}" name="35 - 剩余" dataDxfId="157" totalsRowDxfId="156">
      <calculatedColumnFormula array="1">Get_35_Calc</calculatedColumnFormula>
    </tableColumn>
    <tableColumn id="115" xr3:uid="{DC9FF648-80A3-480C-8295-816AE96549F0}" name="35 - 存入" dataDxfId="155" totalsRowDxfId="154">
      <calculatedColumnFormula array="1">Get_35_Add</calculatedColumnFormula>
    </tableColumn>
    <tableColumn id="116" xr3:uid="{19FD796A-C39B-4913-B2F4-CF8C8A6E2355}" name="35 - 支取" dataDxfId="153" totalsRowDxfId="152">
      <calculatedColumnFormula array="1">Get_35_Del</calculatedColumnFormula>
    </tableColumn>
    <tableColumn id="117" xr3:uid="{329AC6EB-CF46-4F1E-A1D1-49A8B17CACCD}" name="36 - 剩余" dataDxfId="151" totalsRowDxfId="150">
      <calculatedColumnFormula array="1">Get_36_Calc</calculatedColumnFormula>
    </tableColumn>
    <tableColumn id="77" xr3:uid="{D18373BA-DB75-470C-9939-60206C36267B}" name="36 - 存入" dataDxfId="149" totalsRowDxfId="148">
      <calculatedColumnFormula array="1">Get_36_Add</calculatedColumnFormula>
    </tableColumn>
    <tableColumn id="76" xr3:uid="{8C923C1F-8AAD-4F00-B3ED-8C81417C548A}" name="36 - 支取" dataDxfId="147" totalsRowDxfId="146">
      <calculatedColumnFormula array="1">Get_36_Del</calculatedColumnFormula>
    </tableColumn>
    <tableColumn id="132" xr3:uid="{F6203D74-C033-4FEA-B4CE-F892F2B07270}" name="37 - 剩余" dataDxfId="145" totalsRowDxfId="144">
      <calculatedColumnFormula array="1">Get_37_Calc</calculatedColumnFormula>
    </tableColumn>
    <tableColumn id="133" xr3:uid="{BA7DE93C-8EE4-4DDC-BC04-EC21986490A7}" name="37 - 存入" dataDxfId="143" totalsRowDxfId="142">
      <calculatedColumnFormula array="1">Get_37_Add</calculatedColumnFormula>
    </tableColumn>
    <tableColumn id="128" xr3:uid="{A2AB67E7-67E5-4957-9EB1-A4A37B61C71A}" name="37 - 支取" dataDxfId="141" totalsRowDxfId="140">
      <calculatedColumnFormula array="1">Get_37_Del</calculatedColumnFormula>
    </tableColumn>
    <tableColumn id="129" xr3:uid="{15573BDA-20F9-4C2F-9D6F-18F743FC6E25}" name="38 - 剩余" dataDxfId="139" totalsRowDxfId="138">
      <calculatedColumnFormula array="1">Get_38_Calc</calculatedColumnFormula>
    </tableColumn>
    <tableColumn id="130" xr3:uid="{C0F229CF-C5D6-4F11-8F55-7692B00DC0E3}" name="38 - 存入" dataDxfId="137" totalsRowDxfId="136">
      <calculatedColumnFormula array="1">Get_38_Add</calculatedColumnFormula>
    </tableColumn>
    <tableColumn id="125" xr3:uid="{24A0AFA6-873B-40D0-95AA-269E0E8A05E1}" name="38 - 支取" dataDxfId="135" totalsRowDxfId="134">
      <calculatedColumnFormula array="1">Get_38_Del</calculatedColumnFormula>
    </tableColumn>
    <tableColumn id="126" xr3:uid="{20897FAE-D3FE-48DD-961E-6A6443173FA9}" name="39 - 剩余" dataDxfId="133" totalsRowDxfId="132">
      <calculatedColumnFormula array="1">Get_39_Calc</calculatedColumnFormula>
    </tableColumn>
    <tableColumn id="127" xr3:uid="{35F30295-EDB2-4D7F-939D-DFAC52BB2A9F}" name="39 - 存入" dataDxfId="131" totalsRowDxfId="130">
      <calculatedColumnFormula array="1">Get_39_Add</calculatedColumnFormula>
    </tableColumn>
    <tableColumn id="124" xr3:uid="{AF953A41-E1B0-4337-8A8E-F951C493EDE8}" name="39 - 支取" dataDxfId="129" totalsRowDxfId="128">
      <calculatedColumnFormula array="1">Get_39_Del</calculatedColumnFormula>
    </tableColumn>
    <tableColumn id="75" xr3:uid="{07F02D24-5D96-40AE-BCE0-590F79C6D5DF}" name="40 - 剩余" dataDxfId="127" totalsRowDxfId="126">
      <calculatedColumnFormula array="1">Get_40_Calc</calculatedColumnFormula>
    </tableColumn>
    <tableColumn id="134" xr3:uid="{1075256E-BEBC-4E72-B0F5-766EF175AB4B}" name="40 - 存入" dataDxfId="125" totalsRowDxfId="124">
      <calculatedColumnFormula array="1">Get_40_Add</calculatedColumnFormula>
    </tableColumn>
    <tableColumn id="74" xr3:uid="{DAFDE2C6-F321-4651-AA25-F4B29B9F690B}" name="40 - 支取" dataDxfId="123" totalsRowDxfId="122">
      <calculatedColumnFormula array="1">Get_40_Del</calculatedColumnFormula>
    </tableColumn>
    <tableColumn id="137" xr3:uid="{1891C4C9-4A23-450B-A886-75E1CEF0D316}" name="总共已关联" dataDxfId="121" totalsRowDxfId="120">
      <calculatedColumnFormula array="1">History_Total</calculatedColumnFormula>
    </tableColumn>
    <tableColumn id="135" xr3:uid="{2ADB4649-A6D6-47C9-BB74-AEFE8E74033C}" name="已关联存入" dataDxfId="119">
      <calculatedColumnFormula array="1">History_Saved</calculatedColumnFormula>
    </tableColumn>
    <tableColumn id="131" xr3:uid="{158ED6B7-25D0-4887-81D9-FA8471BBEC20}" name="已关联支取" dataDxfId="118" totalsRowDxfId="117">
      <calculatedColumnFormula array="1">History_Withdraw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84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274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291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81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249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13</v>
      </c>
      <c r="C7" s="27" t="s">
        <v>12</v>
      </c>
      <c r="D7" s="121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14</v>
      </c>
      <c r="C9" s="27" t="s">
        <v>216</v>
      </c>
      <c r="D9" s="27"/>
      <c r="E9" s="27"/>
      <c r="F9" s="27"/>
      <c r="G9" s="108" t="s">
        <v>273</v>
      </c>
      <c r="H9" s="160" t="s">
        <v>222</v>
      </c>
      <c r="I9" s="160"/>
      <c r="J9" s="160"/>
      <c r="K9" s="161" t="s">
        <v>239</v>
      </c>
      <c r="L9" s="161"/>
      <c r="M9" s="161"/>
    </row>
    <row r="10" spans="2:13" ht="40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09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40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0">
        <v>1</v>
      </c>
      <c r="G11" s="110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0">
        <v>2</v>
      </c>
      <c r="G12" s="110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0">
        <v>3</v>
      </c>
      <c r="G13" s="110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0">
        <v>4</v>
      </c>
      <c r="G14" s="110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0">
        <v>5</v>
      </c>
      <c r="G15" s="110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0">
        <v>6</v>
      </c>
      <c r="G16" s="110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0">
        <v>7</v>
      </c>
      <c r="G17" s="110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0">
        <v>8</v>
      </c>
      <c r="G18" s="110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0">
        <v>9</v>
      </c>
      <c r="G19" s="110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0">
        <v>10</v>
      </c>
      <c r="G20" s="110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0">
        <v>11</v>
      </c>
      <c r="G21" s="110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0">
        <v>12</v>
      </c>
      <c r="G22" s="110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0">
        <v>13</v>
      </c>
      <c r="G23" s="110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0">
        <v>14</v>
      </c>
      <c r="G24" s="110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0">
        <v>15</v>
      </c>
      <c r="G25" s="110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0">
        <v>16</v>
      </c>
      <c r="G26" s="110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0">
        <v>17</v>
      </c>
      <c r="G27" s="110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0">
        <v>18</v>
      </c>
      <c r="G28" s="110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0">
        <v>19</v>
      </c>
      <c r="G29" s="110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0">
        <v>20</v>
      </c>
      <c r="G30" s="110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0">
        <v>21</v>
      </c>
      <c r="G31" s="110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0">
        <v>22</v>
      </c>
      <c r="G32" s="110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0">
        <v>23</v>
      </c>
      <c r="G33" s="110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0">
        <v>24</v>
      </c>
      <c r="G34" s="110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0">
        <v>25</v>
      </c>
      <c r="G35" s="110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0">
        <v>26</v>
      </c>
      <c r="G36" s="110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0">
        <v>27</v>
      </c>
      <c r="G37" s="110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0">
        <v>28</v>
      </c>
      <c r="G38" s="110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0">
        <v>29</v>
      </c>
      <c r="G39" s="110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0">
        <v>30</v>
      </c>
      <c r="G40" s="110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0">
        <v>31</v>
      </c>
      <c r="G41" s="110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0">
        <v>32</v>
      </c>
      <c r="G42" s="110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0">
        <v>33</v>
      </c>
      <c r="G43" s="110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0">
        <v>34</v>
      </c>
      <c r="G44" s="110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0">
        <v>35</v>
      </c>
      <c r="G45" s="110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0">
        <v>36</v>
      </c>
      <c r="G46" s="110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0">
        <v>37</v>
      </c>
      <c r="G47" s="110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0">
        <v>38</v>
      </c>
      <c r="G48" s="110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0">
        <v>39</v>
      </c>
      <c r="G49" s="110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0">
        <v>40</v>
      </c>
      <c r="G50" s="110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15</v>
      </c>
      <c r="C52" s="27" t="s">
        <v>125</v>
      </c>
      <c r="D52" s="122" t="s">
        <v>278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 x14ac:dyDescent="0.4">
      <c r="B53" s="26"/>
      <c r="C53" s="27" t="s">
        <v>29</v>
      </c>
      <c r="D53" s="123" t="s">
        <v>277</v>
      </c>
      <c r="E53" s="123" t="s">
        <v>278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 x14ac:dyDescent="0.4">
      <c r="B54" s="26"/>
      <c r="C54" s="27" t="s">
        <v>30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 x14ac:dyDescent="0.4">
      <c r="B56" s="26" t="s">
        <v>16</v>
      </c>
      <c r="C56" s="27" t="s">
        <v>312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49"/>
      <c r="K56" s="149"/>
      <c r="L56" s="149"/>
      <c r="M56" s="149"/>
    </row>
    <row r="57" spans="2:13" ht="40" customHeight="1" x14ac:dyDescent="0.4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9"/>
      <c r="K57" s="149"/>
      <c r="L57" s="149"/>
      <c r="M57" s="149"/>
    </row>
    <row r="58" spans="2:13" ht="40" customHeight="1" x14ac:dyDescent="0.4">
      <c r="B58" s="26"/>
      <c r="C58" s="71" t="s">
        <v>309</v>
      </c>
      <c r="D58" s="65" t="s">
        <v>127</v>
      </c>
      <c r="E58" s="150" t="s">
        <v>263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 x14ac:dyDescent="0.4">
      <c r="B59" s="26"/>
      <c r="C59" s="71" t="s">
        <v>315</v>
      </c>
      <c r="D59" s="65" t="s">
        <v>126</v>
      </c>
      <c r="E59" s="150" t="s">
        <v>319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 x14ac:dyDescent="0.4">
      <c r="B60" s="26"/>
      <c r="C60" s="71" t="s">
        <v>314</v>
      </c>
      <c r="D60" s="65" t="s">
        <v>126</v>
      </c>
      <c r="E60" s="150" t="s">
        <v>320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 x14ac:dyDescent="0.4">
      <c r="B62" s="26" t="s">
        <v>25</v>
      </c>
      <c r="C62" s="27" t="s">
        <v>224</v>
      </c>
      <c r="D62" s="122" t="s">
        <v>225</v>
      </c>
      <c r="E62" s="122" t="s">
        <v>226</v>
      </c>
      <c r="F62" s="122" t="s">
        <v>227</v>
      </c>
      <c r="G62" s="122" t="s">
        <v>259</v>
      </c>
      <c r="H62" s="122" t="s">
        <v>260</v>
      </c>
      <c r="I62" s="122" t="s">
        <v>261</v>
      </c>
      <c r="J62" s="122" t="s">
        <v>262</v>
      </c>
      <c r="K62" s="122"/>
      <c r="L62" s="122"/>
      <c r="M62" s="122"/>
    </row>
    <row r="63" spans="2:13" ht="40" customHeight="1" x14ac:dyDescent="0.4">
      <c r="B63" s="26"/>
      <c r="C63" s="71" t="s">
        <v>311</v>
      </c>
      <c r="D63" s="65" t="s">
        <v>126</v>
      </c>
      <c r="E63" s="150" t="s">
        <v>268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1" t="s">
        <v>317</v>
      </c>
      <c r="D64" s="65" t="s">
        <v>126</v>
      </c>
      <c r="E64" s="150" t="s">
        <v>318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1" t="s">
        <v>316</v>
      </c>
      <c r="D65" s="65" t="s">
        <v>126</v>
      </c>
      <c r="E65" s="150" t="s">
        <v>321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39" t="s">
        <v>217</v>
      </c>
      <c r="C67" s="27" t="s">
        <v>5</v>
      </c>
      <c r="D67" s="147" t="s">
        <v>8</v>
      </c>
      <c r="E67" s="147" t="s">
        <v>9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 x14ac:dyDescent="0.4">
      <c r="B69" s="139" t="s">
        <v>258</v>
      </c>
      <c r="C69" s="27" t="s">
        <v>310</v>
      </c>
      <c r="D69" s="147" t="s">
        <v>232</v>
      </c>
      <c r="E69" s="147" t="s">
        <v>218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 x14ac:dyDescent="0.4">
      <c r="B71" s="139" t="s">
        <v>266</v>
      </c>
      <c r="C71" s="27" t="s">
        <v>1</v>
      </c>
      <c r="D71" s="147" t="s">
        <v>10</v>
      </c>
      <c r="E71" s="147" t="s">
        <v>11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 x14ac:dyDescent="0.4">
      <c r="B73" s="139" t="s">
        <v>273</v>
      </c>
      <c r="C73" s="153" t="s">
        <v>122</v>
      </c>
      <c r="D73" s="154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39"/>
      <c r="C74" s="153" t="s">
        <v>313</v>
      </c>
      <c r="D74" s="15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39"/>
      <c r="C75" s="153" t="s">
        <v>135</v>
      </c>
      <c r="D75" s="15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 x14ac:dyDescent="0.4">
      <c r="B76" s="139"/>
      <c r="C76" s="153" t="s">
        <v>26</v>
      </c>
      <c r="D76" s="154" t="str">
        <f>_xlfn.CONCAT("共有 ", COUNTA(Get_Staff_Member)," 位员工")</f>
        <v>共有 2 位员工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39"/>
      <c r="C77" s="153" t="s">
        <v>224</v>
      </c>
      <c r="D77" s="154" t="str">
        <f>_xlfn.CONCAT("已设置 ", COUNTA(Get_Work_Unit)," 个单位")</f>
        <v>已设置 7 个单位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17</v>
      </c>
      <c r="C79" s="44"/>
      <c r="D79" s="44"/>
      <c r="E79" s="44"/>
    </row>
    <row r="80" spans="2:13" ht="40" customHeight="1" x14ac:dyDescent="0.4">
      <c r="B80" s="31" t="s">
        <v>19</v>
      </c>
      <c r="C80" s="36" t="s">
        <v>130</v>
      </c>
      <c r="D80" s="45"/>
      <c r="E80" s="45"/>
    </row>
    <row r="81" spans="2:5" ht="40" customHeight="1" x14ac:dyDescent="0.4">
      <c r="B81" s="31" t="s">
        <v>20</v>
      </c>
      <c r="C81" s="40" t="s">
        <v>18</v>
      </c>
      <c r="D81" s="43"/>
      <c r="E81" s="43"/>
    </row>
    <row r="82" spans="2:5" ht="40" customHeight="1" x14ac:dyDescent="0.4">
      <c r="B82" s="31" t="s">
        <v>128</v>
      </c>
      <c r="C82" s="36" t="s">
        <v>129</v>
      </c>
      <c r="D82" s="45"/>
      <c r="E82" s="45"/>
    </row>
    <row r="83" spans="2:5" ht="40" customHeight="1" x14ac:dyDescent="0.4">
      <c r="B83" s="31" t="s">
        <v>123</v>
      </c>
      <c r="C83" s="36" t="s">
        <v>328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4" priority="2">
      <formula>MOD(ROW(),2)=1</formula>
    </cfRule>
    <cfRule type="expression" dxfId="393" priority="3">
      <formula>MOD(ROW(),2)=0</formula>
    </cfRule>
  </conditionalFormatting>
  <dataValidations disablePrompts="1"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57:I57 D63:D65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86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216</v>
      </c>
      <c r="D7" s="11" t="s">
        <v>3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1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230</v>
      </c>
      <c r="D11" s="11" t="s">
        <v>5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219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224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7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设置!D7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" customHeight="1" x14ac:dyDescent="0.4">
      <c r="B7" s="54" cm="1">
        <f t="array" ref="B7">SNGKI</f>
        <v>1</v>
      </c>
      <c r="C7" s="118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8" t="s">
        <v>282</v>
      </c>
    </row>
  </sheetData>
  <sheetProtection selectLockedCells="1"/>
  <conditionalFormatting sqref="C7:I7">
    <cfRule type="expression" dxfId="380" priority="21">
      <formula>MOD(ROW(),2)=0</formula>
    </cfRule>
    <cfRule type="expression" dxfId="379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86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85</v>
      </c>
      <c r="D7" s="141" t="s">
        <v>3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27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28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1</v>
      </c>
      <c r="E10" s="7"/>
      <c r="F10" s="112"/>
      <c r="G10" s="75"/>
    </row>
    <row r="11" spans="1:8" ht="35.15" customHeight="1" x14ac:dyDescent="0.4">
      <c r="B11" s="60"/>
      <c r="C11" s="60"/>
      <c r="D11" s="63" t="s">
        <v>22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21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89</v>
      </c>
      <c r="D14" s="63" t="s">
        <v>2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23</v>
      </c>
      <c r="E15" s="7"/>
      <c r="F15" s="112"/>
      <c r="G15" s="75"/>
    </row>
    <row r="16" spans="1:8" ht="35.15" customHeight="1" x14ac:dyDescent="0.4">
      <c r="B16" s="60"/>
      <c r="C16" s="60"/>
      <c r="D16" s="63" t="s">
        <v>24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7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59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 x14ac:dyDescent="0.4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 x14ac:dyDescent="0.4">
      <c r="A6" s="60"/>
      <c r="B6" s="60"/>
      <c r="C6" s="140"/>
      <c r="D6" s="158">
        <f>设置!F11</f>
        <v>1</v>
      </c>
      <c r="E6" s="158" t="str">
        <f>设置!F11 &amp;" - 历史记录"</f>
        <v>1 - 历史记录</v>
      </c>
      <c r="F6" s="158"/>
      <c r="G6" s="156">
        <f>设置!F12</f>
        <v>2</v>
      </c>
      <c r="H6" s="156" t="str">
        <f>设置!F12 &amp;" - 历史记录"</f>
        <v>2 - 历史记录</v>
      </c>
      <c r="I6" s="156"/>
      <c r="J6" s="158">
        <f>设置!F13</f>
        <v>3</v>
      </c>
      <c r="K6" s="158" t="str">
        <f>设置!F13 &amp;" - 历史记录"</f>
        <v>3 - 历史记录</v>
      </c>
      <c r="L6" s="158"/>
      <c r="M6" s="156">
        <f>设置!F14</f>
        <v>4</v>
      </c>
      <c r="N6" s="156" t="str">
        <f>设置!F14 &amp;" - 历史记录"</f>
        <v>4 - 历史记录</v>
      </c>
      <c r="O6" s="156"/>
      <c r="P6" s="158">
        <f>设置!F15</f>
        <v>5</v>
      </c>
      <c r="Q6" s="158" t="str">
        <f>设置!F15 &amp;" - 历史记录"</f>
        <v>5 - 历史记录</v>
      </c>
      <c r="R6" s="158"/>
      <c r="S6" s="156">
        <f>设置!F16</f>
        <v>6</v>
      </c>
      <c r="T6" s="156" t="str">
        <f>设置!F16 &amp;" - 历史记录"</f>
        <v>6 - 历史记录</v>
      </c>
      <c r="U6" s="156"/>
      <c r="V6" s="158">
        <f>设置!F17</f>
        <v>7</v>
      </c>
      <c r="W6" s="158" t="str">
        <f>设置!F17 &amp;" - 历史记录"</f>
        <v>7 - 历史记录</v>
      </c>
      <c r="X6" s="158"/>
      <c r="Y6" s="156">
        <f>设置!F18</f>
        <v>8</v>
      </c>
      <c r="Z6" s="156" t="str">
        <f>设置!F18 &amp;" - 历史记录"</f>
        <v>8 - 历史记录</v>
      </c>
      <c r="AA6" s="156"/>
      <c r="AB6" s="158">
        <f>设置!F19</f>
        <v>9</v>
      </c>
      <c r="AC6" s="158" t="str">
        <f>设置!F19 &amp;" - 历史记录"</f>
        <v>9 - 历史记录</v>
      </c>
      <c r="AD6" s="158"/>
      <c r="AE6" s="156">
        <f>设置!F20</f>
        <v>10</v>
      </c>
      <c r="AF6" s="156" t="str">
        <f>设置!F20 &amp;" - 历史记录"</f>
        <v>10 - 历史记录</v>
      </c>
      <c r="AG6" s="156"/>
      <c r="AH6" s="158">
        <f>设置!F21</f>
        <v>11</v>
      </c>
      <c r="AI6" s="158" t="str">
        <f>设置!F21 &amp;" - 历史记录"</f>
        <v>11 - 历史记录</v>
      </c>
      <c r="AJ6" s="158"/>
      <c r="AK6" s="156">
        <f>设置!F22</f>
        <v>12</v>
      </c>
      <c r="AL6" s="156" t="str">
        <f>设置!F22 &amp;" - 历史记录"</f>
        <v>12 - 历史记录</v>
      </c>
      <c r="AM6" s="156"/>
      <c r="AN6" s="158">
        <f>设置!F23</f>
        <v>13</v>
      </c>
      <c r="AO6" s="158" t="str">
        <f>设置!F23 &amp;" - 历史记录"</f>
        <v>13 - 历史记录</v>
      </c>
      <c r="AP6" s="158"/>
      <c r="AQ6" s="156">
        <f>设置!F24</f>
        <v>14</v>
      </c>
      <c r="AR6" s="156" t="str">
        <f>设置!F24 &amp;" - 历史记录"</f>
        <v>14 - 历史记录</v>
      </c>
      <c r="AS6" s="156"/>
      <c r="AT6" s="158">
        <f>设置!F25</f>
        <v>15</v>
      </c>
      <c r="AU6" s="158" t="str">
        <f>设置!F25 &amp;" - 历史记录"</f>
        <v>15 - 历史记录</v>
      </c>
      <c r="AV6" s="158"/>
      <c r="AW6" s="156">
        <f>设置!F26</f>
        <v>16</v>
      </c>
      <c r="AX6" s="156" t="str">
        <f>设置!F26 &amp;" - 历史记录"</f>
        <v>16 - 历史记录</v>
      </c>
      <c r="AY6" s="156"/>
      <c r="AZ6" s="158">
        <f>设置!F27</f>
        <v>17</v>
      </c>
      <c r="BA6" s="158" t="str">
        <f>设置!F27 &amp;" - 历史记录"</f>
        <v>17 - 历史记录</v>
      </c>
      <c r="BB6" s="158"/>
      <c r="BC6" s="156">
        <f>设置!F28</f>
        <v>18</v>
      </c>
      <c r="BD6" s="156" t="str">
        <f>设置!F28 &amp;" - 历史记录"</f>
        <v>18 - 历史记录</v>
      </c>
      <c r="BE6" s="156"/>
      <c r="BF6" s="158">
        <f>设置!F29</f>
        <v>19</v>
      </c>
      <c r="BG6" s="158" t="str">
        <f>设置!F29 &amp;" - 历史记录"</f>
        <v>19 - 历史记录</v>
      </c>
      <c r="BH6" s="158"/>
      <c r="BI6" s="156">
        <f>设置!F30</f>
        <v>20</v>
      </c>
      <c r="BJ6" s="156" t="str">
        <f>设置!F30 &amp;" - 历史记录"</f>
        <v>20 - 历史记录</v>
      </c>
      <c r="BK6" s="156"/>
      <c r="BL6" s="157">
        <f>设置!F31</f>
        <v>21</v>
      </c>
      <c r="BM6" s="157" t="str">
        <f>设置!F31 &amp;" - 历史记录"</f>
        <v>21 - 历史记录</v>
      </c>
      <c r="BN6" s="157"/>
      <c r="BO6" s="156">
        <f>设置!F32</f>
        <v>22</v>
      </c>
      <c r="BP6" s="156" t="str">
        <f>设置!F32 &amp;" - 历史记录"</f>
        <v>22 - 历史记录</v>
      </c>
      <c r="BQ6" s="156"/>
      <c r="BR6" s="157">
        <f>设置!F33</f>
        <v>23</v>
      </c>
      <c r="BS6" s="157" t="str">
        <f>设置!F33 &amp;" - 历史记录"</f>
        <v>23 - 历史记录</v>
      </c>
      <c r="BT6" s="157"/>
      <c r="BU6" s="156">
        <f>设置!F34</f>
        <v>24</v>
      </c>
      <c r="BV6" s="156" t="str">
        <f>设置!F34 &amp;" - 历史记录"</f>
        <v>24 - 历史记录</v>
      </c>
      <c r="BW6" s="156"/>
      <c r="BX6" s="157">
        <f>设置!F35</f>
        <v>25</v>
      </c>
      <c r="BY6" s="157" t="str">
        <f>设置!F35 &amp;" - 历史记录"</f>
        <v>25 - 历史记录</v>
      </c>
      <c r="BZ6" s="157"/>
      <c r="CA6" s="156">
        <f>设置!F36</f>
        <v>26</v>
      </c>
      <c r="CB6" s="156" t="str">
        <f>设置!F36 &amp;" - 历史记录"</f>
        <v>26 - 历史记录</v>
      </c>
      <c r="CC6" s="156"/>
      <c r="CD6" s="157">
        <f>设置!F37</f>
        <v>27</v>
      </c>
      <c r="CE6" s="157" t="str">
        <f>设置!F37 &amp;" - 历史记录"</f>
        <v>27 - 历史记录</v>
      </c>
      <c r="CF6" s="157"/>
      <c r="CG6" s="156">
        <f>设置!F38</f>
        <v>28</v>
      </c>
      <c r="CH6" s="156" t="str">
        <f>设置!F38 &amp;" - 历史记录"</f>
        <v>28 - 历史记录</v>
      </c>
      <c r="CI6" s="156"/>
      <c r="CJ6" s="157">
        <f>设置!F39</f>
        <v>29</v>
      </c>
      <c r="CK6" s="157" t="str">
        <f>设置!F39 &amp;" - 历史记录"</f>
        <v>29 - 历史记录</v>
      </c>
      <c r="CL6" s="157"/>
      <c r="CM6" s="156">
        <f>设置!F40</f>
        <v>30</v>
      </c>
      <c r="CN6" s="156" t="str">
        <f>设置!F40 &amp;" - 历史记录"</f>
        <v>30 - 历史记录</v>
      </c>
      <c r="CO6" s="156"/>
      <c r="CP6" s="157">
        <f>设置!F41</f>
        <v>31</v>
      </c>
      <c r="CQ6" s="157" t="str">
        <f>设置!F41 &amp;" - 历史记录"</f>
        <v>31 - 历史记录</v>
      </c>
      <c r="CR6" s="157"/>
      <c r="CS6" s="156">
        <f>设置!F42</f>
        <v>32</v>
      </c>
      <c r="CT6" s="156" t="str">
        <f>设置!F42 &amp;" - 历史记录"</f>
        <v>32 - 历史记录</v>
      </c>
      <c r="CU6" s="156"/>
      <c r="CV6" s="157">
        <f>设置!F43</f>
        <v>33</v>
      </c>
      <c r="CW6" s="157" t="str">
        <f>设置!F43 &amp;" - 历史记录"</f>
        <v>33 - 历史记录</v>
      </c>
      <c r="CX6" s="157"/>
      <c r="CY6" s="156">
        <f>设置!F44</f>
        <v>34</v>
      </c>
      <c r="CZ6" s="156" t="str">
        <f>设置!F44 &amp;" - 历史记录"</f>
        <v>34 - 历史记录</v>
      </c>
      <c r="DA6" s="156"/>
      <c r="DB6" s="157">
        <f>设置!F45</f>
        <v>35</v>
      </c>
      <c r="DC6" s="157" t="str">
        <f>设置!F45 &amp;" - 历史记录"</f>
        <v>35 - 历史记录</v>
      </c>
      <c r="DD6" s="157"/>
      <c r="DE6" s="156">
        <f>设置!F46</f>
        <v>36</v>
      </c>
      <c r="DF6" s="156" t="str">
        <f>设置!F46 &amp;" - 历史记录"</f>
        <v>36 - 历史记录</v>
      </c>
      <c r="DG6" s="156"/>
      <c r="DH6" s="157">
        <f>设置!F47</f>
        <v>37</v>
      </c>
      <c r="DI6" s="157" t="str">
        <f>设置!F47 &amp;" - 历史记录"</f>
        <v>37 - 历史记录</v>
      </c>
      <c r="DJ6" s="157"/>
      <c r="DK6" s="156">
        <f>设置!F48</f>
        <v>38</v>
      </c>
      <c r="DL6" s="156" t="str">
        <f>设置!F48 &amp;" - 历史记录"</f>
        <v>38 - 历史记录</v>
      </c>
      <c r="DM6" s="156"/>
      <c r="DN6" s="157">
        <f>设置!F49</f>
        <v>39</v>
      </c>
      <c r="DO6" s="157" t="str">
        <f>设置!F49 &amp;" - 历史记录"</f>
        <v>39 - 历史记录</v>
      </c>
      <c r="DP6" s="157"/>
      <c r="DQ6" s="156">
        <f>设置!F50</f>
        <v>40</v>
      </c>
      <c r="DR6" s="156" t="str">
        <f>设置!F50 &amp;" - 历史记录"</f>
        <v>40 - 历史记录</v>
      </c>
      <c r="DS6" s="156"/>
      <c r="DT6" s="162" t="s">
        <v>322</v>
      </c>
      <c r="DU6" s="162"/>
      <c r="DV6" s="162"/>
      <c r="DW6" s="163" t="s">
        <v>72</v>
      </c>
      <c r="DX6" s="163"/>
      <c r="DY6" s="163"/>
      <c r="DZ6" s="163"/>
      <c r="EA6" s="163"/>
      <c r="EB6" s="163" t="s">
        <v>87</v>
      </c>
      <c r="EC6" s="163"/>
      <c r="ED6" s="163"/>
      <c r="EE6" s="163" t="s">
        <v>270</v>
      </c>
      <c r="EF6" s="163"/>
      <c r="EG6" s="105"/>
      <c r="EH6" s="60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 x14ac:dyDescent="0.4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325</v>
      </c>
      <c r="DU8" s="94" t="s">
        <v>323</v>
      </c>
      <c r="DV8" s="94" t="s">
        <v>324</v>
      </c>
      <c r="DW8" s="94" t="s">
        <v>27</v>
      </c>
      <c r="DX8" s="94" t="s">
        <v>28</v>
      </c>
      <c r="DY8" s="94" t="s">
        <v>1</v>
      </c>
      <c r="DZ8" s="94" t="s">
        <v>22</v>
      </c>
      <c r="EA8" s="94" t="s">
        <v>21</v>
      </c>
      <c r="EB8" s="94" t="s">
        <v>2</v>
      </c>
      <c r="EC8" s="103" t="s">
        <v>23</v>
      </c>
      <c r="ED8" s="103" t="s">
        <v>24</v>
      </c>
      <c r="EE8" s="99" t="s">
        <v>73</v>
      </c>
      <c r="EF8" s="103" t="s">
        <v>6</v>
      </c>
      <c r="EG8" s="103" t="s">
        <v>7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228</v>
      </c>
      <c r="DX9" s="67" t="s">
        <v>229</v>
      </c>
      <c r="DY9" s="68" t="s">
        <v>10</v>
      </c>
      <c r="DZ9" s="68"/>
      <c r="EA9" s="55"/>
      <c r="EB9" s="68" t="s">
        <v>280</v>
      </c>
      <c r="EC9" s="68" t="s">
        <v>265</v>
      </c>
      <c r="ED9" s="68"/>
      <c r="EE9" s="84">
        <v>45268.505555555559</v>
      </c>
      <c r="EF9" s="104" t="s">
        <v>278</v>
      </c>
      <c r="EG9" s="128" t="s">
        <v>282</v>
      </c>
      <c r="EH9" s="13"/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275</v>
      </c>
      <c r="DX10" s="67" t="s">
        <v>276</v>
      </c>
      <c r="DY10" s="68" t="s">
        <v>11</v>
      </c>
      <c r="DZ10" s="68"/>
      <c r="EA10" s="55"/>
      <c r="EB10" s="68" t="s">
        <v>281</v>
      </c>
      <c r="EC10" s="68"/>
      <c r="ED10" s="68"/>
      <c r="EE10" s="84">
        <v>45268.505555555559</v>
      </c>
      <c r="EF10" s="104" t="s">
        <v>278</v>
      </c>
      <c r="EG10" s="128" t="s">
        <v>282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68" priority="25">
      <formula>MOD(ROW(),2)=0</formula>
    </cfRule>
    <cfRule type="expression" dxfId="367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设置!D7 &amp;" - 历史记录"</f>
        <v>Yi - 历史记录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>
        <f>设置!F11</f>
        <v>1</v>
      </c>
      <c r="E6" s="92">
        <f>设置!F12</f>
        <v>2</v>
      </c>
      <c r="F6" s="91">
        <f>设置!F13</f>
        <v>3</v>
      </c>
      <c r="G6" s="92">
        <f>设置!F14</f>
        <v>4</v>
      </c>
      <c r="H6" s="91">
        <f>设置!F15</f>
        <v>5</v>
      </c>
      <c r="I6" s="92">
        <f>设置!F16</f>
        <v>6</v>
      </c>
      <c r="J6" s="91">
        <f>设置!F17</f>
        <v>7</v>
      </c>
      <c r="K6" s="92">
        <f>设置!F18</f>
        <v>8</v>
      </c>
      <c r="L6" s="91">
        <f>设置!F19</f>
        <v>9</v>
      </c>
      <c r="M6" s="92">
        <f>设置!F20</f>
        <v>10</v>
      </c>
      <c r="N6" s="91">
        <f>设置!F21</f>
        <v>11</v>
      </c>
      <c r="O6" s="92">
        <f>设置!F22</f>
        <v>12</v>
      </c>
      <c r="P6" s="91">
        <f>设置!F23</f>
        <v>13</v>
      </c>
      <c r="Q6" s="92">
        <f>设置!F24</f>
        <v>14</v>
      </c>
      <c r="R6" s="91">
        <f>设置!F25</f>
        <v>15</v>
      </c>
      <c r="S6" s="92">
        <f>设置!F26</f>
        <v>16</v>
      </c>
      <c r="T6" s="91">
        <f>设置!F27</f>
        <v>17</v>
      </c>
      <c r="U6" s="92">
        <f>设置!F28</f>
        <v>18</v>
      </c>
      <c r="V6" s="91">
        <f>设置!F29</f>
        <v>19</v>
      </c>
      <c r="W6" s="92">
        <f>设置!F30</f>
        <v>20</v>
      </c>
      <c r="X6" s="91">
        <f>设置!F31</f>
        <v>21</v>
      </c>
      <c r="Y6" s="92">
        <f>设置!F32</f>
        <v>22</v>
      </c>
      <c r="Z6" s="91">
        <f>设置!F33</f>
        <v>23</v>
      </c>
      <c r="AA6" s="92">
        <f>设置!F34</f>
        <v>24</v>
      </c>
      <c r="AB6" s="91">
        <f>设置!F35</f>
        <v>25</v>
      </c>
      <c r="AC6" s="92">
        <f>设置!F36</f>
        <v>26</v>
      </c>
      <c r="AD6" s="91">
        <f>设置!F37</f>
        <v>27</v>
      </c>
      <c r="AE6" s="92">
        <f>设置!F38</f>
        <v>28</v>
      </c>
      <c r="AF6" s="91">
        <f>设置!F39</f>
        <v>29</v>
      </c>
      <c r="AG6" s="92">
        <f>设置!F40</f>
        <v>30</v>
      </c>
      <c r="AH6" s="91">
        <f>设置!F41</f>
        <v>31</v>
      </c>
      <c r="AI6" s="92">
        <f>设置!F42</f>
        <v>32</v>
      </c>
      <c r="AJ6" s="91">
        <f>设置!F43</f>
        <v>33</v>
      </c>
      <c r="AK6" s="92">
        <f>设置!F44</f>
        <v>34</v>
      </c>
      <c r="AL6" s="91">
        <f>设置!F45</f>
        <v>35</v>
      </c>
      <c r="AM6" s="92">
        <f>设置!F46</f>
        <v>36</v>
      </c>
      <c r="AN6" s="91">
        <f>设置!F47</f>
        <v>37</v>
      </c>
      <c r="AO6" s="92">
        <f>设置!F48</f>
        <v>38</v>
      </c>
      <c r="AP6" s="91">
        <f>设置!F49</f>
        <v>39</v>
      </c>
      <c r="AQ6" s="92">
        <f>设置!F50</f>
        <v>40</v>
      </c>
      <c r="AR6" s="163" t="s">
        <v>82</v>
      </c>
      <c r="AS6" s="163"/>
      <c r="AT6" s="163"/>
      <c r="AU6" s="163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 x14ac:dyDescent="0.4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" customHeight="1" x14ac:dyDescent="0.4">
      <c r="B10" s="54" cm="1">
        <f t="array" ref="B10">SN</f>
        <v>2</v>
      </c>
      <c r="C10" s="118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2024-02-25T09:54:35Z</dcterms:modified>
</cp:coreProperties>
</file>