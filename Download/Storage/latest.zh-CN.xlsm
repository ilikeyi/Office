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194918F0-6C1D-4B04-B9A5-DFED49B91C46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1" l="1"/>
  <c r="D70" i="1"/>
  <c r="D73" i="1"/>
  <c r="D72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69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<sst xmlns="http://schemas.openxmlformats.org/spreadsheetml/2006/main" count="389" uniqueCount="317">
  <si>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</si>
  <si>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</si>
  <si>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</si>
  <si>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</si>
  <si>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</si>
  <si>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</si>
  <si>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</si>
  <si>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</si>
  <si>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</si>
  <si>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</si>
  <si>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</si>
  <si>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</si>
  <si>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</si>
  <si>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</si>
  <si>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</si>
  <si>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</si>
  <si>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</si>
  <si>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</si>
  <si>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</si>
  <si>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</si>
  <si>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</si>
  <si>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</si>
  <si>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</si>
  <si>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</si>
  <si>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</si>
  <si>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</si>
  <si>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</si>
  <si>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</si>
  <si>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</si>
  <si>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</si>
  <si>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</si>
  <si>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</si>
  <si>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</si>
  <si>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</si>
  <si>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</si>
  <si>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</si>
  <si>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</si>
  <si>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</si>
  <si>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</si>
  <si>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</si>
  <si>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</si>
  <si>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</si>
  <si>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</si>
  <si>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</si>
  <si>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</si>
  <si>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</si>
  <si>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</si>
  <si>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</si>
  <si>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</si>
  <si>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</si>
  <si>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</si>
  <si>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</si>
  <si>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</si>
  <si>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</si>
  <si>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</si>
  <si>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</si>
  <si>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</si>
  <si>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</si>
  <si>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</si>
  <si>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</si>
  <si>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</si>
  <si>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</si>
  <si>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</si>
  <si>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</si>
  <si>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</si>
  <si>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</si>
  <si>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</si>
  <si>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</si>
  <si>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</si>
  <si>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</si>
  <si>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</si>
  <si>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</si>
  <si>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</si>
  <si>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</si>
  <si>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</si>
  <si>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</si>
  <si>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</si>
  <si>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</si>
  <si>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</si>
  <si>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</si>
  <si>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</si>
  <si>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</si>
  <si>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</si>
  <si>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</si>
  <si>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</si>
  <si>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</si>
  <si>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</si>
  <si>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</si>
  <si>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</si>
  <si>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</si>
  <si>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</si>
  <si>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</si>
  <si>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</si>
  <si>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</si>
  <si>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</si>
  <si>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</si>
  <si>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</si>
  <si>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</si>
  <si>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</si>
  <si>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</si>
  <si>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</si>
  <si>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</si>
  <si>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</si>
  <si>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</si>
  <si>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</si>
  <si>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</si>
  <si>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</si>
  <si>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</si>
  <si>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</si>
  <si>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</si>
  <si>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</si>
  <si>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</si>
  <si>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</si>
  <si>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</si>
  <si>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</si>
  <si>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</si>
  <si>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</si>
  <si>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</si>
  <si>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</si>
  <si>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</si>
  <si>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</si>
  <si>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</si>
  <si>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</si>
  <si>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</si>
  <si>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</si>
  <si>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</si>
  <si>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</si>
  <si>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</si>
  <si>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</si>
  <si>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</si>
  <si>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</si>
  <si>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</si>
  <si>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</si>
  <si>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</si>
  <si>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</si>
  <si>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</si>
  <si>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</si>
  <si>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</si>
  <si>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</si>
  <si>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</si>
  <si>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</si>
  <si>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</si>
  <si>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</si>
  <si>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</si>
  <si>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</si>
  <si>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</si>
  <si>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</si>
  <si>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</si>
  <si>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</si>
  <si>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</si>
  <si>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</si>
  <si>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</si>
  <si>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</si>
  <si>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</si>
  <si>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</si>
  <si>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</si>
  <si>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</si>
  <si>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</si>
  <si>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</si>
  <si>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</si>
  <si>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</si>
  <si>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</si>
  <si>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</si>
  <si>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</si>
  <si>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</si>
  <si>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</si>
  <si>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</si>
  <si>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</si>
  <si>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</si>
  <si>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</si>
  <si>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</si>
  <si>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</si>
  <si>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</si>
  <si>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</si>
  <si>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</si>
  <si>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</si>
  <si>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</si>
  <si>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</si>
  <si>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</si>
  <si>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</si>
  <si>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</si>
  <si>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</si>
  <si>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</si>
  <si>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</si>
  <si>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</si>
  <si>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</si>
  <si>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</si>
  <si>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</si>
  <si>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</si>
  <si>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</si>
  <si>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</si>
  <si>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</si>
  <si>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</si>
  <si>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</si>
  <si>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</si>
  <si>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</si>
  <si>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</si>
  <si>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</si>
  <si>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</si>
  <si>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</si>
  <si>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</si>
  <si>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</si>
  <si>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</si>
  <si>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</si>
  <si>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</si>
  <si>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</si>
  <si>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</si>
  <si>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</si>
  <si>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</si>
  <si>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</si>
  <si>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</si>
  <si>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</si>
  <si>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</si>
  <si>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</si>
  <si>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</si>
  <si>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</si>
  <si>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</si>
  <si>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</si>
  <si>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</si>
  <si>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</si>
  <si>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</si>
  <si>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</si>
  <si>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</si>
  <si>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</si>
  <si>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</si>
  <si>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</si>
  <si>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</si>
  <si>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</si>
  <si>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</si>
  <si>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</si>
  <si>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</si>
  <si>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</si>
  <si>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</si>
  <si>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</si>
  <si>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</si>
  <si>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</si>
  <si>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</si>
  <si>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</si>
  <si>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</si>
  <si>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</si>
  <si>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</si>
  <si>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</si>
  <si>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</si>
  <si>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</si>
  <si>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</si>
  <si>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</si>
  <si>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</si>
  <si>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</si>
  <si>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</si>
  <si>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</si>
  <si>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</si>
  <si>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</si>
  <si>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</si>
  <si>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</si>
  <si>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</si>
  <si>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</si>
  <si>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</si>
  <si>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</si>
  <si>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</si>
  <si>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</si>
  <si>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</si>
  <si>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</si>
  <si>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</si>
  <si>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</si>
  <si>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</si>
  <si>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</si>
  <si>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</si>
  <si>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</si>
  <si>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</si>
  <si>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</si>
  <si>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</si>
  <si>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</si>
  <si>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</si>
  <si>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</si>
  <si>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</si>
  <si>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</si>
  <si>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</si>
  <si>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</si>
  <si>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</si>
  <si>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</si>
  <si>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</si>
  <si>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</si>
  <si>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</si>
  <si>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</si>
  <si>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</si>
  <si>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</si>
  <si>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</si>
  <si>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</si>
  <si>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</si>
  <si>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</si>
  <si>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</si>
  <si>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</si>
  <si>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</si>
  <si>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</si>
  <si>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</si>
  <si>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</si>
  <si>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</si>
  <si>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</si>
  <si>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</si>
  <si>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</si>
  <si>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</si>
  <si>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</si>
  <si>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</si>
  <si>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</si>
  <si>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</si>
  <si>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</si>
  <si>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</si>
  <si>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</si>
  <si>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</si>
  <si>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</si>
  <si>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</si>
  <si>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</si>
  <si>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</si>
  <si>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</si>
  <si>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</si>
  <si>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</si>
  <si>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v1.8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</si>
</sst>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/>
    <row r="2" spans="1:16" s="22" customFormat="1" ht="9.9499999999999993" customHeight="1"/>
    <row r="3" spans="1:16" s="1" customFormat="1" ht="39.950000000000003" customHeight="1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/>
    <row r="7" spans="1:16" ht="8.1" customHeight="1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" customHeight="1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" customHeight="1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/>
    <row r="68" spans="2:15" ht="39.950000000000003" hidden="1" customHeight="1"/>
    <row r="69" spans="2:15" ht="39.950000000000003" hidden="1" customHeight="1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/>
    <row r="2" spans="2:13" s="22" customFormat="1" ht="9.9499999999999993" customHeight="1"/>
    <row r="3" spans="2:13" s="22" customFormat="1" ht="39.950000000000003" customHeight="1">
      <c r="B3" s="23"/>
      <c r="C3" s="41" t="s">
        <v>81</v>
      </c>
    </row>
    <row r="4" spans="2:13" s="22" customFormat="1" ht="8.1" customHeight="1">
      <c r="B4" s="23"/>
      <c r="C4" s="24"/>
    </row>
    <row r="5" spans="2:13" s="22" customFormat="1" ht="39.950000000000003" customHeight="1">
      <c r="B5" s="23"/>
      <c r="C5" s="42" t="s">
        <v>249</v>
      </c>
    </row>
    <row r="6" spans="2:13" ht="16.5" customHeight="1">
      <c r="G6" s="25"/>
      <c r="H6" s="25"/>
      <c r="I6" s="25"/>
      <c r="J6" s="25"/>
      <c r="K6" s="25"/>
    </row>
    <row r="7" spans="2:13" ht="39.950000000000003" customHeight="1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/>
    <row r="9" spans="2:13" ht="39.950000000000003" customHeight="1">
      <c r="B9" s="26" t="s">
        <v>14</v>
      </c>
      <c r="C9" s="27" t="s">
        <v>216</v>
      </c>
      <c r="D9" s="27"/>
      <c r="E9" s="27"/>
      <c r="F9" s="27"/>
      <c r="G9" s="111" t="s">
        <v>273</v>
      </c>
      <c r="H9" s="159" t="s">
        <v>222</v>
      </c>
      <c r="I9" s="159"/>
      <c r="J9" s="159"/>
      <c r="K9" s="160" t="s">
        <v>239</v>
      </c>
      <c r="L9" s="160"/>
      <c r="M9" s="160"/>
    </row>
    <row r="10" spans="2:13" ht="39.950000000000003" customHeight="1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39.950000000000003" customHeight="1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>
      <c r="G51" s="60"/>
    </row>
    <row r="52" spans="2:13" ht="39.950000000000003" customHeight="1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39.950000000000003" customHeight="1">
      <c r="B58" s="26"/>
      <c r="C58" s="73" t="s">
        <v>311</v>
      </c>
      <c r="D58" s="65" t="s">
        <v>127</v>
      </c>
      <c r="E58" s="153" t="s">
        <v>263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>
      <c r="B60" s="26" t="s">
        <v>25</v>
      </c>
      <c r="C60" s="27" t="s">
        <v>224</v>
      </c>
      <c r="D60" s="125" t="s">
        <v>225</v>
      </c>
      <c r="E60" s="125" t="s">
        <v>226</v>
      </c>
      <c r="F60" s="125" t="s">
        <v>227</v>
      </c>
      <c r="G60" s="125" t="s">
        <v>259</v>
      </c>
      <c r="H60" s="125" t="s">
        <v>260</v>
      </c>
      <c r="I60" s="125" t="s">
        <v>261</v>
      </c>
      <c r="J60" s="125" t="s">
        <v>262</v>
      </c>
      <c r="K60" s="125"/>
      <c r="L60" s="125"/>
      <c r="M60" s="125"/>
    </row>
    <row r="61" spans="2:13" ht="39.950000000000003" customHeight="1">
      <c r="B61" s="26"/>
      <c r="C61" s="73" t="s">
        <v>313</v>
      </c>
      <c r="D61" s="65" t="s">
        <v>126</v>
      </c>
      <c r="E61" s="153" t="s">
        <v>268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/>
    <row r="63" spans="2:13" ht="39.950000000000003" customHeight="1">
      <c r="B63" s="142" t="s">
        <v>217</v>
      </c>
      <c r="C63" s="27" t="s">
        <v>5</v>
      </c>
      <c r="D63" s="150" t="s">
        <v>8</v>
      </c>
      <c r="E63" s="150" t="s">
        <v>9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>
      <c r="B65" s="142" t="s">
        <v>258</v>
      </c>
      <c r="C65" s="27" t="s">
        <v>312</v>
      </c>
      <c r="D65" s="150" t="s">
        <v>232</v>
      </c>
      <c r="E65" s="150" t="s">
        <v>218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>
      <c r="B67" s="142" t="s">
        <v>266</v>
      </c>
      <c r="C67" s="27" t="s">
        <v>1</v>
      </c>
      <c r="D67" s="150" t="s">
        <v>10</v>
      </c>
      <c r="E67" s="150" t="s">
        <v>11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>
      <c r="B69" s="142" t="s">
        <v>273</v>
      </c>
      <c r="C69" s="156" t="s">
        <v>122</v>
      </c>
      <c r="D69" s="157" t="str">
        <f>_xlfn.CONCAT("共有 ", COUNT(UserInfo[序号]), " 人", "，男占 ", COUNTIF(UserInfo[性别],"男")," 人", "，女占 ", COUNTIF(UserInfo[性别],"女")," 人")</f>
        <v>共有 2 人，男占 1 人，女占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>
      <c r="B70" s="142"/>
      <c r="C70" s="156" t="s">
        <v>315</v>
      </c>
      <c r="D70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>
      <c r="B71" s="142"/>
      <c r="C71" s="156" t="s">
        <v>135</v>
      </c>
      <c r="D71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>
      <c r="B72" s="142"/>
      <c r="C72" s="156" t="s">
        <v>26</v>
      </c>
      <c r="D72" s="157" t="str">
        <f>_xlfn.CONCAT("共有 ", COUNTA(Get_Staff_Member)," 位员工")</f>
        <v>共有 2 位员工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>
      <c r="B73" s="142"/>
      <c r="C73" s="156" t="s">
        <v>224</v>
      </c>
      <c r="D73" s="157" t="str">
        <f>_xlfn.CONCAT("已设置 ", COUNTA(Get_Work_Unit)," 个单位")</f>
        <v>已设置 7 个单位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/>
    <row r="75" spans="2:13" ht="39.950000000000003" customHeight="1">
      <c r="B75" s="44" t="s">
        <v>17</v>
      </c>
      <c r="C75" s="44"/>
      <c r="D75" s="44"/>
      <c r="E75" s="44"/>
    </row>
    <row r="76" spans="2:13" ht="39.950000000000003" customHeight="1">
      <c r="B76" s="31" t="s">
        <v>19</v>
      </c>
      <c r="C76" s="36" t="s">
        <v>130</v>
      </c>
      <c r="D76" s="45"/>
      <c r="E76" s="45"/>
    </row>
    <row r="77" spans="2:13" ht="39.950000000000003" customHeight="1">
      <c r="B77" s="31" t="s">
        <v>20</v>
      </c>
      <c r="C77" s="40" t="s">
        <v>18</v>
      </c>
      <c r="D77" s="43"/>
      <c r="E77" s="43"/>
    </row>
    <row r="78" spans="2:13" ht="39.950000000000003" customHeight="1">
      <c r="B78" s="31" t="s">
        <v>128</v>
      </c>
      <c r="C78" s="36" t="s">
        <v>129</v>
      </c>
      <c r="D78" s="45"/>
      <c r="E78" s="45"/>
    </row>
    <row r="79" spans="2:13" ht="39.950000000000003" customHeight="1">
      <c r="B79" s="31" t="s">
        <v>123</v>
      </c>
      <c r="C79" s="36" t="s">
        <v>316</v>
      </c>
      <c r="D79" s="36"/>
      <c r="E79" s="36"/>
    </row>
    <row r="80" spans="2:13" ht="14.1" customHeight="1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>
      <c r="F1" s="155"/>
    </row>
    <row r="2" spans="1:8" ht="54.95" customHeight="1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/>
    <row r="4" spans="1:8" ht="14.1" customHeight="1">
      <c r="B4" s="1"/>
      <c r="C4" s="1"/>
      <c r="D4" s="1"/>
      <c r="E4" s="1"/>
      <c r="F4" s="81"/>
      <c r="G4" s="1"/>
    </row>
    <row r="5" spans="1:8" ht="35.1" customHeight="1">
      <c r="B5" s="1"/>
      <c r="C5" s="9" t="s">
        <v>86</v>
      </c>
      <c r="D5" s="8"/>
      <c r="E5" s="10"/>
      <c r="F5" s="82"/>
      <c r="G5" s="1"/>
    </row>
    <row r="6" spans="1:8" ht="14.1" customHeight="1">
      <c r="B6" s="1"/>
      <c r="C6" s="1"/>
      <c r="D6" s="1"/>
      <c r="E6" s="1"/>
      <c r="F6" s="81"/>
      <c r="G6" s="1"/>
    </row>
    <row r="7" spans="1:8" ht="35.1" customHeight="1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" customHeight="1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>
      <c r="B10" s="1"/>
      <c r="C10" s="1"/>
      <c r="D10" s="1"/>
      <c r="E10" s="1"/>
      <c r="F10" s="77"/>
      <c r="G10" s="60"/>
    </row>
    <row r="11" spans="1:8" ht="35.1" customHeight="1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" customHeight="1">
      <c r="B12" s="1"/>
      <c r="C12" s="1"/>
      <c r="D12" s="11" t="s">
        <v>219</v>
      </c>
      <c r="E12" s="64"/>
      <c r="F12" s="115">
        <v>-1</v>
      </c>
      <c r="G12" s="60"/>
    </row>
    <row r="13" spans="1:8" ht="35.1" customHeight="1">
      <c r="B13" s="1"/>
      <c r="C13" s="1"/>
      <c r="D13" s="11" t="s">
        <v>224</v>
      </c>
      <c r="E13" s="34"/>
      <c r="F13" s="114">
        <v>-1</v>
      </c>
      <c r="G13" s="60"/>
    </row>
    <row r="14" spans="1:8" ht="15" customHeight="1">
      <c r="B14" s="1"/>
      <c r="C14" s="1"/>
      <c r="D14" s="1"/>
      <c r="E14" s="1"/>
      <c r="F14" s="77"/>
      <c r="G14" s="60"/>
    </row>
    <row r="15" spans="1:8" ht="35.1" customHeight="1">
      <c r="B15" s="1"/>
      <c r="C15" s="1"/>
      <c r="D15" s="11" t="s">
        <v>7</v>
      </c>
      <c r="E15" s="14"/>
      <c r="F15" s="78"/>
      <c r="G15" s="60"/>
    </row>
    <row r="16" spans="1:8" ht="15" customHeight="1">
      <c r="B16" s="1"/>
      <c r="C16" s="1"/>
      <c r="D16" s="1"/>
      <c r="E16" s="1"/>
      <c r="F16" s="77"/>
      <c r="G16" s="60"/>
    </row>
    <row r="17" spans="2:12" ht="35.1" customHeight="1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" customHeight="1">
      <c r="B18" s="1"/>
      <c r="C18" s="1"/>
      <c r="D18" s="1"/>
      <c r="E18" s="1"/>
      <c r="F18" s="81"/>
      <c r="G18" s="1"/>
    </row>
    <row r="19" spans="2:12" ht="14.1" customHeight="1"/>
    <row r="20" spans="2:12" ht="39.950000000000003" hidden="1" customHeight="1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/>
    <row r="2" spans="2:9" s="2" customFormat="1" ht="54.95" customHeight="1">
      <c r="B2" s="4" t="str">
        <f>设置!D7 &amp;" - 入库取货"</f>
        <v>Yi - 入库取货</v>
      </c>
    </row>
    <row r="3" spans="2:9" ht="8.1" customHeight="1">
      <c r="C3" s="1"/>
      <c r="D3" s="1"/>
      <c r="E3" s="1"/>
      <c r="F3" s="1"/>
      <c r="G3" s="1"/>
      <c r="H3" s="1"/>
      <c r="I3" s="1"/>
    </row>
    <row r="4" spans="2:9" ht="6" customHeight="1">
      <c r="B4" s="5"/>
      <c r="C4" s="3"/>
      <c r="D4" s="3"/>
      <c r="E4" s="3"/>
      <c r="F4" s="3"/>
      <c r="G4" s="3"/>
      <c r="H4" s="3"/>
      <c r="I4" s="3"/>
    </row>
    <row r="5" spans="2:9" ht="8.1" customHeight="1">
      <c r="C5" s="1"/>
      <c r="D5" s="1"/>
      <c r="E5" s="1"/>
      <c r="F5" s="1"/>
      <c r="G5" s="1"/>
      <c r="H5" s="1"/>
      <c r="I5" s="1"/>
    </row>
    <row r="6" spans="2:9" ht="39.950000000000003" customHeight="1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39.950000000000003" customHeight="1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>
      <c r="A1" s="57"/>
      <c r="B1" s="57"/>
      <c r="C1" s="57"/>
      <c r="D1" s="57"/>
      <c r="E1" s="57"/>
      <c r="F1" s="75"/>
      <c r="G1" s="75"/>
      <c r="H1" s="75"/>
    </row>
    <row r="2" spans="1:8" ht="54.95" customHeight="1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/>
    <row r="4" spans="1:8" ht="14.1" customHeight="1">
      <c r="B4" s="60"/>
      <c r="C4" s="60"/>
      <c r="D4" s="60"/>
      <c r="E4" s="60"/>
      <c r="F4" s="60"/>
      <c r="G4" s="60"/>
    </row>
    <row r="5" spans="1:8" ht="35.1" customHeight="1">
      <c r="B5" s="60"/>
      <c r="C5" s="61" t="s">
        <v>86</v>
      </c>
      <c r="D5" s="8"/>
      <c r="E5" s="62"/>
      <c r="F5" s="83"/>
      <c r="G5" s="77"/>
    </row>
    <row r="6" spans="1:8" ht="14.1" customHeight="1">
      <c r="B6" s="60"/>
      <c r="C6" s="60"/>
      <c r="D6" s="60"/>
      <c r="E6" s="60"/>
      <c r="F6" s="77"/>
      <c r="G6" s="77"/>
    </row>
    <row r="7" spans="1:8" ht="35.1" customHeight="1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>
      <c r="B10" s="60"/>
      <c r="C10" s="60"/>
      <c r="D10" s="63" t="s">
        <v>1</v>
      </c>
      <c r="E10" s="7"/>
      <c r="F10" s="115"/>
      <c r="G10" s="77"/>
    </row>
    <row r="11" spans="1:8" ht="35.1" customHeight="1">
      <c r="B11" s="60"/>
      <c r="C11" s="60"/>
      <c r="D11" s="63" t="s">
        <v>22</v>
      </c>
      <c r="E11" s="124"/>
      <c r="F11" s="115"/>
      <c r="G11" s="77"/>
    </row>
    <row r="12" spans="1:8" ht="35.1" customHeight="1">
      <c r="B12" s="60"/>
      <c r="C12" s="60"/>
      <c r="D12" s="63" t="s">
        <v>21</v>
      </c>
      <c r="E12" s="149"/>
      <c r="F12" s="115"/>
      <c r="G12" s="77"/>
    </row>
    <row r="13" spans="1:8" ht="15" customHeight="1">
      <c r="B13" s="60"/>
      <c r="C13" s="60"/>
      <c r="D13" s="60"/>
      <c r="E13" s="60"/>
      <c r="F13" s="77"/>
      <c r="G13" s="77"/>
    </row>
    <row r="14" spans="1:8" ht="35.1" customHeight="1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>
      <c r="B15" s="60"/>
      <c r="C15" s="60"/>
      <c r="D15" s="63" t="s">
        <v>23</v>
      </c>
      <c r="E15" s="7"/>
      <c r="F15" s="115"/>
      <c r="G15" s="77"/>
    </row>
    <row r="16" spans="1:8" ht="35.1" customHeight="1">
      <c r="B16" s="60"/>
      <c r="C16" s="60"/>
      <c r="D16" s="63" t="s">
        <v>24</v>
      </c>
      <c r="E16" s="14"/>
      <c r="F16" s="114"/>
      <c r="G16" s="77"/>
    </row>
    <row r="17" spans="2:7" ht="15" customHeight="1">
      <c r="B17" s="60"/>
      <c r="C17" s="60"/>
      <c r="D17" s="60"/>
      <c r="E17" s="60"/>
      <c r="F17" s="77"/>
      <c r="G17" s="77"/>
    </row>
    <row r="18" spans="2:7" ht="35.1" customHeight="1">
      <c r="B18" s="60"/>
      <c r="C18" s="60"/>
      <c r="D18" s="63" t="s">
        <v>7</v>
      </c>
      <c r="E18" s="14"/>
      <c r="F18" s="78"/>
      <c r="G18" s="77"/>
    </row>
    <row r="19" spans="2:7" ht="15" customHeight="1">
      <c r="B19" s="60"/>
      <c r="C19" s="60"/>
      <c r="D19" s="60"/>
      <c r="E19" s="60"/>
      <c r="F19" s="77"/>
      <c r="G19" s="77"/>
    </row>
    <row r="20" spans="2:7" ht="35.1" customHeight="1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" customHeight="1">
      <c r="B21" s="60"/>
      <c r="C21" s="60"/>
      <c r="D21" s="60"/>
      <c r="E21" s="60"/>
      <c r="F21" s="77"/>
      <c r="G21" s="77"/>
    </row>
    <row r="22" spans="2:7" ht="14.1" customHeight="1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8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>
      <c r="C6" s="143"/>
      <c r="D6" s="93">
        <f>设置!F11</f>
        <v>1</v>
      </c>
      <c r="E6" s="161" t="str">
        <f>设置!F11 &amp;" - 历史记录"</f>
        <v>1 - 历史记录</v>
      </c>
      <c r="F6" s="161"/>
      <c r="G6" s="94">
        <f>设置!F12</f>
        <v>2</v>
      </c>
      <c r="H6" s="162" t="str">
        <f>设置!F12 &amp;" - 历史记录"</f>
        <v>2 - 历史记录</v>
      </c>
      <c r="I6" s="162"/>
      <c r="J6" s="93">
        <f>设置!F13</f>
        <v>3</v>
      </c>
      <c r="K6" s="161" t="str">
        <f>设置!F13 &amp;" - 历史记录"</f>
        <v>3 - 历史记录</v>
      </c>
      <c r="L6" s="161"/>
      <c r="M6" s="94">
        <f>设置!F14</f>
        <v>4</v>
      </c>
      <c r="N6" s="162" t="str">
        <f>设置!F14 &amp;" - 历史记录"</f>
        <v>4 - 历史记录</v>
      </c>
      <c r="O6" s="162"/>
      <c r="P6" s="93">
        <f>设置!F15</f>
        <v>5</v>
      </c>
      <c r="Q6" s="161" t="str">
        <f>设置!F15 &amp;" - 历史记录"</f>
        <v>5 - 历史记录</v>
      </c>
      <c r="R6" s="161"/>
      <c r="S6" s="94">
        <f>设置!F16</f>
        <v>6</v>
      </c>
      <c r="T6" s="162" t="str">
        <f>设置!F16 &amp;" - 历史记录"</f>
        <v>6 - 历史记录</v>
      </c>
      <c r="U6" s="162"/>
      <c r="V6" s="93">
        <f>设置!F17</f>
        <v>7</v>
      </c>
      <c r="W6" s="161" t="str">
        <f>设置!F17 &amp;" - 历史记录"</f>
        <v>7 - 历史记录</v>
      </c>
      <c r="X6" s="161"/>
      <c r="Y6" s="94">
        <f>设置!F18</f>
        <v>8</v>
      </c>
      <c r="Z6" s="162" t="str">
        <f>设置!F18 &amp;" - 历史记录"</f>
        <v>8 - 历史记录</v>
      </c>
      <c r="AA6" s="162"/>
      <c r="AB6" s="93">
        <f>设置!F19</f>
        <v>9</v>
      </c>
      <c r="AC6" s="161" t="str">
        <f>设置!F19 &amp;" - 历史记录"</f>
        <v>9 - 历史记录</v>
      </c>
      <c r="AD6" s="161"/>
      <c r="AE6" s="94">
        <f>设置!F20</f>
        <v>10</v>
      </c>
      <c r="AF6" s="162" t="str">
        <f>设置!F20 &amp;" - 历史记录"</f>
        <v>10 - 历史记录</v>
      </c>
      <c r="AG6" s="162"/>
      <c r="AH6" s="93">
        <f>设置!F21</f>
        <v>11</v>
      </c>
      <c r="AI6" s="161" t="str">
        <f>设置!F21 &amp;" - 历史记录"</f>
        <v>11 - 历史记录</v>
      </c>
      <c r="AJ6" s="161"/>
      <c r="AK6" s="94">
        <f>设置!F22</f>
        <v>12</v>
      </c>
      <c r="AL6" s="162" t="str">
        <f>设置!F22 &amp;" - 历史记录"</f>
        <v>12 - 历史记录</v>
      </c>
      <c r="AM6" s="162"/>
      <c r="AN6" s="93">
        <f>设置!F23</f>
        <v>13</v>
      </c>
      <c r="AO6" s="161" t="str">
        <f>设置!F23 &amp;" - 历史记录"</f>
        <v>13 - 历史记录</v>
      </c>
      <c r="AP6" s="161"/>
      <c r="AQ6" s="94">
        <f>设置!F24</f>
        <v>14</v>
      </c>
      <c r="AR6" s="162" t="str">
        <f>设置!F24 &amp;" - 历史记录"</f>
        <v>14 - 历史记录</v>
      </c>
      <c r="AS6" s="162"/>
      <c r="AT6" s="93">
        <f>设置!F25</f>
        <v>15</v>
      </c>
      <c r="AU6" s="161" t="str">
        <f>设置!F25 &amp;" - 历史记录"</f>
        <v>15 - 历史记录</v>
      </c>
      <c r="AV6" s="161"/>
      <c r="AW6" s="94">
        <f>设置!F26</f>
        <v>16</v>
      </c>
      <c r="AX6" s="162" t="str">
        <f>设置!F26 &amp;" - 历史记录"</f>
        <v>16 - 历史记录</v>
      </c>
      <c r="AY6" s="162"/>
      <c r="AZ6" s="93">
        <f>设置!F27</f>
        <v>17</v>
      </c>
      <c r="BA6" s="161" t="str">
        <f>设置!F27 &amp;" - 历史记录"</f>
        <v>17 - 历史记录</v>
      </c>
      <c r="BB6" s="161"/>
      <c r="BC6" s="94">
        <f>设置!F28</f>
        <v>18</v>
      </c>
      <c r="BD6" s="162" t="str">
        <f>设置!F28 &amp;" - 历史记录"</f>
        <v>18 - 历史记录</v>
      </c>
      <c r="BE6" s="162"/>
      <c r="BF6" s="93">
        <f>设置!F29</f>
        <v>19</v>
      </c>
      <c r="BG6" s="161" t="str">
        <f>设置!F29 &amp;" - 历史记录"</f>
        <v>19 - 历史记录</v>
      </c>
      <c r="BH6" s="161"/>
      <c r="BI6" s="94">
        <f>设置!F30</f>
        <v>20</v>
      </c>
      <c r="BJ6" s="162" t="str">
        <f>设置!F30 &amp;" - 历史记录"</f>
        <v>20 - 历史记录</v>
      </c>
      <c r="BK6" s="162"/>
      <c r="BL6" s="95">
        <f>设置!F31</f>
        <v>21</v>
      </c>
      <c r="BM6" s="163" t="str">
        <f>设置!F31 &amp;" - 历史记录"</f>
        <v>21 - 历史记录</v>
      </c>
      <c r="BN6" s="163"/>
      <c r="BO6" s="94">
        <f>设置!F32</f>
        <v>22</v>
      </c>
      <c r="BP6" s="162" t="str">
        <f>设置!F32 &amp;" - 历史记录"</f>
        <v>22 - 历史记录</v>
      </c>
      <c r="BQ6" s="162"/>
      <c r="BR6" s="95">
        <f>设置!F33</f>
        <v>23</v>
      </c>
      <c r="BS6" s="163" t="str">
        <f>设置!F33 &amp;" - 历史记录"</f>
        <v>23 - 历史记录</v>
      </c>
      <c r="BT6" s="163"/>
      <c r="BU6" s="94">
        <f>设置!F34</f>
        <v>24</v>
      </c>
      <c r="BV6" s="162" t="str">
        <f>设置!F34 &amp;" - 历史记录"</f>
        <v>24 - 历史记录</v>
      </c>
      <c r="BW6" s="162"/>
      <c r="BX6" s="95">
        <f>设置!F35</f>
        <v>25</v>
      </c>
      <c r="BY6" s="163" t="str">
        <f>设置!F35 &amp;" - 历史记录"</f>
        <v>25 - 历史记录</v>
      </c>
      <c r="BZ6" s="163"/>
      <c r="CA6" s="94">
        <f>设置!F36</f>
        <v>26</v>
      </c>
      <c r="CB6" s="162" t="str">
        <f>设置!F36 &amp;" - 历史记录"</f>
        <v>26 - 历史记录</v>
      </c>
      <c r="CC6" s="162"/>
      <c r="CD6" s="95">
        <f>设置!F37</f>
        <v>27</v>
      </c>
      <c r="CE6" s="163" t="str">
        <f>设置!F37 &amp;" - 历史记录"</f>
        <v>27 - 历史记录</v>
      </c>
      <c r="CF6" s="163"/>
      <c r="CG6" s="94">
        <f>设置!F38</f>
        <v>28</v>
      </c>
      <c r="CH6" s="162" t="str">
        <f>设置!F38 &amp;" - 历史记录"</f>
        <v>28 - 历史记录</v>
      </c>
      <c r="CI6" s="162"/>
      <c r="CJ6" s="95">
        <f>设置!F39</f>
        <v>29</v>
      </c>
      <c r="CK6" s="163" t="str">
        <f>设置!F39 &amp;" - 历史记录"</f>
        <v>29 - 历史记录</v>
      </c>
      <c r="CL6" s="163"/>
      <c r="CM6" s="94">
        <f>设置!F40</f>
        <v>30</v>
      </c>
      <c r="CN6" s="162" t="str">
        <f>设置!F40 &amp;" - 历史记录"</f>
        <v>30 - 历史记录</v>
      </c>
      <c r="CO6" s="162"/>
      <c r="CP6" s="95">
        <f>设置!F41</f>
        <v>31</v>
      </c>
      <c r="CQ6" s="163" t="str">
        <f>设置!F41 &amp;" - 历史记录"</f>
        <v>31 - 历史记录</v>
      </c>
      <c r="CR6" s="163"/>
      <c r="CS6" s="94">
        <f>设置!F42</f>
        <v>32</v>
      </c>
      <c r="CT6" s="162" t="str">
        <f>设置!F42 &amp;" - 历史记录"</f>
        <v>32 - 历史记录</v>
      </c>
      <c r="CU6" s="162"/>
      <c r="CV6" s="95">
        <f>设置!F43</f>
        <v>33</v>
      </c>
      <c r="CW6" s="163" t="str">
        <f>设置!F43 &amp;" - 历史记录"</f>
        <v>33 - 历史记录</v>
      </c>
      <c r="CX6" s="163"/>
      <c r="CY6" s="94">
        <f>设置!F44</f>
        <v>34</v>
      </c>
      <c r="CZ6" s="162" t="str">
        <f>设置!F44 &amp;" - 历史记录"</f>
        <v>34 - 历史记录</v>
      </c>
      <c r="DA6" s="162"/>
      <c r="DB6" s="95">
        <f>设置!F45</f>
        <v>35</v>
      </c>
      <c r="DC6" s="163" t="str">
        <f>设置!F45 &amp;" - 历史记录"</f>
        <v>35 - 历史记录</v>
      </c>
      <c r="DD6" s="163"/>
      <c r="DE6" s="94">
        <f>设置!F46</f>
        <v>36</v>
      </c>
      <c r="DF6" s="162" t="str">
        <f>设置!F46 &amp;" - 历史记录"</f>
        <v>36 - 历史记录</v>
      </c>
      <c r="DG6" s="162"/>
      <c r="DH6" s="95">
        <f>设置!F47</f>
        <v>37</v>
      </c>
      <c r="DI6" s="163" t="str">
        <f>设置!F47 &amp;" - 历史记录"</f>
        <v>37 - 历史记录</v>
      </c>
      <c r="DJ6" s="163"/>
      <c r="DK6" s="94">
        <f>设置!F48</f>
        <v>38</v>
      </c>
      <c r="DL6" s="162" t="str">
        <f>设置!F48 &amp;" - 历史记录"</f>
        <v>38 - 历史记录</v>
      </c>
      <c r="DM6" s="162"/>
      <c r="DN6" s="95">
        <f>设置!F49</f>
        <v>39</v>
      </c>
      <c r="DO6" s="163" t="str">
        <f>设置!F49 &amp;" - 历史记录"</f>
        <v>39 - 历史记录</v>
      </c>
      <c r="DP6" s="163"/>
      <c r="DQ6" s="94">
        <f>设置!F50</f>
        <v>40</v>
      </c>
      <c r="DR6" s="162" t="str">
        <f>设置!F50 &amp;" - 历史记录"</f>
        <v>40 - 历史记录</v>
      </c>
      <c r="DS6" s="162"/>
      <c r="DT6" s="161" t="s">
        <v>72</v>
      </c>
      <c r="DU6" s="161"/>
      <c r="DV6" s="161"/>
      <c r="DW6" s="161"/>
      <c r="DX6" s="161"/>
      <c r="DY6" s="161" t="s">
        <v>87</v>
      </c>
      <c r="DZ6" s="161"/>
      <c r="EA6" s="161"/>
      <c r="EB6" s="161" t="s">
        <v>270</v>
      </c>
      <c r="EC6" s="161"/>
      <c r="ED6" s="108"/>
      <c r="EE6" s="96"/>
    </row>
    <row r="7" spans="1:135" ht="8.1" customHeight="1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39.950000000000003" customHeight="1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8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/>
    <row r="2" spans="2:47" s="59" customFormat="1" ht="54.95" customHeight="1">
      <c r="B2" s="58" t="str">
        <f>设置!D7 &amp;" - 历史记录"</f>
        <v>Yi - 历史记录</v>
      </c>
      <c r="D2" s="104"/>
    </row>
    <row r="3" spans="2:47" ht="8.1" customHeight="1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1" t="s">
        <v>82</v>
      </c>
      <c r="AS6" s="161"/>
      <c r="AT6" s="161"/>
      <c r="AU6" s="161"/>
    </row>
    <row r="7" spans="2:47" ht="8.1" customHeight="1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39.950000000000003" customHeight="1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2023-12-24T21:59:56Z</dcterms:modified>
</cp:coreProperties>
</file>