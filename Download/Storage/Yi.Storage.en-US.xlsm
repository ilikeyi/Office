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CC49130-2D6F-4E6E-BC9B-2948C21E8AC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Setting!$D$76:$E$76</definedName>
    <definedName name="Get_GUID">UserInfo[Unique identifier]</definedName>
    <definedName name="Get_Keep_inventory">Setting!$D$74:$E$74</definedName>
    <definedName name="Get_Staff_Member">Setting!$D$53:$O$53</definedName>
    <definedName name="Get_Store_Uid">Store_Setting[Unique
identifier]</definedName>
    <definedName name="Get_Type_of_Access">Setting!$D$72:$E$72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9" i="1"/>
  <c r="B2" i="5"/>
  <c r="B2" i="6"/>
  <c r="B2" i="8"/>
  <c r="B2" i="9"/>
  <c r="B2" i="4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K30" i="1"/>
  <c r="K13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8" i="1" l="1"/>
  <c r="K27" i="1"/>
  <c r="K12" i="1"/>
  <c r="G12" i="1" s="1"/>
  <c r="K47" i="1"/>
  <c r="G47" i="1" s="1"/>
  <c r="K28" i="1"/>
  <c r="K40" i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<sst xmlns="http://schemas.openxmlformats.org/spreadsheetml/2006/main" count="664" uniqueCount="459">
  <si>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</si>
  <si>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</si>
  <si>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</si>
  <si>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</si>
  <si>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</si>
  <si>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</si>
  <si>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</si>
  <si>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</si>
  <si>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</si>
  <si>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</si>
  <si>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</si>
  <si>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</si>
  <si>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</si>
  <si>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</si>
  <si>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</si>
  <si>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</si>
  <si>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</si>
  <si>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</si>
  <si>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</si>
  <si>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</si>
  <si>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</si>
  <si>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</si>
  <si>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</si>
  <si>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</si>
  <si>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</si>
  <si>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</si>
  <si>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</si>
  <si>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</si>
  <si>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</si>
  <si>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</si>
  <si>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</si>
  <si>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</si>
  <si>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</si>
  <si>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</si>
  <si>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</si>
  <si>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</si>
  <si>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</si>
  <si>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</si>
  <si>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</si>
  <si>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</si>
  <si>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</si>
  <si>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</si>
  <si>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</si>
  <si>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</si>
  <si>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</si>
  <si>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</si>
  <si>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</si>
  <si>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</si>
  <si>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</si>
  <si>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</si>
  <si>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</si>
  <si>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</si>
  <si>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</si>
  <si>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</si>
  <si>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</si>
  <si>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</si>
  <si>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</si>
  <si>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</si>
  <si>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</si>
  <si>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</si>
  <si>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</si>
  <si>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</si>
  <si>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</si>
  <si>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</si>
  <si>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</si>
  <si>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</si>
  <si>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</si>
  <si>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</si>
  <si>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</si>
  <si>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</si>
  <si>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</si>
  <si>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</si>
  <si>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</si>
  <si>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</si>
  <si>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</si>
  <si>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</si>
  <si>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</si>
  <si>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</si>
  <si>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</si>
  <si>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</si>
  <si>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</si>
  <si>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</si>
  <si>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</si>
  <si>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</si>
  <si>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</si>
  <si>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</si>
  <si>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</si>
  <si>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</si>
  <si>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</si>
  <si>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</si>
  <si>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</si>
  <si>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</si>
  <si>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</si>
  <si>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</si>
  <si>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</si>
  <si>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</si>
  <si>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</si>
  <si>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</si>
  <si>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</si>
  <si>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</si>
  <si>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</si>
  <si>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</si>
  <si>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</si>
  <si>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</si>
  <si>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</si>
  <si>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</si>
  <si>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</si>
  <si>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</si>
  <si>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</si>
  <si>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</si>
  <si>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</si>
  <si>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</si>
  <si>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</si>
  <si>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</si>
  <si>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</si>
  <si>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</si>
  <si>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</si>
  <si>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</si>
  <si>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</si>
  <si>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</si>
  <si>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</si>
  <si>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</si>
  <si>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</si>
  <si>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</si>
  <si>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</si>
  <si>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</si>
  <si>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</si>
  <si>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</si>
  <si>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</si>
  <si>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</si>
  <si>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</si>
  <si>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</si>
  <si>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</si>
  <si>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</si>
  <si>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</si>
  <si>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</si>
  <si>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</si>
  <si>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</si>
  <si>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</si>
  <si>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</si>
  <si>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</si>
  <si>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</si>
  <si>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</si>
  <si>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</si>
  <si>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</si>
  <si>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</si>
  <si>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</si>
  <si>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</si>
  <si>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</si>
  <si>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</si>
  <si>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</si>
  <si>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</si>
  <si>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</si>
  <si>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</si>
  <si>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</si>
  <si>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</si>
  <si>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</si>
  <si>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</si>
  <si>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</si>
  <si>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</si>
  <si>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</si>
  <si>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</si>
  <si>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</si>
  <si>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</si>
  <si>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</si>
  <si>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</si>
  <si>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</si>
  <si>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</si>
  <si>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</si>
  <si>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</si>
  <si>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</si>
  <si>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</si>
  <si>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</si>
  <si>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</si>
  <si>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</si>
  <si>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</si>
  <si>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</si>
  <si>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</si>
  <si>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</si>
  <si>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</si>
  <si>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</si>
  <si>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</si>
  <si>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</si>
  <si>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</si>
  <si>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</si>
  <si>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</si>
  <si>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</si>
  <si>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</si>
  <si>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</si>
  <si>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</si>
  <si>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</si>
  <si>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</si>
  <si>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</si>
  <si>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</si>
  <si>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</si>
  <si>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</si>
  <si>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</si>
  <si>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</si>
  <si>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</si>
  <si>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</si>
  <si>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</si>
  <si>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</si>
  <si>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</si>
  <si>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</si>
  <si>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</si>
  <si>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</si>
  <si>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</si>
  <si>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</si>
  <si>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</si>
  <si>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</si>
  <si>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</si>
  <si>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</si>
  <si>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</si>
  <si>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</si>
  <si>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</si>
  <si>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</si>
  <si>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</si>
  <si>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</si>
  <si>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</si>
  <si>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</si>
  <si>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</si>
  <si>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</si>
  <si>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</si>
  <si>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</si>
  <si>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</si>
  <si>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</si>
  <si>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</si>
  <si>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</si>
  <si>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</si>
  <si>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</si>
  <si>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</si>
  <si>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</si>
  <si>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</si>
  <si>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</si>
  <si>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</si>
  <si>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</si>
  <si>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</si>
  <si>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</si>
  <si>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</si>
  <si>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</si>
  <si>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</si>
  <si>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</si>
  <si>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</si>
  <si>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</si>
  <si>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</si>
  <si>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</si>
  <si>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</si>
  <si>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</si>
  <si>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</si>
  <si>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</si>
  <si>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</si>
  <si>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</si>
  <si>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</si>
  <si>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</si>
  <si>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</si>
  <si>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</si>
  <si>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</si>
  <si>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</si>
  <si>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</si>
  <si>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</si>
  <si>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</si>
  <si>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</si>
  <si>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</si>
  <si>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</si>
  <si>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</si>
  <si>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</si>
  <si>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</si>
  <si>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</si>
  <si>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</si>
  <si>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</si>
  <si>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</si>
  <si>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</si>
  <si>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</si>
  <si>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</si>
  <si>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</si>
  <si>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</si>
  <si>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</si>
  <si>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</si>
  <si>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</si>
  <si>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</si>
  <si>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</si>
  <si>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</si>
  <si>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</si>
  <si>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</si>
  <si>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</si>
  <si>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</si>
  <si>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</si>
  <si>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</si>
  <si>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</si>
  <si>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</si>
  <si>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</si>
  <si>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</si>
  <si>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</si>
  <si>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</si>
  <si>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</si>
  <si>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</si>
  <si>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</si>
  <si>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</si>
  <si>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</si>
  <si>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</si>
  <si>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</si>
  <si>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</si>
  <si>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</si>
  <si>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</si>
  <si>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</si>
  <si>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</si>
  <si>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</si>
  <si>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</si>
  <si>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</si>
  <si>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</si>
  <si>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</si>
  <si>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</si>
  <si>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</si>
  <si>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</si>
  <si>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</si>
  <si>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</si>
  <si>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</si>
  <si>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</si>
  <si>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</si>
  <si>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</si>
  <si>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</si>
  <si>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</si>
  <si>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</si>
  <si>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</si>
  <si>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</si>
  <si>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</si>
  <si>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</si>
  <si>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</si>
  <si>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</si>
  <si>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</si>
  <si>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</si>
  <si>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</si>
  <si>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</si>
  <si>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</si>
  <si>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</si>
  <si>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</si>
  <si>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</si>
  <si>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</si>
  <si>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</si>
  <si>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</si>
  <si>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</si>
  <si>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</si>
  <si>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</si>
  <si>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</si>
  <si>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</si>
  <si>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</si>
  <si>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</si>
  <si>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</si>
  <si>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</si>
  <si>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</si>
  <si>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</si>
  <si>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</si>
  <si>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</si>
  <si>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</si>
  <si>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</si>
  <si>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</si>
  <si>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</si>
  <si>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</si>
  <si>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</si>
  <si>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</si>
  <si>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</si>
  <si>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</si>
  <si>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</si>
  <si>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</si>
  <si>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</si>
  <si>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</si>
  <si>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</si>
  <si>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</si>
  <si>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</si>
  <si>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</si>
  <si>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</si>
  <si>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</si>
  <si>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</si>
  <si>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</si>
  <si>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</si>
  <si>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</si>
  <si>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</si>
  <si>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</si>
  <si>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</si>
  <si>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</si>
  <si>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</si>
  <si>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</si>
  <si>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</si>
  <si>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</si>
  <si>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</si>
  <si>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</si>
  <si>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</si>
  <si>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</si>
  <si>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</si>
  <si>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</si>
  <si>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</si>
  <si>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</si>
  <si>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</si>
  <si>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</si>
  <si>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</si>
  <si>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</si>
  <si>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</si>
  <si>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</si>
  <si>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</si>
  <si>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</si>
  <si>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</si>
  <si>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</si>
  <si>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</si>
  <si>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</si>
  <si>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</si>
  <si>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</si>
  <si>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</si>
  <si>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</si>
  <si>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</si>
  <si>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</si>
  <si>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</si>
  <si>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</si>
  <si>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</si>
  <si>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</si>
  <si>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</si>
  <si>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</si>
  <si>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</si>
  <si>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</si>
  <si>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</si>
  <si>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</si>
  <si>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</si>
  <si>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</si>
  <si>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</si>
  <si>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</si>
  <si>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Other</t>
  </si>
  <si>
    <t>State</t>
  </si>
  <si>
    <t>Not editable</t>
  </si>
  <si>
    <t>Real time
dynamics</t>
  </si>
  <si>
    <t>* Automatically lock historical records that exceed 24 hours, and mark the status as: editable, uneditables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</si>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</sst>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0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9"/>
    <tableColumn id="2" xr3:uid="{C28244F3-482D-4CFC-B629-A29496B98C0B}" name="Product name" dataDxfId="398"/>
    <tableColumn id="11" xr3:uid="{71958388-9C14-426E-8457-DCEA92BC0E87}" name="Negative difference" dataDxfId="397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6">
      <calculatedColumnFormula>SUM(UserInfo[1 - Remaining])</calculatedColumnFormula>
    </tableColumn>
    <tableColumn id="7" xr3:uid="{75829BDD-5513-4744-8184-35AE3788771C}" name="Deposited" dataDxfId="395">
      <calculatedColumnFormula>SUM(UserInfo[1 - Deposit])</calculatedColumnFormula>
    </tableColumn>
    <tableColumn id="6" xr3:uid="{B71F91EB-0024-4EC1-8035-3636C31B3740}" name="Withdrawn" dataDxfId="394">
      <calculatedColumnFormula>SUM(UserInfo[1 - Withdrawal])</calculatedColumnFormula>
    </tableColumn>
    <tableColumn id="5" xr3:uid="{6E4E3255-2204-43C6-A50C-EEAF08580A14}" name="Negative_x000a_inventory_x000a_balance" dataDxfId="393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2">
      <calculatedColumnFormula>SUMIFS(Store_History[Quantity],Store_History[Unique identifier],Store_Setting[[#This Row],[Unique
identifier]],Store_History[Type],$D$74)</calculatedColumnFormula>
    </tableColumn>
    <tableColumn id="8" xr3:uid="{43D402E1-A683-4B65-923F-EB29ABFA8F93}" name="Pickup_x000a_subtotal" dataDxfId="391">
      <calculatedColumnFormula>SUMIFS(Store_History[Quantity],Store_History[Unique identifier],Store_Setting[[#This Row],[Unique
identifier]],Store_History[Type],$E$74)</calculatedColumnFormula>
    </tableColumn>
    <tableColumn id="12" xr3:uid="{C65B39DF-AE6E-4A3E-B7CF-154F140E491B}" name="Hide deposits" dataDxfId="390"/>
    <tableColumn id="3" xr3:uid="{0F7FF887-858D-4FF9-BA62-095ABFE4C76D}" name="Hide withdrawals" dataDxfId="389"/>
    <tableColumn id="13" xr3:uid="{89FF378B-8527-4831-9678-F319360512CA}" name="MemberScope" dataDxfId="388"/>
    <tableColumn id="14" xr3:uid="{E1F64A09-7F12-4309-9B35-6F58E3592CA9}" name="MemberSave" dataDxfId="387"/>
    <tableColumn id="15" xr3:uid="{13DB9E96-169F-4C16-8BFD-D459CAA74FD9}" name="MemberEject" dataDxfId="386"/>
    <tableColumn id="16" xr3:uid="{C4DDD6BF-EA0E-4A1E-9CF3-8B2C1DE07BE2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4" dataDxfId="383">
  <autoFilter ref="B6:I7" xr:uid="{B82E5E9F-8725-4EAF-B9F2-1889C4CE31C6}"/>
  <tableColumns count="8">
    <tableColumn id="1" xr3:uid="{CCD5A4A0-03A2-44F4-8FB0-E2743E043E7C}" name="SN" dataDxfId="382">
      <calculatedColumnFormula array="1">SNGKI</calculatedColumnFormula>
    </tableColumn>
    <tableColumn id="2" xr3:uid="{BE286F67-B0FA-40D9-BDA1-B2CFCEBCEB36}" name="Unique identifier" dataDxfId="381"/>
    <tableColumn id="4" xr3:uid="{9CF218BF-31BE-437E-9285-7CE338B0180C}" name="Type" dataDxfId="380"/>
    <tableColumn id="38" xr3:uid="{BE6B60B8-5A23-4085-9CC5-0D91831F16B6}" name="Quantity" dataDxfId="379"/>
    <tableColumn id="9" xr3:uid="{BCC80DB2-EF55-4BCC-9A8B-636F5A0886E8}" name="Unit" dataDxfId="378"/>
    <tableColumn id="3" xr3:uid="{CCD860BE-34B0-4F57-8823-4D2C9F7985B4}" name="Time" dataDxfId="377"/>
    <tableColumn id="7" xr3:uid="{38DADDD1-29F3-4A23-B844-9D021C0D5F68}" name="Job number" dataDxfId="376"/>
    <tableColumn id="8" xr3:uid="{945E147D-AEC8-4CD6-9889-CC8A2ADA4657}" name="Remark" dataDxfId="375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74" dataDxfId="373" totalsRowDxfId="372">
  <autoFilter ref="B8:EG10" xr:uid="{ADAB6017-62AE-4ECA-A153-D815FED82043}"/>
  <tableColumns count="136">
    <tableColumn id="1" xr3:uid="{69B39378-5DEE-4683-8063-2D1E5E369E67}" name="SN" totalsRowLabel="Total" dataDxfId="371" totalsRowDxfId="370">
      <calculatedColumnFormula array="1">SN</calculatedColumnFormula>
    </tableColumn>
    <tableColumn id="5" xr3:uid="{35BA10B8-A444-4F80-8F55-6146540C5A57}" name="Unique identifier" dataDxfId="369" totalsRowDxfId="368">
      <calculatedColumnFormula array="1">GUID</calculatedColumnFormula>
    </tableColumn>
    <tableColumn id="6" xr3:uid="{8A3791BE-D142-4B77-980F-0E769FF1CE0E}" name="1 - Remaining" dataDxfId="367">
      <calculatedColumnFormula array="1">Get_1_Calc</calculatedColumnFormula>
    </tableColumn>
    <tableColumn id="8" xr3:uid="{E45E7682-0361-46D3-BF20-AF1E07C3D65B}" name="1 - Deposit" dataDxfId="366" totalsRowDxfId="365">
      <calculatedColumnFormula array="1">Get_1_Add</calculatedColumnFormula>
    </tableColumn>
    <tableColumn id="9" xr3:uid="{FE45F0F1-8F7A-4A14-B0E4-3EC60A580E37}" name="1 - Withdrawal" dataDxfId="364" totalsRowDxfId="363">
      <calculatedColumnFormula array="1">Get_1_Del</calculatedColumnFormula>
    </tableColumn>
    <tableColumn id="7" xr3:uid="{B53043EA-8EAF-48CD-A1C4-F1751A029F72}" name="2 - Remaining" dataDxfId="362" totalsRowDxfId="361">
      <calculatedColumnFormula array="1">Get_2_Calc</calculatedColumnFormula>
    </tableColumn>
    <tableColumn id="10" xr3:uid="{95260041-5347-400B-AAEF-EE609D2539A1}" name="2 - Deposit" dataDxfId="360" totalsRowDxfId="359">
      <calculatedColumnFormula array="1">Get_2_Add</calculatedColumnFormula>
    </tableColumn>
    <tableColumn id="11" xr3:uid="{33755691-0EB3-40CE-9B73-E91F8C102760}" name="2 - Withdrawal" dataDxfId="358" totalsRowDxfId="357">
      <calculatedColumnFormula array="1">Get_2_Del</calculatedColumnFormula>
    </tableColumn>
    <tableColumn id="32" xr3:uid="{EC5EB628-FB36-43AE-A347-41E9ACE5D72E}" name="3 - Remaining" dataDxfId="356" totalsRowDxfId="355">
      <calculatedColumnFormula array="1">Get_3_Calc</calculatedColumnFormula>
    </tableColumn>
    <tableColumn id="33" xr3:uid="{43A56C01-D775-4C69-87D1-225F1941DB58}" name="3 - Deposit" dataDxfId="354" totalsRowDxfId="353">
      <calculatedColumnFormula array="1">Get_3_Add</calculatedColumnFormula>
    </tableColumn>
    <tableColumn id="30" xr3:uid="{E3875226-6AB9-4F4B-91BF-CC71FCEAF551}" name="3 - Withdrawal" dataDxfId="352" totalsRowDxfId="351">
      <calculatedColumnFormula array="1">Get_3_Del</calculatedColumnFormula>
    </tableColumn>
    <tableColumn id="31" xr3:uid="{B62D1E0D-5AB3-4BE3-8BC6-8442FF019A25}" name="4 - Remaining" dataDxfId="350" totalsRowDxfId="349">
      <calculatedColumnFormula array="1">Get_4_Calc</calculatedColumnFormula>
    </tableColumn>
    <tableColumn id="28" xr3:uid="{7B09D42A-E4B3-42DA-A7BC-1855D7B3276B}" name="4 - Deposit" dataDxfId="348" totalsRowDxfId="347">
      <calculatedColumnFormula array="1">Get_4_Add</calculatedColumnFormula>
    </tableColumn>
    <tableColumn id="29" xr3:uid="{B7BDACF3-46DD-4203-BF1C-D95921A9EAB9}" name="4 - Withdrawal" dataDxfId="346" totalsRowDxfId="345">
      <calculatedColumnFormula array="1">Get_4_Del</calculatedColumnFormula>
    </tableColumn>
    <tableColumn id="26" xr3:uid="{2B28D0BE-0636-4250-93AD-A6F7361B235B}" name="5 - Remaining" dataDxfId="344" totalsRowDxfId="343">
      <calculatedColumnFormula array="1">Get_5_Calc</calculatedColumnFormula>
    </tableColumn>
    <tableColumn id="27" xr3:uid="{E0E33EBF-F853-45D7-8D8D-4968D0DF550A}" name="5 - Deposit" dataDxfId="342" totalsRowDxfId="341">
      <calculatedColumnFormula array="1">Get_5_Add</calculatedColumnFormula>
    </tableColumn>
    <tableColumn id="34" xr3:uid="{8BF8358E-3A1F-4FD6-A3D2-5C9ED03B66D2}" name="5 - Withdrawal" dataDxfId="340" totalsRowDxfId="339">
      <calculatedColumnFormula array="1">Get_5_Del</calculatedColumnFormula>
    </tableColumn>
    <tableColumn id="35" xr3:uid="{BB2E7E56-CFEB-45E5-A53A-8F8601B9A6BC}" name="6 - Remaining" dataDxfId="338">
      <calculatedColumnFormula array="1">Get_6_Calc</calculatedColumnFormula>
    </tableColumn>
    <tableColumn id="36" xr3:uid="{B1C76173-BBE5-4463-A5A2-D59DF06DFEA3}" name="6 - Deposit" dataDxfId="337" totalsRowDxfId="336">
      <calculatedColumnFormula array="1">Get_6_Add</calculatedColumnFormula>
    </tableColumn>
    <tableColumn id="37" xr3:uid="{252F1115-6468-4A69-A315-CC054804CD2D}" name="6 - Withdrawal" dataDxfId="335" totalsRowDxfId="334">
      <calculatedColumnFormula array="1">Get_6_Del</calculatedColumnFormula>
    </tableColumn>
    <tableColumn id="20" xr3:uid="{A588D5D5-7793-43CD-9189-E1B0E04C4525}" name="7 - Remaining" dataDxfId="333" totalsRowDxfId="332">
      <calculatedColumnFormula array="1">Get_7_Calc</calculatedColumnFormula>
    </tableColumn>
    <tableColumn id="21" xr3:uid="{173A2F2F-7CDB-4106-BA59-7971244FD630}" name="7 - Deposit" dataDxfId="331" totalsRowDxfId="330">
      <calculatedColumnFormula array="1">Get_7_Add</calculatedColumnFormula>
    </tableColumn>
    <tableColumn id="46" xr3:uid="{5DD0D315-AA29-4E95-AB07-E17D16311131}" name="7 - Withdrawal" dataDxfId="329" totalsRowDxfId="328">
      <calculatedColumnFormula array="1">Get_7_Del</calculatedColumnFormula>
    </tableColumn>
    <tableColumn id="47" xr3:uid="{887630E9-FAB3-4BC4-AE9D-DA08EE18BEE8}" name="8 - Remaining" dataDxfId="327" totalsRowDxfId="326">
      <calculatedColumnFormula array="1">Get_8_Calc</calculatedColumnFormula>
    </tableColumn>
    <tableColumn id="44" xr3:uid="{74DD3BDF-B83E-43E2-A24B-4F5846C78DBC}" name="8 - Deposit" dataDxfId="325" totalsRowDxfId="324">
      <calculatedColumnFormula array="1">Get_8_Add</calculatedColumnFormula>
    </tableColumn>
    <tableColumn id="45" xr3:uid="{F7703264-4D50-4502-8F6F-FB36B91EB021}" name="8 - Withdrawal" dataDxfId="323" totalsRowDxfId="322">
      <calculatedColumnFormula array="1">Get_8_Del</calculatedColumnFormula>
    </tableColumn>
    <tableColumn id="42" xr3:uid="{4E67C08C-7260-499F-B198-7B6E4192E472}" name="9 - Remaining" dataDxfId="321" totalsRowDxfId="320">
      <calculatedColumnFormula array="1">Get_9_Calc</calculatedColumnFormula>
    </tableColumn>
    <tableColumn id="43" xr3:uid="{7F9B0DDB-B0CF-4F25-BEAA-5F937B25BDE0}" name="9 - Deposit" dataDxfId="319" totalsRowDxfId="318">
      <calculatedColumnFormula array="1">Get_9_Add</calculatedColumnFormula>
    </tableColumn>
    <tableColumn id="40" xr3:uid="{3AA5B498-FA98-483A-A388-6B6F74476BFD}" name="9 - Withdrawal" dataDxfId="317" totalsRowDxfId="316">
      <calculatedColumnFormula array="1">Get_9_Del</calculatedColumnFormula>
    </tableColumn>
    <tableColumn id="41" xr3:uid="{82D58ED2-A190-4823-8868-5A26D45CD476}" name="10 - Remaining" dataDxfId="315" totalsRowDxfId="314">
      <calculatedColumnFormula array="1">Get_10_Calc</calculatedColumnFormula>
    </tableColumn>
    <tableColumn id="38" xr3:uid="{800CF74D-0283-4B1A-9909-EF49C70CBE94}" name="10 - Deposit" dataDxfId="313" totalsRowDxfId="312">
      <calculatedColumnFormula array="1">Get_10_Add</calculatedColumnFormula>
    </tableColumn>
    <tableColumn id="39" xr3:uid="{276FBA7A-AC3A-4E59-B8B1-B09B169E6837}" name="10 - Withdrawal" dataDxfId="311" totalsRowDxfId="310">
      <calculatedColumnFormula array="1">Get_10_Del</calculatedColumnFormula>
    </tableColumn>
    <tableColumn id="48" xr3:uid="{A7B9D79E-F38B-48CB-AEE5-E7B7F6EF5C2C}" name="11 - Remaining" dataDxfId="309" totalsRowDxfId="308">
      <calculatedColumnFormula array="1">Get_11_Calc</calculatedColumnFormula>
    </tableColumn>
    <tableColumn id="49" xr3:uid="{01CFCCAE-6F8F-4C1E-8FF6-6275897A542E}" name="11 - Deposit" dataDxfId="307" totalsRowDxfId="306">
      <calculatedColumnFormula array="1">Get_11_Add</calculatedColumnFormula>
    </tableColumn>
    <tableColumn id="14" xr3:uid="{27E31913-0377-43BF-8773-DF68330317BA}" name="11 - Withdrawal" dataDxfId="305" totalsRowDxfId="304">
      <calculatedColumnFormula array="1">Get_11_Del</calculatedColumnFormula>
    </tableColumn>
    <tableColumn id="51" xr3:uid="{5B85F460-5E62-4025-895D-56CA23340014}" name="12 - Remaining" dataDxfId="303" totalsRowDxfId="302">
      <calculatedColumnFormula array="1">Get_12_Calc</calculatedColumnFormula>
    </tableColumn>
    <tableColumn id="52" xr3:uid="{0EC70A7E-2DCB-4261-AA03-9B9BE1BAEC8F}" name="12 - Deposit" dataDxfId="301" totalsRowDxfId="300">
      <calculatedColumnFormula array="1">Get_12_Add</calculatedColumnFormula>
    </tableColumn>
    <tableColumn id="50" xr3:uid="{3EB42EAC-DC06-4CC0-A5A9-B7FE23DC5389}" name="12 - Withdrawal" dataDxfId="299" totalsRowDxfId="298">
      <calculatedColumnFormula array="1">Get_12_Del</calculatedColumnFormula>
    </tableColumn>
    <tableColumn id="65" xr3:uid="{EDF8FCAF-50EB-44D5-B6A9-3CD2A6E9AE1E}" name="13 - Remaining" dataDxfId="297" totalsRowDxfId="296">
      <calculatedColumnFormula array="1">Get_13_Calc</calculatedColumnFormula>
    </tableColumn>
    <tableColumn id="66" xr3:uid="{F5CC81DC-58D2-4192-A82D-389419FBEF0D}" name="13 - Deposit" dataDxfId="295" totalsRowDxfId="294">
      <calculatedColumnFormula array="1">Get_13_Add</calculatedColumnFormula>
    </tableColumn>
    <tableColumn id="67" xr3:uid="{CDD18276-7453-4E17-BA82-D9E26BD8811B}" name="13 - Withdrawal" dataDxfId="293" totalsRowDxfId="292">
      <calculatedColumnFormula array="1">Get_13_Del</calculatedColumnFormula>
    </tableColumn>
    <tableColumn id="62" xr3:uid="{68ACC17D-E3C3-4466-88A6-F2F14F757F76}" name="14 - Remaining" dataDxfId="291" totalsRowDxfId="290">
      <calculatedColumnFormula array="1">Get_14_Calc</calculatedColumnFormula>
    </tableColumn>
    <tableColumn id="63" xr3:uid="{0E0EE3C5-8F3C-4968-B0E6-50B1C2B616A8}" name="14 - Deposit" dataDxfId="289" totalsRowDxfId="288">
      <calculatedColumnFormula array="1">Get_14_Add</calculatedColumnFormula>
    </tableColumn>
    <tableColumn id="64" xr3:uid="{AD67C543-6A27-4C51-906F-D522151C0D92}" name="14 - Withdrawal" dataDxfId="287" totalsRowDxfId="286">
      <calculatedColumnFormula array="1">Get_14_Del</calculatedColumnFormula>
    </tableColumn>
    <tableColumn id="59" xr3:uid="{7CAE30DB-B183-4017-8A77-F435FA507A01}" name="15 - Remaining" dataDxfId="285" totalsRowDxfId="284">
      <calculatedColumnFormula array="1">Get_15_Calc</calculatedColumnFormula>
    </tableColumn>
    <tableColumn id="60" xr3:uid="{10EF06B0-FD95-42A9-BFCC-64BBC565CA14}" name="15 - Deposit" dataDxfId="283" totalsRowDxfId="282">
      <calculatedColumnFormula array="1">Get_15_Add</calculatedColumnFormula>
    </tableColumn>
    <tableColumn id="61" xr3:uid="{6301F8B4-4D01-4FDA-8D32-75921B15A2D9}" name="15 - Withdrawal" dataDxfId="281" totalsRowDxfId="280">
      <calculatedColumnFormula array="1">Get_15_Del</calculatedColumnFormula>
    </tableColumn>
    <tableColumn id="56" xr3:uid="{05F125DE-5AE7-4786-ACBC-DAF9D7222A62}" name="16 - Remaining" dataDxfId="279" totalsRowDxfId="278">
      <calculatedColumnFormula array="1">Get_16_Calc</calculatedColumnFormula>
    </tableColumn>
    <tableColumn id="57" xr3:uid="{7E6969DC-E3FC-4DA8-BB9D-6B36E075458F}" name="16 - Deposit" dataDxfId="277" totalsRowDxfId="276">
      <calculatedColumnFormula array="1">Get_16_Add</calculatedColumnFormula>
    </tableColumn>
    <tableColumn id="58" xr3:uid="{84C80CB2-57F5-4B66-8756-5573CD699D16}" name="16 - Withdrawal" dataDxfId="275" totalsRowDxfId="274">
      <calculatedColumnFormula array="1">Get_16_Del</calculatedColumnFormula>
    </tableColumn>
    <tableColumn id="53" xr3:uid="{65516705-AD27-4ECA-AF09-D132C51E08CE}" name="17 - Remaining" dataDxfId="273" totalsRowDxfId="272">
      <calculatedColumnFormula array="1">Get_17_Calc</calculatedColumnFormula>
    </tableColumn>
    <tableColumn id="54" xr3:uid="{0756DBD3-FDA1-4E71-849C-F20BBD0A5182}" name="17 - Deposit" dataDxfId="271" totalsRowDxfId="270">
      <calculatedColumnFormula array="1">Get_17_Add</calculatedColumnFormula>
    </tableColumn>
    <tableColumn id="55" xr3:uid="{51CB254C-5F29-4215-8FE0-F8B8B7B32759}" name="17 - Withdrawal" dataDxfId="269" totalsRowDxfId="268">
      <calculatedColumnFormula array="1">Get_17_Del</calculatedColumnFormula>
    </tableColumn>
    <tableColumn id="68" xr3:uid="{9C2EC294-A2C3-40B0-9E15-FFA1DA6DE0E7}" name="18 - Remaining" dataDxfId="267" totalsRowDxfId="266">
      <calculatedColumnFormula array="1">Get_18_Calc</calculatedColumnFormula>
    </tableColumn>
    <tableColumn id="69" xr3:uid="{A371F69D-1236-4AAC-B5F1-72D518D6FC69}" name="18 - Deposit" dataDxfId="265" totalsRowDxfId="264">
      <calculatedColumnFormula array="1">Get_18_Add</calculatedColumnFormula>
    </tableColumn>
    <tableColumn id="70" xr3:uid="{7B3C5D9B-BC0C-404F-9490-CDADC350F1D7}" name="18 - Withdrawal" dataDxfId="263" totalsRowDxfId="262">
      <calculatedColumnFormula array="1">Get_18_Del</calculatedColumnFormula>
    </tableColumn>
    <tableColumn id="19" xr3:uid="{91B42855-55D1-4A6A-B9A8-5EE011ADEB10}" name="19 - Remaining" dataDxfId="261" totalsRowDxfId="260">
      <calculatedColumnFormula array="1">Get_19_Calc</calculatedColumnFormula>
    </tableColumn>
    <tableColumn id="18" xr3:uid="{98EE3A39-A8AB-42CF-AEB5-291E8B95D8CA}" name="19 - Deposit" dataDxfId="259" totalsRowDxfId="258">
      <calculatedColumnFormula array="1">Get_19_Add</calculatedColumnFormula>
    </tableColumn>
    <tableColumn id="73" xr3:uid="{DB40D44F-8801-4D50-BA48-8323E05D2E13}" name="19 - Withdrawal" dataDxfId="257" totalsRowDxfId="256">
      <calculatedColumnFormula array="1">Get_19_Del</calculatedColumnFormula>
    </tableColumn>
    <tableColumn id="72" xr3:uid="{470D5EC3-31A6-4851-B48C-D6DDADACC807}" name="20 - Remaining" dataDxfId="255" totalsRowDxfId="254">
      <calculatedColumnFormula array="1">Get_20_Calc</calculatedColumnFormula>
    </tableColumn>
    <tableColumn id="71" xr3:uid="{39143051-B360-4CEF-883D-35BFEEAE3BA0}" name="20 - Deposit" dataDxfId="253" totalsRowDxfId="252">
      <calculatedColumnFormula array="1">Get_20_Add</calculatedColumnFormula>
    </tableColumn>
    <tableColumn id="15" xr3:uid="{8C1BB1E7-B23F-46EC-AE4E-28A3C394FD55}" name="20 - Withdrawal" dataDxfId="251" totalsRowDxfId="250">
      <calculatedColumnFormula array="1">Get_20_Del</calculatedColumnFormula>
    </tableColumn>
    <tableColumn id="102" xr3:uid="{F21D4D43-73EE-4C8A-8AEF-E424CE485010}" name="21 - Remaining" dataDxfId="249" totalsRowDxfId="248">
      <calculatedColumnFormula array="1">Get_21_Calc</calculatedColumnFormula>
    </tableColumn>
    <tableColumn id="103" xr3:uid="{4486E59C-66B0-413C-AFFC-A8A336BC25D8}" name="21 - Deposit" dataDxfId="247" totalsRowDxfId="246">
      <calculatedColumnFormula array="1">Get_21_Add</calculatedColumnFormula>
    </tableColumn>
    <tableColumn id="104" xr3:uid="{564EC857-6030-490D-A2E5-16F4F8221C23}" name="21 - Withdrawal" dataDxfId="245" totalsRowDxfId="244">
      <calculatedColumnFormula array="1">Get_21_Del</calculatedColumnFormula>
    </tableColumn>
    <tableColumn id="105" xr3:uid="{31132AB1-247A-4EB9-8A8A-871FED0D5AA1}" name="22 - Remaining" dataDxfId="243" totalsRowDxfId="242">
      <calculatedColumnFormula array="1">Get_22_Calc</calculatedColumnFormula>
    </tableColumn>
    <tableColumn id="98" xr3:uid="{CF6220B5-7B80-445C-A013-845D35543916}" name="22 - Deposit" dataDxfId="241" totalsRowDxfId="240">
      <calculatedColumnFormula array="1">Get_22_Add</calculatedColumnFormula>
    </tableColumn>
    <tableColumn id="99" xr3:uid="{98BD4691-C847-4F41-8E6C-BEC01B8FAEB3}" name="22 - Withdrawal" dataDxfId="239" totalsRowDxfId="238">
      <calculatedColumnFormula array="1">Get_22_Del</calculatedColumnFormula>
    </tableColumn>
    <tableColumn id="100" xr3:uid="{66330D4E-ED0D-41A7-921D-E622CA8068A4}" name="23 - Remaining" dataDxfId="237" totalsRowDxfId="236">
      <calculatedColumnFormula array="1">Get_23_Calc</calculatedColumnFormula>
    </tableColumn>
    <tableColumn id="101" xr3:uid="{3345E086-C2E9-453D-A0EB-A7471CF2ACB2}" name="23 - Deposit" dataDxfId="235" totalsRowDxfId="234">
      <calculatedColumnFormula array="1">Get_23_Add</calculatedColumnFormula>
    </tableColumn>
    <tableColumn id="94" xr3:uid="{8EF3E108-22A5-4CBC-9928-BC115EFE882A}" name="23 - Withdrawal" dataDxfId="233" totalsRowDxfId="232">
      <calculatedColumnFormula array="1">Get_23_Del</calculatedColumnFormula>
    </tableColumn>
    <tableColumn id="95" xr3:uid="{C6AA287C-2EA3-4286-A71D-29E22D519C41}" name="24 - Remaining" dataDxfId="231" totalsRowDxfId="230">
      <calculatedColumnFormula array="1">Get_24_Calc</calculatedColumnFormula>
    </tableColumn>
    <tableColumn id="96" xr3:uid="{1FDAF720-4143-496A-91C3-D65BD5CBA18F}" name="24 - Deposit" dataDxfId="229" totalsRowDxfId="228">
      <calculatedColumnFormula array="1">Get_24_Add</calculatedColumnFormula>
    </tableColumn>
    <tableColumn id="97" xr3:uid="{0CACBF11-449C-4C06-A249-904EB5517854}" name="24 - Withdrawal" dataDxfId="227" totalsRowDxfId="226">
      <calculatedColumnFormula array="1">Get_24_Del</calculatedColumnFormula>
    </tableColumn>
    <tableColumn id="90" xr3:uid="{11D36A45-02CB-476F-A2D2-734F76A2D1A6}" name="25 - Remaining" dataDxfId="225" totalsRowDxfId="224">
      <calculatedColumnFormula array="1">Get_25_Calc</calculatedColumnFormula>
    </tableColumn>
    <tableColumn id="91" xr3:uid="{8B60EC99-F04A-45EF-8F17-680319744A85}" name="25 - Deposit" dataDxfId="223" totalsRowDxfId="222">
      <calculatedColumnFormula array="1">Get_25_Add</calculatedColumnFormula>
    </tableColumn>
    <tableColumn id="92" xr3:uid="{AD05D88D-F2C1-4505-9BBD-FDC0B2D388F3}" name="25 - Withdrawal" dataDxfId="221" totalsRowDxfId="220">
      <calculatedColumnFormula array="1">Get_25_Del</calculatedColumnFormula>
    </tableColumn>
    <tableColumn id="93" xr3:uid="{F7CB76E9-97CE-4CC8-AEDA-CB574593A924}" name="26 - Remaining" dataDxfId="219" totalsRowDxfId="218">
      <calculatedColumnFormula array="1">Get_26_Calc</calculatedColumnFormula>
    </tableColumn>
    <tableColumn id="86" xr3:uid="{6D74E673-FBC5-435E-9229-8C187E67EA3F}" name="26 - Deposit" dataDxfId="217" totalsRowDxfId="216">
      <calculatedColumnFormula array="1">Get_26_Add</calculatedColumnFormula>
    </tableColumn>
    <tableColumn id="87" xr3:uid="{C2C28027-A1CD-440D-BB33-3A80FCC5A8C1}" name="26 - Withdrawal" dataDxfId="215" totalsRowDxfId="214">
      <calculatedColumnFormula array="1">Get_26_Del</calculatedColumnFormula>
    </tableColumn>
    <tableColumn id="88" xr3:uid="{070B4F15-D610-4FCF-B681-42E984B3F85F}" name="27 - Remaining" dataDxfId="213" totalsRowDxfId="212">
      <calculatedColumnFormula array="1">Get_27_Calc</calculatedColumnFormula>
    </tableColumn>
    <tableColumn id="89" xr3:uid="{04BA09B0-47DA-4E80-BEEC-AB8498C074D5}" name="27 - Deposit" dataDxfId="211" totalsRowDxfId="210">
      <calculatedColumnFormula array="1">Get_27_Add</calculatedColumnFormula>
    </tableColumn>
    <tableColumn id="82" xr3:uid="{17B1B927-AD09-4E4A-B7FC-33ED76279CBC}" name="27 - Withdrawal" dataDxfId="209" totalsRowDxfId="208">
      <calculatedColumnFormula array="1">Get_27_Del</calculatedColumnFormula>
    </tableColumn>
    <tableColumn id="83" xr3:uid="{2F4ED0A5-EE6B-4248-832C-F478A57FA0D5}" name="28 - Remaining" dataDxfId="207" totalsRowDxfId="206">
      <calculatedColumnFormula array="1">Get_28_Calc</calculatedColumnFormula>
    </tableColumn>
    <tableColumn id="84" xr3:uid="{D1140375-114D-49D9-A424-519A4250A622}" name="28 - Deposit" dataDxfId="205" totalsRowDxfId="204">
      <calculatedColumnFormula array="1">Get_28_Add</calculatedColumnFormula>
    </tableColumn>
    <tableColumn id="85" xr3:uid="{53209986-74FA-491C-8499-CAD58386B246}" name="28 - Withdrawal" dataDxfId="203" totalsRowDxfId="202">
      <calculatedColumnFormula array="1">Get_28_Del</calculatedColumnFormula>
    </tableColumn>
    <tableColumn id="78" xr3:uid="{9B1695E1-88D0-4B66-86DA-6328CEFA236B}" name="29 - Remaining" dataDxfId="201" totalsRowDxfId="200">
      <calculatedColumnFormula array="1">Get_29_Calc</calculatedColumnFormula>
    </tableColumn>
    <tableColumn id="79" xr3:uid="{AD5F07E7-774D-47C8-B9B7-0278E35D62E4}" name="29 - Deposit" dataDxfId="199" totalsRowDxfId="198">
      <calculatedColumnFormula array="1">Get_29_Add</calculatedColumnFormula>
    </tableColumn>
    <tableColumn id="80" xr3:uid="{60613223-E2AD-4FE8-AB22-74D7D70E9EC2}" name="29 - Withdrawal" dataDxfId="197" totalsRowDxfId="196">
      <calculatedColumnFormula array="1">Get_29_Del</calculatedColumnFormula>
    </tableColumn>
    <tableColumn id="81" xr3:uid="{598D87C2-40FF-4EB0-A568-2DE01DFD9C9A}" name="30 - Remaining" dataDxfId="195" totalsRowDxfId="194">
      <calculatedColumnFormula array="1">Get_30_Calc</calculatedColumnFormula>
    </tableColumn>
    <tableColumn id="112" xr3:uid="{A33BC1F0-D006-4639-92C6-0E411B6CA96D}" name="30 - Deposit" dataDxfId="193" totalsRowDxfId="192">
      <calculatedColumnFormula array="1">Get_30_Add</calculatedColumnFormula>
    </tableColumn>
    <tableColumn id="113" xr3:uid="{AF7F8313-8446-4886-AE41-FE26C24E6965}" name="30 - Withdrawal" dataDxfId="191" totalsRowDxfId="190">
      <calculatedColumnFormula array="1">Get_30_Del</calculatedColumnFormula>
    </tableColumn>
    <tableColumn id="114" xr3:uid="{32AC448A-1D9F-45C6-ADF0-484483D61305}" name="31 - Remaining" dataDxfId="189" totalsRowDxfId="188">
      <calculatedColumnFormula array="1">Get_31_Calc</calculatedColumnFormula>
    </tableColumn>
    <tableColumn id="109" xr3:uid="{6656E887-BCA1-45C6-9018-4F892EDCD6BD}" name="31 - Deposit" dataDxfId="187" totalsRowDxfId="186">
      <calculatedColumnFormula array="1">Get_31_Add</calculatedColumnFormula>
    </tableColumn>
    <tableColumn id="110" xr3:uid="{19143AD3-AFEC-4767-B097-6EFED19C1D5F}" name="31 - Withdrawal" dataDxfId="185" totalsRowDxfId="184">
      <calculatedColumnFormula array="1">Get_31_Del</calculatedColumnFormula>
    </tableColumn>
    <tableColumn id="111" xr3:uid="{A73390AD-84AD-4B11-962F-A0DD77AF79DB}" name="32 - Remaining" dataDxfId="183" totalsRowDxfId="182">
      <calculatedColumnFormula array="1">Get_32_Calc</calculatedColumnFormula>
    </tableColumn>
    <tableColumn id="106" xr3:uid="{CD563433-AB70-48C2-B28C-D63B8FE4231B}" name="32 - Deposit" dataDxfId="181" totalsRowDxfId="180">
      <calculatedColumnFormula array="1">Get_32_Add</calculatedColumnFormula>
    </tableColumn>
    <tableColumn id="107" xr3:uid="{8C2B9726-7B44-4012-849B-90C10E42CC75}" name="32 - Withdrawal" dataDxfId="179" totalsRowDxfId="178">
      <calculatedColumnFormula array="1">Get_32_Del</calculatedColumnFormula>
    </tableColumn>
    <tableColumn id="108" xr3:uid="{E5AF4544-102C-474F-A246-CC7171B33738}" name="33 - Remaining" dataDxfId="177" totalsRowDxfId="176">
      <calculatedColumnFormula array="1">Get_33_Calc</calculatedColumnFormula>
    </tableColumn>
    <tableColumn id="121" xr3:uid="{C1F5D498-1262-44DF-B066-1A676148E301}" name="33 - Deposit" dataDxfId="175" totalsRowDxfId="174">
      <calculatedColumnFormula array="1">Get_33_Add</calculatedColumnFormula>
    </tableColumn>
    <tableColumn id="122" xr3:uid="{2F6821D0-F42C-4DED-A045-B1C398C90F61}" name="33 - Withdrawal" dataDxfId="173" totalsRowDxfId="172">
      <calculatedColumnFormula array="1">Get_33_Del</calculatedColumnFormula>
    </tableColumn>
    <tableColumn id="123" xr3:uid="{DDEBD9FE-7A2F-41FF-9BD6-93F0E3570136}" name="34 - Remaining" dataDxfId="171" totalsRowDxfId="170">
      <calculatedColumnFormula array="1">Get_34_Calc</calculatedColumnFormula>
    </tableColumn>
    <tableColumn id="118" xr3:uid="{DEAF0FA5-8ADE-45D7-B112-EA03FAA0D896}" name="34 - Deposit" dataDxfId="169" totalsRowDxfId="168">
      <calculatedColumnFormula array="1">Get_34_Add</calculatedColumnFormula>
    </tableColumn>
    <tableColumn id="119" xr3:uid="{C95831F4-24FC-40B7-A0D8-FEBAAA6EAD80}" name="34 - Withdrawal" dataDxfId="167" totalsRowDxfId="166">
      <calculatedColumnFormula array="1">Get_34_Del</calculatedColumnFormula>
    </tableColumn>
    <tableColumn id="120" xr3:uid="{8C22D30B-320F-49E4-B37A-57A3D5DEE429}" name="35 - Remaining" dataDxfId="165" totalsRowDxfId="164">
      <calculatedColumnFormula array="1">Get_35_Calc</calculatedColumnFormula>
    </tableColumn>
    <tableColumn id="115" xr3:uid="{DC9FF648-80A3-480C-8295-816AE96549F0}" name="35 - Deposit" dataDxfId="163" totalsRowDxfId="162">
      <calculatedColumnFormula array="1">Get_35_Add</calculatedColumnFormula>
    </tableColumn>
    <tableColumn id="116" xr3:uid="{19FD796A-C39B-4913-B2F4-CF8C8A6E2355}" name="35 - Withdrawal" dataDxfId="161" totalsRowDxfId="160">
      <calculatedColumnFormula array="1">Get_35_Del</calculatedColumnFormula>
    </tableColumn>
    <tableColumn id="117" xr3:uid="{329AC6EB-CF46-4F1E-A1D1-49A8B17CACCD}" name="36 - Remaining" dataDxfId="159" totalsRowDxfId="158">
      <calculatedColumnFormula array="1">Get_36_Calc</calculatedColumnFormula>
    </tableColumn>
    <tableColumn id="77" xr3:uid="{D18373BA-DB75-470C-9939-60206C36267B}" name="36 - Deposit" dataDxfId="157" totalsRowDxfId="156">
      <calculatedColumnFormula array="1">Get_36_Add</calculatedColumnFormula>
    </tableColumn>
    <tableColumn id="76" xr3:uid="{8C923C1F-8AAD-4F00-B3ED-8C81417C548A}" name="36 - Withdrawal" dataDxfId="155" totalsRowDxfId="154">
      <calculatedColumnFormula array="1">Get_36_Del</calculatedColumnFormula>
    </tableColumn>
    <tableColumn id="132" xr3:uid="{F6203D74-C033-4FEA-B4CE-F892F2B07270}" name="37 - Remaining" dataDxfId="153" totalsRowDxfId="152">
      <calculatedColumnFormula array="1">Get_37_Calc</calculatedColumnFormula>
    </tableColumn>
    <tableColumn id="133" xr3:uid="{BA7DE93C-8EE4-4DDC-BC04-EC21986490A7}" name="37 - Deposit" dataDxfId="151" totalsRowDxfId="150">
      <calculatedColumnFormula array="1">Get_37_Add</calculatedColumnFormula>
    </tableColumn>
    <tableColumn id="128" xr3:uid="{A2AB67E7-67E5-4957-9EB1-A4A37B61C71A}" name="37 - Withdrawal" dataDxfId="149" totalsRowDxfId="148">
      <calculatedColumnFormula array="1">Get_37_Del</calculatedColumnFormula>
    </tableColumn>
    <tableColumn id="129" xr3:uid="{15573BDA-20F9-4C2F-9D6F-18F743FC6E25}" name="38 - Remaining" dataDxfId="147" totalsRowDxfId="146">
      <calculatedColumnFormula array="1">Get_38_Calc</calculatedColumnFormula>
    </tableColumn>
    <tableColumn id="130" xr3:uid="{C0F229CF-C5D6-4F11-8F55-7692B00DC0E3}" name="38 - Deposit" dataDxfId="145" totalsRowDxfId="144">
      <calculatedColumnFormula array="1">Get_38_Add</calculatedColumnFormula>
    </tableColumn>
    <tableColumn id="125" xr3:uid="{24A0AFA6-873B-40D0-95AA-269E0E8A05E1}" name="38 - Withdrawal" dataDxfId="143" totalsRowDxfId="142">
      <calculatedColumnFormula array="1">Get_38_Del</calculatedColumnFormula>
    </tableColumn>
    <tableColumn id="126" xr3:uid="{20897FAE-D3FE-48DD-961E-6A6443173FA9}" name="39 - Remaining" dataDxfId="141" totalsRowDxfId="140">
      <calculatedColumnFormula array="1">Get_39_Calc</calculatedColumnFormula>
    </tableColumn>
    <tableColumn id="127" xr3:uid="{35F30295-EDB2-4D7F-939D-DFAC52BB2A9F}" name="39 - Deposit" dataDxfId="139" totalsRowDxfId="138">
      <calculatedColumnFormula array="1">Get_39_Add</calculatedColumnFormula>
    </tableColumn>
    <tableColumn id="124" xr3:uid="{AF953A41-E1B0-4337-8A8E-F951C493EDE8}" name="39 - Withdrawal" dataDxfId="137" totalsRowDxfId="136">
      <calculatedColumnFormula array="1">Get_39_Del</calculatedColumnFormula>
    </tableColumn>
    <tableColumn id="75" xr3:uid="{07F02D24-5D96-40AE-BCE0-590F79C6D5DF}" name="40 - Remaining" dataDxfId="135" totalsRowDxfId="134">
      <calculatedColumnFormula array="1">Get_40_Calc</calculatedColumnFormula>
    </tableColumn>
    <tableColumn id="134" xr3:uid="{1075256E-BEBC-4E72-B0F5-766EF175AB4B}" name="40 - Deposit" dataDxfId="133" totalsRowDxfId="132">
      <calculatedColumnFormula array="1">Get_40_Add</calculatedColumnFormula>
    </tableColumn>
    <tableColumn id="74" xr3:uid="{DAFDE2C6-F321-4651-AA25-F4B29B9F690B}" name="40 - Withdrawal" dataDxfId="131" totalsRowDxfId="130">
      <calculatedColumnFormula array="1">Get_40_Del</calculatedColumnFormula>
    </tableColumn>
    <tableColumn id="2" xr3:uid="{6838A7E0-670C-4A2D-AF67-326212D8D278}" name="Last name" dataDxfId="129" totalsRowDxfId="128"/>
    <tableColumn id="25" xr3:uid="{0E0946FC-F3D2-412C-BDE7-636B8FDBFE7C}" name="Name" dataDxfId="127" totalsRowDxfId="126"/>
    <tableColumn id="3" xr3:uid="{E7DD7F6C-DAA7-4B96-9638-5C8F7FEFCC2E}" name="Gender" dataDxfId="125" totalsRowDxfId="124"/>
    <tableColumn id="23" xr3:uid="{AABD28F8-91AC-4EA0-915D-2F3C990C193D}" name="Identification number" dataDxfId="123" totalsRowDxfId="122"/>
    <tableColumn id="24" xr3:uid="{14505223-157D-4FB0-A334-A4E4687523F8}" name="Age" dataDxfId="121" totalsRowDxfId="120"/>
    <tableColumn id="4" xr3:uid="{B39F2860-CADF-40CB-832A-CCDE8501D7E3}" name="Telephone" dataDxfId="119" totalsRowDxfId="118"/>
    <tableColumn id="16" xr3:uid="{6E8928D1-6540-4241-9B8F-BFBC65F8DA26}" name="Email" dataDxfId="117"/>
    <tableColumn id="17" xr3:uid="{5422D38F-7826-4B14-9992-0434FAF52537}" name="Home address" dataDxfId="116" totalsRowDxfId="115"/>
    <tableColumn id="13" xr3:uid="{1096126D-9431-4280-89CE-FD45CA05D86A}" name="Add member time" dataDxfId="114" totalsRowDxfId="113"/>
    <tableColumn id="22" xr3:uid="{8DAD451D-44A8-40A3-A244-DDF540273F95}" name="Job number" dataDxfId="112" totalsRowDxfId="111"/>
    <tableColumn id="12" xr3:uid="{A8D286B9-575E-4C05-8F77-63C322A43E3C}" name="Remark" totalsRowFunction="count" dataDxfId="110" totalsRowDxfId="109"/>
    <tableColumn id="137" xr3:uid="{AB7E1BAB-0E5B-44DC-8CC2-A20D527FCF1F}" name="Total is_x000a_associated" dataDxfId="108" totalsRowDxfId="107">
      <calculatedColumnFormula array="1">History_Total</calculatedColumnFormula>
    </tableColumn>
    <tableColumn id="138" xr3:uid="{9C486A76-04E0-450A-9393-0772785A800E}" name="Linked_x000a_deposit" dataDxfId="106" totalsRowDxfId="105">
      <calculatedColumnFormula array="1">History_Saved</calculatedColumnFormula>
    </tableColumn>
    <tableColumn id="139" xr3:uid="{C0C39A21-3EB4-4B86-B985-EAC27D3673D0}" name="Associated_x000a_withdrawals" dataDxfId="104" totalsRowDxfId="103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2" dataDxfId="101">
  <autoFilter ref="B8:AV10" xr:uid="{B82E5E9F-8725-4EAF-B9F2-1889C4CE31C6}"/>
  <tableColumns count="47">
    <tableColumn id="1" xr3:uid="{B2E2102C-8F4D-4C47-9CD3-463EA2BB39CA}" name="SN" dataDxfId="99" totalsRowDxfId="100">
      <calculatedColumnFormula array="1">SN</calculatedColumnFormula>
    </tableColumn>
    <tableColumn id="2" xr3:uid="{B2493920-5E1A-4FDC-9855-B9542A099E48}" name="Unique identifier" dataDxfId="97" totalsRowDxfId="98"/>
    <tableColumn id="5" xr3:uid="{5B86D5AB-C839-4645-A1C3-6DB8BE627282}" name="1" dataDxfId="95" totalsRowDxfId="96"/>
    <tableColumn id="6" xr3:uid="{D0DA84C9-F1D2-46E3-B7CE-A8366D8983EB}" name="2" dataDxfId="93" totalsRowDxfId="94"/>
    <tableColumn id="18" xr3:uid="{9E40E7FF-8010-4EF5-8D65-05F090D03F3E}" name="3" dataDxfId="91" totalsRowDxfId="92"/>
    <tableColumn id="21" xr3:uid="{5F083938-0DC4-423F-A299-44247D468027}" name="4" dataDxfId="89" totalsRowDxfId="90"/>
    <tableColumn id="22" xr3:uid="{24908B7A-CF9B-4D63-9022-D399C13A94C1}" name="5" dataDxfId="87" totalsRowDxfId="88"/>
    <tableColumn id="19" xr3:uid="{BEB80215-8B61-4914-86E2-724F4F55059E}" name="6" dataDxfId="85" totalsRowDxfId="86"/>
    <tableColumn id="20" xr3:uid="{E54DF6BD-FDB6-4958-9792-37D84186C5F8}" name="7" dataDxfId="83" totalsRowDxfId="84"/>
    <tableColumn id="17" xr3:uid="{3C5E9469-24AB-4CCF-9097-5413D53FE08B}" name="8" dataDxfId="81" totalsRowDxfId="82"/>
    <tableColumn id="25" xr3:uid="{DF31ADD6-D425-448A-84D6-24EA4C755749}" name="9" dataDxfId="79" totalsRowDxfId="80"/>
    <tableColumn id="24" xr3:uid="{C42F8972-B742-4D35-A952-3D872596299B}" name="10" dataDxfId="77" totalsRowDxfId="78"/>
    <tableColumn id="23" xr3:uid="{B41C44E2-038E-439D-88E8-97ACB7CC434D}" name="11" dataDxfId="75" totalsRowDxfId="76"/>
    <tableColumn id="16" xr3:uid="{6BD74C15-D3CF-47C3-AFCC-D562BF1584D8}" name="12" dataDxfId="73" totalsRowDxfId="74"/>
    <tableColumn id="26" xr3:uid="{3AA81C31-DC87-4EC0-8317-62466BCA688D}" name="13" dataDxfId="71" totalsRowDxfId="72"/>
    <tableColumn id="29" xr3:uid="{C0462957-AD6C-4B5C-8DE8-98D81D3496D1}" name="14" dataDxfId="69" totalsRowDxfId="70"/>
    <tableColumn id="30" xr3:uid="{91E73BB4-A5D3-4098-ADFA-7676E1DD74AC}" name="15" dataDxfId="67" totalsRowDxfId="68"/>
    <tableColumn id="27" xr3:uid="{7188DC63-0EDC-479C-8DF8-171846E035A9}" name="16" dataDxfId="65" totalsRowDxfId="66"/>
    <tableColumn id="28" xr3:uid="{902017B5-4692-492C-9165-FFBAA7A9EFA2}" name="17" dataDxfId="63" totalsRowDxfId="64"/>
    <tableColumn id="15" xr3:uid="{3A772841-0990-4D32-BD79-3A55F182D58A}" name="18" dataDxfId="61" totalsRowDxfId="62"/>
    <tableColumn id="13" xr3:uid="{5994AF1F-2C09-49F7-BEAE-5244545BE579}" name="19" dataDxfId="59" totalsRowDxfId="60"/>
    <tableColumn id="12" xr3:uid="{52D6369B-5841-4774-8BDE-05C74F09EAC1}" name="20" dataDxfId="57" totalsRowDxfId="58"/>
    <tableColumn id="31" xr3:uid="{C83E34E8-13E7-40AC-9737-31D4F44EA5C0}" name="21" dataDxfId="55" totalsRowDxfId="56"/>
    <tableColumn id="33" xr3:uid="{20040D15-F787-4792-8F8C-D184E466DD4A}" name="22" dataDxfId="53" totalsRowDxfId="54"/>
    <tableColumn id="39" xr3:uid="{874A0112-6044-4784-9336-AC836F681062}" name="23" dataDxfId="51" totalsRowDxfId="52"/>
    <tableColumn id="40" xr3:uid="{A335E465-437A-4DCA-AE73-6DBF20019402}" name="24" dataDxfId="49" totalsRowDxfId="50"/>
    <tableColumn id="41" xr3:uid="{723CE42E-61DF-4AF1-B805-025AD3796144}" name="25" dataDxfId="47" totalsRowDxfId="48"/>
    <tableColumn id="47" xr3:uid="{AC0C5112-91DB-476F-9326-03A00C1CC4D7}" name="26" dataDxfId="45" totalsRowDxfId="46"/>
    <tableColumn id="48" xr3:uid="{0CCD12DC-90CB-4A7B-B37F-0CDFD12C9E26}" name="27" dataDxfId="43" totalsRowDxfId="44"/>
    <tableColumn id="49" xr3:uid="{32093088-A6B1-4E81-8060-8081572AEB3C}" name="28" dataDxfId="41" totalsRowDxfId="42"/>
    <tableColumn id="50" xr3:uid="{E73E4046-D91C-4103-8FF5-CE3DABE5943E}" name="29" dataDxfId="39" totalsRowDxfId="40"/>
    <tableColumn id="42" xr3:uid="{7535B89E-1BDE-4FCD-8270-64B6BD553E66}" name="30" dataDxfId="37" totalsRowDxfId="38"/>
    <tableColumn id="43" xr3:uid="{0EF5131B-2964-41D8-8B4F-5CE8425A8E17}" name="31" dataDxfId="35" totalsRowDxfId="36"/>
    <tableColumn id="44" xr3:uid="{07794504-345E-44DA-BFFD-0FC011CA8C0C}" name="32" dataDxfId="33" totalsRowDxfId="34"/>
    <tableColumn id="45" xr3:uid="{742F74DB-184C-47F9-BC8D-88717E4EAAE9}" name="33" dataDxfId="31" totalsRowDxfId="32"/>
    <tableColumn id="46" xr3:uid="{6C4ACE81-DC94-4085-8445-2A590B8AC004}" name="34" dataDxfId="29" totalsRowDxfId="30"/>
    <tableColumn id="36" xr3:uid="{B8E7051A-604E-4DED-90C9-55AFE95C1751}" name="35" dataDxfId="27" totalsRowDxfId="28"/>
    <tableColumn id="37" xr3:uid="{D0A1BB8D-7A59-4F4C-9F61-A39E97785CEF}" name="36" dataDxfId="25" totalsRowDxfId="26"/>
    <tableColumn id="38" xr3:uid="{16A3E285-8C93-4999-A0E2-03857615F7A9}" name="37" dataDxfId="23" totalsRowDxfId="24"/>
    <tableColumn id="34" xr3:uid="{8FFD9156-81BC-4797-9171-05EBE094577A}" name="38" dataDxfId="21" totalsRowDxfId="22"/>
    <tableColumn id="35" xr3:uid="{399AED98-1FD4-4BCA-BA5E-1AF3891EC865}" name="39" dataDxfId="19" totalsRowDxfId="20"/>
    <tableColumn id="32" xr3:uid="{A8DF16A5-4D2C-4246-8D26-BA66F2E409B7}" name="40" dataDxfId="17" totalsRowDxfId="18"/>
    <tableColumn id="4" xr3:uid="{702BF576-18B9-4757-B976-A4C2C46CD578}" name="Type" dataDxfId="15" totalsRowDxfId="16"/>
    <tableColumn id="3" xr3:uid="{2DB9E3FB-FAB2-4AAE-92D3-3923415905C1}" name="Time" dataDxfId="13" totalsRowDxfId="14"/>
    <tableColumn id="7" xr3:uid="{09F84C56-CC9A-4AF7-B58F-B7114DD50367}" name="Job number" dataDxfId="11" totalsRowDxfId="12"/>
    <tableColumn id="8" xr3:uid="{56756BBB-4B3E-40A7-A199-808B905113E1}" name="Remark" dataDxfId="9" totalsRowDxfId="10"/>
    <tableColumn id="9" xr3:uid="{F7C0B8BF-1FB6-4BAE-AA82-F6E2C1E47535}" name="State" data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15" width="14.69140625" style="47" customWidth="1"/>
    <col min="16" max="19" width="14.69140625" style="47" hidden="1" customWidth="1"/>
    <col min="20" max="20" width="2.69140625" style="47" customWidth="1"/>
    <col min="21" max="53" width="9.15234375" style="47" hidden="1" customWidth="1"/>
    <col min="54" max="55" width="18.69140625" style="47" hidden="1" customWidth="1"/>
    <col min="56" max="56" width="60.69140625" style="47" hidden="1" customWidth="1"/>
    <col min="57" max="16384" width="9.15234375" style="47" hidden="1"/>
  </cols>
  <sheetData>
    <row r="1" spans="2:56" s="95" customFormat="1" ht="6" customHeight="1" x14ac:dyDescent="0.4"/>
    <row r="2" spans="2:56" s="96" customFormat="1" ht="10" customHeight="1" x14ac:dyDescent="0.4"/>
    <row r="3" spans="2:56" s="96" customFormat="1" ht="40" customHeight="1" x14ac:dyDescent="0.5">
      <c r="B3" s="97"/>
      <c r="C3" s="3" t="s">
        <v>246</v>
      </c>
    </row>
    <row r="4" spans="2:56" s="96" customFormat="1" ht="8.15" customHeight="1" x14ac:dyDescent="0.4">
      <c r="B4" s="97"/>
      <c r="C4" s="98"/>
    </row>
    <row r="5" spans="2:56" s="96" customFormat="1" ht="40" customHeight="1" x14ac:dyDescent="0.4">
      <c r="B5" s="97"/>
      <c r="C5" s="99" t="s">
        <v>50</v>
      </c>
    </row>
    <row r="6" spans="2:56" ht="16.5" customHeight="1" x14ac:dyDescent="0.4">
      <c r="G6" s="100"/>
      <c r="H6" s="100"/>
      <c r="I6" s="100"/>
      <c r="J6" s="100"/>
      <c r="K6" s="100"/>
    </row>
    <row r="7" spans="2:56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BB7" s="47" t="s">
        <v>435</v>
      </c>
    </row>
    <row r="8" spans="2:56" ht="8.15" customHeight="1" x14ac:dyDescent="0.4"/>
    <row r="9" spans="2:56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245</v>
      </c>
      <c r="H9" s="156" t="s">
        <v>84</v>
      </c>
      <c r="I9" s="156"/>
      <c r="J9" s="156"/>
      <c r="K9" s="157" t="s">
        <v>85</v>
      </c>
      <c r="L9" s="157"/>
      <c r="M9" s="157"/>
      <c r="N9" s="157" t="s">
        <v>411</v>
      </c>
      <c r="O9" s="157"/>
      <c r="P9" s="157" t="s">
        <v>408</v>
      </c>
      <c r="Q9" s="157"/>
      <c r="R9" s="157"/>
      <c r="S9" s="157"/>
      <c r="BB9" s="47" t="s">
        <v>432</v>
      </c>
      <c r="BC9" s="47" t="s">
        <v>433</v>
      </c>
      <c r="BD9" s="47" t="s">
        <v>434</v>
      </c>
    </row>
    <row r="10" spans="2:56" ht="55" customHeight="1" x14ac:dyDescent="0.4">
      <c r="B10" s="101"/>
      <c r="C10" s="102"/>
      <c r="D10" s="105" t="s">
        <v>255</v>
      </c>
      <c r="E10" s="105" t="s">
        <v>254</v>
      </c>
      <c r="F10" s="105" t="s">
        <v>244</v>
      </c>
      <c r="G10" s="106" t="s">
        <v>81</v>
      </c>
      <c r="H10" s="105" t="s">
        <v>251</v>
      </c>
      <c r="I10" s="105" t="s">
        <v>82</v>
      </c>
      <c r="J10" s="105" t="s">
        <v>83</v>
      </c>
      <c r="K10" s="105" t="s">
        <v>250</v>
      </c>
      <c r="L10" s="105" t="s">
        <v>252</v>
      </c>
      <c r="M10" s="105" t="s">
        <v>253</v>
      </c>
      <c r="N10" s="105" t="s">
        <v>409</v>
      </c>
      <c r="O10" s="105" t="s">
        <v>410</v>
      </c>
      <c r="P10" s="151" t="s">
        <v>270</v>
      </c>
      <c r="Q10" s="151" t="s">
        <v>271</v>
      </c>
      <c r="R10" s="151" t="s">
        <v>272</v>
      </c>
      <c r="S10" s="151" t="s">
        <v>273</v>
      </c>
      <c r="BC10" s="47" t="s">
        <v>430</v>
      </c>
      <c r="BD10" s="47" t="s">
        <v>88</v>
      </c>
    </row>
    <row r="11" spans="2:56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identifier]],Store_History[Type],$D$74)</f>
        <v>0</v>
      </c>
      <c r="M11" s="111">
        <f>SUMIFS(Store_History[Quantity],Store_History[Unique identifier],Store_Setting[[#This Row],[Unique
identifier]],Store_History[Type],$E$74)</f>
        <v>0</v>
      </c>
      <c r="N11" s="62" t="s">
        <v>88</v>
      </c>
      <c r="O11" s="62" t="s">
        <v>88</v>
      </c>
      <c r="P11" s="19" t="s">
        <v>274</v>
      </c>
      <c r="Q11" s="19" t="s">
        <v>275</v>
      </c>
      <c r="R11" s="19" t="s">
        <v>276</v>
      </c>
      <c r="S11" s="19" t="s">
        <v>277</v>
      </c>
      <c r="BC11" s="47" t="s">
        <v>431</v>
      </c>
      <c r="BD11" s="47" t="s">
        <v>89</v>
      </c>
    </row>
    <row r="12" spans="2:56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identifier]],Store_History[Type],$D$74)</f>
        <v>0</v>
      </c>
      <c r="M12" s="111">
        <f>SUMIFS(Store_History[Quantity],Store_History[Unique identifier],Store_Setting[[#This Row],[Unique
identifier]],Store_History[Type],$E$74)</f>
        <v>0</v>
      </c>
      <c r="N12" s="62" t="s">
        <v>88</v>
      </c>
      <c r="O12" s="62" t="s">
        <v>88</v>
      </c>
      <c r="P12" s="19" t="s">
        <v>278</v>
      </c>
      <c r="Q12" s="19" t="s">
        <v>279</v>
      </c>
      <c r="R12" s="19" t="s">
        <v>280</v>
      </c>
      <c r="S12" s="19" t="s">
        <v>275</v>
      </c>
      <c r="BD12" s="47" t="s">
        <v>99</v>
      </c>
    </row>
    <row r="13" spans="2:56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identifier]],Store_History[Type],$D$74)</f>
        <v>0</v>
      </c>
      <c r="M13" s="111">
        <f>SUMIFS(Store_History[Quantity],Store_History[Unique identifier],Store_Setting[[#This Row],[Unique
identifier]],Store_History[Type],$E$74)</f>
        <v>0</v>
      </c>
      <c r="N13" s="62" t="s">
        <v>88</v>
      </c>
      <c r="O13" s="62" t="s">
        <v>88</v>
      </c>
      <c r="P13" s="19" t="s">
        <v>281</v>
      </c>
      <c r="Q13" s="19" t="s">
        <v>282</v>
      </c>
      <c r="R13" s="19" t="s">
        <v>283</v>
      </c>
      <c r="S13" s="19" t="s">
        <v>276</v>
      </c>
      <c r="BD13" s="47" t="s">
        <v>436</v>
      </c>
    </row>
    <row r="14" spans="2:56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identifier]],Store_History[Type],$D$74)</f>
        <v>0</v>
      </c>
      <c r="M14" s="111">
        <f>SUMIFS(Store_History[Quantity],Store_History[Unique identifier],Store_Setting[[#This Row],[Unique
identifier]],Store_History[Type],$E$74)</f>
        <v>0</v>
      </c>
      <c r="N14" s="62" t="s">
        <v>88</v>
      </c>
      <c r="O14" s="62" t="s">
        <v>88</v>
      </c>
      <c r="P14" s="19" t="s">
        <v>284</v>
      </c>
      <c r="Q14" s="19" t="s">
        <v>285</v>
      </c>
      <c r="R14" s="19" t="s">
        <v>286</v>
      </c>
      <c r="S14" s="19" t="s">
        <v>287</v>
      </c>
      <c r="BD14" s="47" t="s">
        <v>437</v>
      </c>
    </row>
    <row r="15" spans="2:56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identifier]],Store_History[Type],$D$74)</f>
        <v>0</v>
      </c>
      <c r="M15" s="111">
        <f>SUMIFS(Store_History[Quantity],Store_History[Unique identifier],Store_Setting[[#This Row],[Unique
identifier]],Store_History[Type],$E$74)</f>
        <v>0</v>
      </c>
      <c r="N15" s="62" t="s">
        <v>88</v>
      </c>
      <c r="O15" s="62" t="s">
        <v>88</v>
      </c>
      <c r="P15" s="19" t="s">
        <v>288</v>
      </c>
      <c r="Q15" s="19" t="s">
        <v>289</v>
      </c>
      <c r="R15" s="19" t="s">
        <v>290</v>
      </c>
      <c r="S15" s="19" t="s">
        <v>279</v>
      </c>
      <c r="BD15" s="47" t="s">
        <v>438</v>
      </c>
    </row>
    <row r="16" spans="2:56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identifier]],Store_History[Type],$D$74)</f>
        <v>0</v>
      </c>
      <c r="M16" s="111">
        <f>SUMIFS(Store_History[Quantity],Store_History[Unique identifier],Store_Setting[[#This Row],[Unique
identifier]],Store_History[Type],$E$74)</f>
        <v>0</v>
      </c>
      <c r="N16" s="62" t="s">
        <v>88</v>
      </c>
      <c r="O16" s="62" t="s">
        <v>88</v>
      </c>
      <c r="P16" s="19" t="s">
        <v>291</v>
      </c>
      <c r="Q16" s="19" t="s">
        <v>292</v>
      </c>
      <c r="R16" s="19" t="s">
        <v>293</v>
      </c>
      <c r="S16" s="19" t="s">
        <v>280</v>
      </c>
      <c r="BD16" s="47" t="s">
        <v>439</v>
      </c>
    </row>
    <row r="17" spans="2:56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identifier]],Store_History[Type],$D$74)</f>
        <v>0</v>
      </c>
      <c r="M17" s="111">
        <f>SUMIFS(Store_History[Quantity],Store_History[Unique identifier],Store_Setting[[#This Row],[Unique
identifier]],Store_History[Type],$E$74)</f>
        <v>0</v>
      </c>
      <c r="N17" s="62" t="s">
        <v>88</v>
      </c>
      <c r="O17" s="62" t="s">
        <v>88</v>
      </c>
      <c r="P17" s="19" t="s">
        <v>294</v>
      </c>
      <c r="Q17" s="19" t="s">
        <v>295</v>
      </c>
      <c r="R17" s="19" t="s">
        <v>296</v>
      </c>
      <c r="S17" s="19" t="s">
        <v>297</v>
      </c>
      <c r="BD17" s="47" t="s">
        <v>416</v>
      </c>
    </row>
    <row r="18" spans="2:56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identifier]],Store_History[Type],$D$74)</f>
        <v>0</v>
      </c>
      <c r="M18" s="111">
        <f>SUMIFS(Store_History[Quantity],Store_History[Unique identifier],Store_Setting[[#This Row],[Unique
identifier]],Store_History[Type],$E$74)</f>
        <v>0</v>
      </c>
      <c r="N18" s="62" t="s">
        <v>88</v>
      </c>
      <c r="O18" s="62" t="s">
        <v>88</v>
      </c>
      <c r="P18" s="19" t="s">
        <v>298</v>
      </c>
      <c r="Q18" s="19" t="s">
        <v>299</v>
      </c>
      <c r="R18" s="19" t="s">
        <v>300</v>
      </c>
      <c r="S18" s="19" t="s">
        <v>282</v>
      </c>
      <c r="BD18" s="47" t="s">
        <v>440</v>
      </c>
    </row>
    <row r="19" spans="2:56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identifier]],Store_History[Type],$D$74)</f>
        <v>0</v>
      </c>
      <c r="M19" s="111">
        <f>SUMIFS(Store_History[Quantity],Store_History[Unique identifier],Store_Setting[[#This Row],[Unique
identifier]],Store_History[Type],$E$74)</f>
        <v>0</v>
      </c>
      <c r="N19" s="62" t="s">
        <v>88</v>
      </c>
      <c r="O19" s="62" t="s">
        <v>88</v>
      </c>
      <c r="P19" s="19" t="s">
        <v>301</v>
      </c>
      <c r="Q19" s="19" t="s">
        <v>302</v>
      </c>
      <c r="R19" s="19" t="s">
        <v>303</v>
      </c>
      <c r="S19" s="19" t="s">
        <v>283</v>
      </c>
      <c r="BD19" s="47" t="s">
        <v>441</v>
      </c>
    </row>
    <row r="20" spans="2:56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identifier]],Store_History[Type],$D$74)</f>
        <v>0</v>
      </c>
      <c r="M20" s="111">
        <f>SUMIFS(Store_History[Quantity],Store_History[Unique identifier],Store_Setting[[#This Row],[Unique
identifier]],Store_History[Type],$E$74)</f>
        <v>0</v>
      </c>
      <c r="N20" s="62" t="s">
        <v>88</v>
      </c>
      <c r="O20" s="62" t="s">
        <v>88</v>
      </c>
      <c r="P20" s="19" t="s">
        <v>304</v>
      </c>
      <c r="Q20" s="19" t="s">
        <v>305</v>
      </c>
      <c r="R20" s="19" t="s">
        <v>306</v>
      </c>
      <c r="S20" s="19" t="s">
        <v>307</v>
      </c>
      <c r="BD20" s="47" t="s">
        <v>426</v>
      </c>
    </row>
    <row r="21" spans="2:56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identifier]],Store_History[Type],$D$74)</f>
        <v>0</v>
      </c>
      <c r="M21" s="111">
        <f>SUMIFS(Store_History[Quantity],Store_History[Unique identifier],Store_Setting[[#This Row],[Unique
identifier]],Store_History[Type],$E$74)</f>
        <v>0</v>
      </c>
      <c r="N21" s="62" t="s">
        <v>88</v>
      </c>
      <c r="O21" s="62" t="s">
        <v>88</v>
      </c>
      <c r="P21" s="19" t="s">
        <v>308</v>
      </c>
      <c r="Q21" s="19" t="s">
        <v>309</v>
      </c>
      <c r="R21" s="19" t="s">
        <v>310</v>
      </c>
      <c r="S21" s="19" t="s">
        <v>285</v>
      </c>
      <c r="BD21" s="47" t="s">
        <v>103</v>
      </c>
    </row>
    <row r="22" spans="2:56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identifier]],Store_History[Type],$D$74)</f>
        <v>0</v>
      </c>
      <c r="M22" s="111">
        <f>SUMIFS(Store_History[Quantity],Store_History[Unique identifier],Store_Setting[[#This Row],[Unique
identifier]],Store_History[Type],$E$74)</f>
        <v>0</v>
      </c>
      <c r="N22" s="62" t="s">
        <v>88</v>
      </c>
      <c r="O22" s="62" t="s">
        <v>88</v>
      </c>
      <c r="P22" s="19" t="s">
        <v>311</v>
      </c>
      <c r="Q22" s="19" t="s">
        <v>312</v>
      </c>
      <c r="R22" s="19" t="s">
        <v>313</v>
      </c>
      <c r="S22" s="19" t="s">
        <v>286</v>
      </c>
      <c r="BB22" s="47" t="s">
        <v>442</v>
      </c>
      <c r="BD22" s="47" t="s">
        <v>444</v>
      </c>
    </row>
    <row r="23" spans="2:56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identifier]],Store_History[Type],$D$74)</f>
        <v>0</v>
      </c>
      <c r="M23" s="111">
        <f>SUMIFS(Store_History[Quantity],Store_History[Unique identifier],Store_Setting[[#This Row],[Unique
identifier]],Store_History[Type],$E$74)</f>
        <v>0</v>
      </c>
      <c r="N23" s="62" t="s">
        <v>88</v>
      </c>
      <c r="O23" s="62" t="s">
        <v>88</v>
      </c>
      <c r="P23" s="19" t="s">
        <v>314</v>
      </c>
      <c r="Q23" s="19" t="s">
        <v>315</v>
      </c>
      <c r="R23" s="19" t="s">
        <v>316</v>
      </c>
      <c r="S23" s="19" t="s">
        <v>317</v>
      </c>
      <c r="BD23" s="47" t="s">
        <v>445</v>
      </c>
    </row>
    <row r="24" spans="2:56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identifier]],Store_History[Type],$D$74)</f>
        <v>0</v>
      </c>
      <c r="M24" s="111">
        <f>SUMIFS(Store_History[Quantity],Store_History[Unique identifier],Store_Setting[[#This Row],[Unique
identifier]],Store_History[Type],$E$74)</f>
        <v>0</v>
      </c>
      <c r="N24" s="62" t="s">
        <v>88</v>
      </c>
      <c r="O24" s="62" t="s">
        <v>88</v>
      </c>
      <c r="P24" s="19" t="s">
        <v>318</v>
      </c>
      <c r="Q24" s="19" t="s">
        <v>319</v>
      </c>
      <c r="R24" s="19" t="s">
        <v>320</v>
      </c>
      <c r="S24" s="19" t="s">
        <v>289</v>
      </c>
      <c r="BD24" s="47" t="s">
        <v>446</v>
      </c>
    </row>
    <row r="25" spans="2:56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identifier]],Store_History[Type],$D$74)</f>
        <v>0</v>
      </c>
      <c r="M25" s="111">
        <f>SUMIFS(Store_History[Quantity],Store_History[Unique identifier],Store_Setting[[#This Row],[Unique
identifier]],Store_History[Type],$E$74)</f>
        <v>0</v>
      </c>
      <c r="N25" s="62" t="s">
        <v>88</v>
      </c>
      <c r="O25" s="62" t="s">
        <v>88</v>
      </c>
      <c r="P25" s="19" t="s">
        <v>321</v>
      </c>
      <c r="Q25" s="19" t="s">
        <v>322</v>
      </c>
      <c r="R25" s="19" t="s">
        <v>323</v>
      </c>
      <c r="S25" s="19" t="s">
        <v>290</v>
      </c>
      <c r="BB25" s="47" t="s">
        <v>443</v>
      </c>
      <c r="BD25" s="47" t="s">
        <v>447</v>
      </c>
    </row>
    <row r="26" spans="2:56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identifier]],Store_History[Type],$D$74)</f>
        <v>0</v>
      </c>
      <c r="M26" s="111">
        <f>SUMIFS(Store_History[Quantity],Store_History[Unique identifier],Store_Setting[[#This Row],[Unique
identifier]],Store_History[Type],$E$74)</f>
        <v>0</v>
      </c>
      <c r="N26" s="62" t="s">
        <v>88</v>
      </c>
      <c r="O26" s="62" t="s">
        <v>88</v>
      </c>
      <c r="P26" s="19" t="s">
        <v>324</v>
      </c>
      <c r="Q26" s="19" t="s">
        <v>325</v>
      </c>
      <c r="R26" s="19" t="s">
        <v>326</v>
      </c>
      <c r="S26" s="19" t="s">
        <v>327</v>
      </c>
      <c r="BD26" s="47" t="s">
        <v>448</v>
      </c>
    </row>
    <row r="27" spans="2:56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identifier]],Store_History[Type],$D$74)</f>
        <v>0</v>
      </c>
      <c r="M27" s="111">
        <f>SUMIFS(Store_History[Quantity],Store_History[Unique identifier],Store_Setting[[#This Row],[Unique
identifier]],Store_History[Type],$E$74)</f>
        <v>0</v>
      </c>
      <c r="N27" s="62" t="s">
        <v>88</v>
      </c>
      <c r="O27" s="62" t="s">
        <v>88</v>
      </c>
      <c r="P27" s="19" t="s">
        <v>328</v>
      </c>
      <c r="Q27" s="19" t="s">
        <v>329</v>
      </c>
      <c r="R27" s="19" t="s">
        <v>330</v>
      </c>
      <c r="S27" s="19" t="s">
        <v>292</v>
      </c>
      <c r="BD27" s="47" t="s">
        <v>449</v>
      </c>
    </row>
    <row r="28" spans="2:56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identifier]],Store_History[Type],$D$74)</f>
        <v>0</v>
      </c>
      <c r="M28" s="111">
        <f>SUMIFS(Store_History[Quantity],Store_History[Unique identifier],Store_Setting[[#This Row],[Unique
identifier]],Store_History[Type],$E$74)</f>
        <v>0</v>
      </c>
      <c r="N28" s="62" t="s">
        <v>88</v>
      </c>
      <c r="O28" s="62" t="s">
        <v>88</v>
      </c>
      <c r="P28" s="19" t="s">
        <v>331</v>
      </c>
      <c r="Q28" s="19" t="s">
        <v>332</v>
      </c>
      <c r="R28" s="19" t="s">
        <v>333</v>
      </c>
      <c r="S28" s="19" t="s">
        <v>293</v>
      </c>
      <c r="BD28" s="47" t="s">
        <v>450</v>
      </c>
    </row>
    <row r="29" spans="2:56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identifier]],Store_History[Type],$D$74)</f>
        <v>0</v>
      </c>
      <c r="M29" s="111">
        <f>SUMIFS(Store_History[Quantity],Store_History[Unique identifier],Store_Setting[[#This Row],[Unique
identifier]],Store_History[Type],$E$74)</f>
        <v>0</v>
      </c>
      <c r="N29" s="62" t="s">
        <v>88</v>
      </c>
      <c r="O29" s="62" t="s">
        <v>88</v>
      </c>
      <c r="P29" s="19" t="s">
        <v>334</v>
      </c>
      <c r="Q29" s="19" t="s">
        <v>335</v>
      </c>
      <c r="R29" s="19" t="s">
        <v>336</v>
      </c>
      <c r="S29" s="19" t="s">
        <v>337</v>
      </c>
      <c r="BD29" s="47" t="s">
        <v>451</v>
      </c>
    </row>
    <row r="30" spans="2:56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identifier]],Store_History[Type],$D$74)</f>
        <v>0</v>
      </c>
      <c r="M30" s="111">
        <f>SUMIFS(Store_History[Quantity],Store_History[Unique identifier],Store_Setting[[#This Row],[Unique
identifier]],Store_History[Type],$E$74)</f>
        <v>0</v>
      </c>
      <c r="N30" s="62" t="s">
        <v>88</v>
      </c>
      <c r="O30" s="62" t="s">
        <v>88</v>
      </c>
      <c r="P30" s="19" t="s">
        <v>338</v>
      </c>
      <c r="Q30" s="19" t="s">
        <v>339</v>
      </c>
      <c r="R30" s="19" t="s">
        <v>340</v>
      </c>
      <c r="S30" s="19" t="s">
        <v>295</v>
      </c>
      <c r="BD30" s="47" t="s">
        <v>452</v>
      </c>
    </row>
    <row r="31" spans="2:56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identifier]],Store_History[Type],$D$74)</f>
        <v>0</v>
      </c>
      <c r="M31" s="111">
        <f>SUMIFS(Store_History[Quantity],Store_History[Unique identifier],Store_Setting[[#This Row],[Unique
identifier]],Store_History[Type],$E$74)</f>
        <v>0</v>
      </c>
      <c r="N31" s="62" t="s">
        <v>88</v>
      </c>
      <c r="O31" s="62" t="s">
        <v>88</v>
      </c>
      <c r="P31" s="19" t="s">
        <v>341</v>
      </c>
      <c r="Q31" s="19" t="s">
        <v>342</v>
      </c>
      <c r="R31" s="19" t="s">
        <v>343</v>
      </c>
      <c r="S31" s="19" t="s">
        <v>296</v>
      </c>
      <c r="BD31" s="47" t="s">
        <v>453</v>
      </c>
    </row>
    <row r="32" spans="2:56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identifier]],Store_History[Type],$D$74)</f>
        <v>0</v>
      </c>
      <c r="M32" s="111">
        <f>SUMIFS(Store_History[Quantity],Store_History[Unique identifier],Store_Setting[[#This Row],[Unique
identifier]],Store_History[Type],$E$74)</f>
        <v>0</v>
      </c>
      <c r="N32" s="62" t="s">
        <v>88</v>
      </c>
      <c r="O32" s="62" t="s">
        <v>88</v>
      </c>
      <c r="P32" s="19" t="s">
        <v>344</v>
      </c>
      <c r="Q32" s="19" t="s">
        <v>345</v>
      </c>
      <c r="R32" s="19" t="s">
        <v>346</v>
      </c>
      <c r="S32" s="19" t="s">
        <v>347</v>
      </c>
      <c r="BD32" s="47" t="s">
        <v>454</v>
      </c>
    </row>
    <row r="33" spans="2:56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identifier]],Store_History[Type],$D$74)</f>
        <v>0</v>
      </c>
      <c r="M33" s="111">
        <f>SUMIFS(Store_History[Quantity],Store_History[Unique identifier],Store_Setting[[#This Row],[Unique
identifier]],Store_History[Type],$E$74)</f>
        <v>0</v>
      </c>
      <c r="N33" s="62" t="s">
        <v>88</v>
      </c>
      <c r="O33" s="62" t="s">
        <v>88</v>
      </c>
      <c r="P33" s="19" t="s">
        <v>348</v>
      </c>
      <c r="Q33" s="19" t="s">
        <v>349</v>
      </c>
      <c r="R33" s="19" t="s">
        <v>350</v>
      </c>
      <c r="S33" s="19" t="s">
        <v>299</v>
      </c>
      <c r="BD33" s="47" t="s">
        <v>455</v>
      </c>
    </row>
    <row r="34" spans="2:56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identifier]],Store_History[Type],$D$74)</f>
        <v>0</v>
      </c>
      <c r="M34" s="111">
        <f>SUMIFS(Store_History[Quantity],Store_History[Unique identifier],Store_Setting[[#This Row],[Unique
identifier]],Store_History[Type],$E$74)</f>
        <v>0</v>
      </c>
      <c r="N34" s="62" t="s">
        <v>88</v>
      </c>
      <c r="O34" s="62" t="s">
        <v>88</v>
      </c>
      <c r="P34" s="19" t="s">
        <v>351</v>
      </c>
      <c r="Q34" s="19" t="s">
        <v>352</v>
      </c>
      <c r="R34" s="19" t="s">
        <v>353</v>
      </c>
      <c r="S34" s="19" t="s">
        <v>300</v>
      </c>
      <c r="BD34" s="47" t="s">
        <v>456</v>
      </c>
    </row>
    <row r="35" spans="2:56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identifier]],Store_History[Type],$D$74)</f>
        <v>0</v>
      </c>
      <c r="M35" s="111">
        <f>SUMIFS(Store_History[Quantity],Store_History[Unique identifier],Store_Setting[[#This Row],[Unique
identifier]],Store_History[Type],$E$74)</f>
        <v>0</v>
      </c>
      <c r="N35" s="62" t="s">
        <v>88</v>
      </c>
      <c r="O35" s="62" t="s">
        <v>88</v>
      </c>
      <c r="P35" s="19" t="s">
        <v>354</v>
      </c>
      <c r="Q35" s="19" t="s">
        <v>355</v>
      </c>
      <c r="R35" s="19" t="s">
        <v>356</v>
      </c>
      <c r="S35" s="19" t="s">
        <v>357</v>
      </c>
      <c r="BB35" s="47" t="s">
        <v>199</v>
      </c>
      <c r="BD35" s="47" t="s">
        <v>457</v>
      </c>
    </row>
    <row r="36" spans="2:56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identifier]],Store_History[Type],$D$74)</f>
        <v>0</v>
      </c>
      <c r="M36" s="111">
        <f>SUMIFS(Store_History[Quantity],Store_History[Unique identifier],Store_Setting[[#This Row],[Unique
identifier]],Store_History[Type],$E$74)</f>
        <v>0</v>
      </c>
      <c r="N36" s="62" t="s">
        <v>88</v>
      </c>
      <c r="O36" s="62" t="s">
        <v>88</v>
      </c>
      <c r="P36" s="19" t="s">
        <v>358</v>
      </c>
      <c r="Q36" s="19" t="s">
        <v>359</v>
      </c>
      <c r="R36" s="19" t="s">
        <v>360</v>
      </c>
      <c r="S36" s="19" t="s">
        <v>302</v>
      </c>
      <c r="BD36" s="47" t="s">
        <v>458</v>
      </c>
    </row>
    <row r="37" spans="2:56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identifier]],Store_History[Type],$D$74)</f>
        <v>0</v>
      </c>
      <c r="M37" s="111">
        <f>SUMIFS(Store_History[Quantity],Store_History[Unique identifier],Store_Setting[[#This Row],[Unique
identifier]],Store_History[Type],$E$74)</f>
        <v>0</v>
      </c>
      <c r="N37" s="62" t="s">
        <v>88</v>
      </c>
      <c r="O37" s="62" t="s">
        <v>88</v>
      </c>
      <c r="P37" s="19" t="s">
        <v>361</v>
      </c>
      <c r="Q37" s="19" t="s">
        <v>362</v>
      </c>
      <c r="R37" s="19" t="s">
        <v>363</v>
      </c>
      <c r="S37" s="19" t="s">
        <v>303</v>
      </c>
    </row>
    <row r="38" spans="2:56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identifier]],Store_History[Type],$D$74)</f>
        <v>0</v>
      </c>
      <c r="M38" s="111">
        <f>SUMIFS(Store_History[Quantity],Store_History[Unique identifier],Store_Setting[[#This Row],[Unique
identifier]],Store_History[Type],$E$74)</f>
        <v>0</v>
      </c>
      <c r="N38" s="62" t="s">
        <v>88</v>
      </c>
      <c r="O38" s="62" t="s">
        <v>88</v>
      </c>
      <c r="P38" s="19" t="s">
        <v>364</v>
      </c>
      <c r="Q38" s="19" t="s">
        <v>365</v>
      </c>
      <c r="R38" s="19" t="s">
        <v>366</v>
      </c>
      <c r="S38" s="19" t="s">
        <v>367</v>
      </c>
    </row>
    <row r="39" spans="2:56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identifier]],Store_History[Type],$D$74)</f>
        <v>0</v>
      </c>
      <c r="M39" s="111">
        <f>SUMIFS(Store_History[Quantity],Store_History[Unique identifier],Store_Setting[[#This Row],[Unique
identifier]],Store_History[Type],$E$74)</f>
        <v>0</v>
      </c>
      <c r="N39" s="62" t="s">
        <v>88</v>
      </c>
      <c r="O39" s="62" t="s">
        <v>88</v>
      </c>
      <c r="P39" s="19" t="s">
        <v>368</v>
      </c>
      <c r="Q39" s="19" t="s">
        <v>369</v>
      </c>
      <c r="R39" s="19" t="s">
        <v>370</v>
      </c>
      <c r="S39" s="19" t="s">
        <v>305</v>
      </c>
    </row>
    <row r="40" spans="2:56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identifier]],Store_History[Type],$D$74)</f>
        <v>0</v>
      </c>
      <c r="M40" s="111">
        <f>SUMIFS(Store_History[Quantity],Store_History[Unique identifier],Store_Setting[[#This Row],[Unique
identifier]],Store_History[Type],$E$74)</f>
        <v>0</v>
      </c>
      <c r="N40" s="62" t="s">
        <v>88</v>
      </c>
      <c r="O40" s="62" t="s">
        <v>88</v>
      </c>
      <c r="P40" s="19" t="s">
        <v>371</v>
      </c>
      <c r="Q40" s="19" t="s">
        <v>372</v>
      </c>
      <c r="R40" s="19" t="s">
        <v>373</v>
      </c>
      <c r="S40" s="19" t="s">
        <v>306</v>
      </c>
    </row>
    <row r="41" spans="2:56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identifier]],Store_History[Type],$D$74)</f>
        <v>0</v>
      </c>
      <c r="M41" s="111">
        <f>SUMIFS(Store_History[Quantity],Store_History[Unique identifier],Store_Setting[[#This Row],[Unique
identifier]],Store_History[Type],$E$74)</f>
        <v>0</v>
      </c>
      <c r="N41" s="62" t="s">
        <v>88</v>
      </c>
      <c r="O41" s="62" t="s">
        <v>88</v>
      </c>
      <c r="P41" s="19" t="s">
        <v>374</v>
      </c>
      <c r="Q41" s="19" t="s">
        <v>375</v>
      </c>
      <c r="R41" s="19" t="s">
        <v>376</v>
      </c>
      <c r="S41" s="19" t="s">
        <v>377</v>
      </c>
    </row>
    <row r="42" spans="2:56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identifier]],Store_History[Type],$D$74)</f>
        <v>0</v>
      </c>
      <c r="M42" s="111">
        <f>SUMIFS(Store_History[Quantity],Store_History[Unique identifier],Store_Setting[[#This Row],[Unique
identifier]],Store_History[Type],$E$74)</f>
        <v>0</v>
      </c>
      <c r="N42" s="62" t="s">
        <v>88</v>
      </c>
      <c r="O42" s="62" t="s">
        <v>88</v>
      </c>
      <c r="P42" s="19" t="s">
        <v>378</v>
      </c>
      <c r="Q42" s="19" t="s">
        <v>379</v>
      </c>
      <c r="R42" s="19" t="s">
        <v>380</v>
      </c>
      <c r="S42" s="19" t="s">
        <v>309</v>
      </c>
    </row>
    <row r="43" spans="2:56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identifier]],Store_History[Type],$D$74)</f>
        <v>0</v>
      </c>
      <c r="M43" s="111">
        <f>SUMIFS(Store_History[Quantity],Store_History[Unique identifier],Store_Setting[[#This Row],[Unique
identifier]],Store_History[Type],$E$74)</f>
        <v>0</v>
      </c>
      <c r="N43" s="62" t="s">
        <v>88</v>
      </c>
      <c r="O43" s="62" t="s">
        <v>88</v>
      </c>
      <c r="P43" s="19" t="s">
        <v>381</v>
      </c>
      <c r="Q43" s="19" t="s">
        <v>382</v>
      </c>
      <c r="R43" s="19" t="s">
        <v>383</v>
      </c>
      <c r="S43" s="19" t="s">
        <v>310</v>
      </c>
    </row>
    <row r="44" spans="2:56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identifier]],Store_History[Type],$D$74)</f>
        <v>0</v>
      </c>
      <c r="M44" s="111">
        <f>SUMIFS(Store_History[Quantity],Store_History[Unique identifier],Store_Setting[[#This Row],[Unique
identifier]],Store_History[Type],$E$74)</f>
        <v>0</v>
      </c>
      <c r="N44" s="62" t="s">
        <v>88</v>
      </c>
      <c r="O44" s="62" t="s">
        <v>88</v>
      </c>
      <c r="P44" s="19" t="s">
        <v>384</v>
      </c>
      <c r="Q44" s="19" t="s">
        <v>385</v>
      </c>
      <c r="R44" s="19" t="s">
        <v>386</v>
      </c>
      <c r="S44" s="19" t="s">
        <v>387</v>
      </c>
    </row>
    <row r="45" spans="2:56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identifier]],Store_History[Type],$D$74)</f>
        <v>0</v>
      </c>
      <c r="M45" s="111">
        <f>SUMIFS(Store_History[Quantity],Store_History[Unique identifier],Store_Setting[[#This Row],[Unique
identifier]],Store_History[Type],$E$74)</f>
        <v>0</v>
      </c>
      <c r="N45" s="62" t="s">
        <v>88</v>
      </c>
      <c r="O45" s="62" t="s">
        <v>88</v>
      </c>
      <c r="P45" s="19" t="s">
        <v>388</v>
      </c>
      <c r="Q45" s="19" t="s">
        <v>389</v>
      </c>
      <c r="R45" s="19" t="s">
        <v>390</v>
      </c>
      <c r="S45" s="19" t="s">
        <v>312</v>
      </c>
    </row>
    <row r="46" spans="2:56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identifier]],Store_History[Type],$D$74)</f>
        <v>0</v>
      </c>
      <c r="M46" s="111">
        <f>SUMIFS(Store_History[Quantity],Store_History[Unique identifier],Store_Setting[[#This Row],[Unique
identifier]],Store_History[Type],$E$74)</f>
        <v>0</v>
      </c>
      <c r="N46" s="62" t="s">
        <v>88</v>
      </c>
      <c r="O46" s="62" t="s">
        <v>88</v>
      </c>
      <c r="P46" s="19" t="s">
        <v>391</v>
      </c>
      <c r="Q46" s="19" t="s">
        <v>392</v>
      </c>
      <c r="R46" s="19" t="s">
        <v>393</v>
      </c>
      <c r="S46" s="19" t="s">
        <v>313</v>
      </c>
    </row>
    <row r="47" spans="2:56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identifier]],Store_History[Type],$D$74)</f>
        <v>0</v>
      </c>
      <c r="M47" s="111">
        <f>SUMIFS(Store_History[Quantity],Store_History[Unique identifier],Store_Setting[[#This Row],[Unique
identifier]],Store_History[Type],$E$74)</f>
        <v>0</v>
      </c>
      <c r="N47" s="62" t="s">
        <v>88</v>
      </c>
      <c r="O47" s="62" t="s">
        <v>88</v>
      </c>
      <c r="P47" s="19" t="s">
        <v>394</v>
      </c>
      <c r="Q47" s="19" t="s">
        <v>395</v>
      </c>
      <c r="R47" s="19" t="s">
        <v>396</v>
      </c>
      <c r="S47" s="19" t="s">
        <v>397</v>
      </c>
    </row>
    <row r="48" spans="2:56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identifier]],Store_History[Type],$D$74)</f>
        <v>0</v>
      </c>
      <c r="M48" s="111">
        <f>SUMIFS(Store_History[Quantity],Store_History[Unique identifier],Store_Setting[[#This Row],[Unique
identifier]],Store_History[Type],$E$74)</f>
        <v>0</v>
      </c>
      <c r="N48" s="62" t="s">
        <v>88</v>
      </c>
      <c r="O48" s="62" t="s">
        <v>88</v>
      </c>
      <c r="P48" s="19" t="s">
        <v>398</v>
      </c>
      <c r="Q48" s="19" t="s">
        <v>399</v>
      </c>
      <c r="R48" s="19" t="s">
        <v>400</v>
      </c>
      <c r="S48" s="19" t="s">
        <v>315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identifier]],Store_History[Type],$D$74)</f>
        <v>0</v>
      </c>
      <c r="M49" s="111">
        <f>SUMIFS(Store_History[Quantity],Store_History[Unique identifier],Store_Setting[[#This Row],[Unique
identifier]],Store_History[Type],$E$74)</f>
        <v>0</v>
      </c>
      <c r="N49" s="62" t="s">
        <v>88</v>
      </c>
      <c r="O49" s="62" t="s">
        <v>88</v>
      </c>
      <c r="P49" s="19" t="s">
        <v>401</v>
      </c>
      <c r="Q49" s="19" t="s">
        <v>402</v>
      </c>
      <c r="R49" s="19" t="s">
        <v>403</v>
      </c>
      <c r="S49" s="19" t="s">
        <v>316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identifier]],Store_History[Type],$D$74)</f>
        <v>0</v>
      </c>
      <c r="M50" s="111">
        <f>SUMIFS(Store_History[Quantity],Store_History[Unique identifier],Store_Setting[[#This Row],[Unique
identifier]],Store_History[Type],$E$74)</f>
        <v>0</v>
      </c>
      <c r="N50" s="62" t="s">
        <v>88</v>
      </c>
      <c r="O50" s="62" t="s">
        <v>88</v>
      </c>
      <c r="P50" s="19" t="s">
        <v>404</v>
      </c>
      <c r="Q50" s="19" t="s">
        <v>405</v>
      </c>
      <c r="R50" s="19" t="s">
        <v>406</v>
      </c>
      <c r="S50" s="19" t="s">
        <v>407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201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202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200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413</v>
      </c>
      <c r="K56" s="153" t="s">
        <v>414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417</v>
      </c>
      <c r="D58" s="120" t="s">
        <v>416</v>
      </c>
      <c r="E58" s="120" t="s">
        <v>416</v>
      </c>
      <c r="F58" s="120" t="s">
        <v>416</v>
      </c>
      <c r="G58" s="120" t="s">
        <v>416</v>
      </c>
      <c r="H58" s="120" t="s">
        <v>416</v>
      </c>
      <c r="I58" s="120" t="s">
        <v>416</v>
      </c>
      <c r="J58" s="120" t="s">
        <v>416</v>
      </c>
      <c r="K58" s="120" t="s">
        <v>416</v>
      </c>
      <c r="L58" s="120" t="s">
        <v>416</v>
      </c>
      <c r="M58" s="150" t="s">
        <v>415</v>
      </c>
      <c r="N58" s="119"/>
      <c r="O58" s="119"/>
    </row>
    <row r="59" spans="2:19" ht="40" customHeight="1" x14ac:dyDescent="0.4">
      <c r="B59" s="101"/>
      <c r="C59" s="113" t="s">
        <v>418</v>
      </c>
      <c r="D59" s="120" t="s">
        <v>416</v>
      </c>
      <c r="E59" s="120" t="s">
        <v>416</v>
      </c>
      <c r="F59" s="120" t="s">
        <v>416</v>
      </c>
      <c r="G59" s="120" t="s">
        <v>416</v>
      </c>
      <c r="H59" s="120" t="s">
        <v>416</v>
      </c>
      <c r="I59" s="120" t="s">
        <v>416</v>
      </c>
      <c r="J59" s="150"/>
      <c r="K59" s="120" t="s">
        <v>416</v>
      </c>
      <c r="L59" s="120" t="s">
        <v>416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88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256</v>
      </c>
      <c r="D61" s="120" t="s">
        <v>88</v>
      </c>
      <c r="E61" s="150" t="s">
        <v>258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421</v>
      </c>
      <c r="D62" s="120" t="s">
        <v>88</v>
      </c>
      <c r="E62" s="150" t="s">
        <v>420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259</v>
      </c>
      <c r="D63" s="120" t="s">
        <v>88</v>
      </c>
      <c r="E63" s="150" t="s">
        <v>257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192</v>
      </c>
      <c r="E65" s="112" t="s">
        <v>193</v>
      </c>
      <c r="F65" s="112" t="s">
        <v>73</v>
      </c>
      <c r="G65" s="112" t="s">
        <v>194</v>
      </c>
      <c r="H65" s="112" t="s">
        <v>195</v>
      </c>
      <c r="I65" s="112" t="s">
        <v>74</v>
      </c>
      <c r="J65" s="112" t="s">
        <v>196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260</v>
      </c>
      <c r="D67" s="120" t="s">
        <v>88</v>
      </c>
      <c r="E67" s="150" t="s">
        <v>262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261</v>
      </c>
      <c r="D68" s="120" t="s">
        <v>88</v>
      </c>
      <c r="E68" s="150" t="s">
        <v>263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B69" s="116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</row>
    <row r="70" spans="2:15" ht="40" customHeight="1" x14ac:dyDescent="0.4">
      <c r="B70" s="101" t="s">
        <v>56</v>
      </c>
      <c r="C70" s="113" t="s">
        <v>424</v>
      </c>
      <c r="D70" s="118" t="s">
        <v>423</v>
      </c>
      <c r="E70" s="120" t="s">
        <v>88</v>
      </c>
      <c r="F70" s="150" t="s">
        <v>428</v>
      </c>
      <c r="G70" s="119"/>
      <c r="H70" s="119"/>
      <c r="I70" s="119"/>
      <c r="J70" s="119"/>
      <c r="K70" s="119"/>
      <c r="L70" s="119"/>
      <c r="M70" s="119"/>
      <c r="N70" s="119"/>
      <c r="O70" s="119"/>
    </row>
    <row r="71" spans="2:15" ht="8.15" hidden="1" customHeight="1" x14ac:dyDescent="0.4">
      <c r="C71" s="117"/>
    </row>
    <row r="72" spans="2:15" ht="40" hidden="1" customHeight="1" x14ac:dyDescent="0.4">
      <c r="B72" s="121" t="s">
        <v>57</v>
      </c>
      <c r="C72" s="113" t="s">
        <v>100</v>
      </c>
      <c r="D72" s="122" t="s">
        <v>69</v>
      </c>
      <c r="E72" s="122" t="s">
        <v>71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hidden="1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hidden="1" customHeight="1" x14ac:dyDescent="0.4">
      <c r="B74" s="121" t="s">
        <v>58</v>
      </c>
      <c r="C74" s="113" t="s">
        <v>68</v>
      </c>
      <c r="D74" s="122" t="s">
        <v>70</v>
      </c>
      <c r="E74" s="122" t="s">
        <v>72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hidden="1" customHeight="1" x14ac:dyDescent="0.4">
      <c r="B75" s="116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hidden="1" customHeight="1" x14ac:dyDescent="0.4">
      <c r="B76" s="121" t="s">
        <v>422</v>
      </c>
      <c r="C76" s="113" t="s">
        <v>76</v>
      </c>
      <c r="D76" s="122" t="s">
        <v>197</v>
      </c>
      <c r="E76" s="122" t="s">
        <v>198</v>
      </c>
      <c r="F76" s="123"/>
      <c r="G76" s="123"/>
      <c r="H76" s="123"/>
      <c r="I76" s="123"/>
      <c r="J76" s="123"/>
      <c r="K76" s="123"/>
      <c r="L76" s="123"/>
      <c r="M76" s="123"/>
      <c r="N76" s="123"/>
      <c r="O76" s="123"/>
    </row>
    <row r="77" spans="2:15" ht="8.15" customHeight="1" x14ac:dyDescent="0.4">
      <c r="B77" s="116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</row>
    <row r="78" spans="2:15" ht="40" customHeight="1" x14ac:dyDescent="0.4">
      <c r="B78" s="121" t="s">
        <v>245</v>
      </c>
      <c r="C78" s="124" t="s">
        <v>48</v>
      </c>
      <c r="D78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8" s="119"/>
      <c r="F78" s="102"/>
      <c r="G78" s="102"/>
      <c r="H78" s="102"/>
      <c r="I78" s="102"/>
      <c r="J78" s="102"/>
      <c r="K78" s="102"/>
      <c r="L78" s="102"/>
      <c r="M78" s="102"/>
      <c r="N78" s="102"/>
      <c r="O78" s="102"/>
    </row>
    <row r="79" spans="2:15" ht="40" customHeight="1" x14ac:dyDescent="0.4">
      <c r="B79" s="121"/>
      <c r="C79" s="126" t="s">
        <v>64</v>
      </c>
      <c r="D79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4" t="s">
        <v>199</v>
      </c>
      <c r="D80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0" s="119"/>
      <c r="F80" s="102"/>
      <c r="G80" s="127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49</v>
      </c>
      <c r="D81" s="125" t="str">
        <f>_xlfn.CONCAT("Shared ", COUNTA(Get_Staff_Member)," employees")</f>
        <v>Shared 2 employees</v>
      </c>
      <c r="E81" s="119"/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102</v>
      </c>
      <c r="D82" s="125" t="str">
        <f>_xlfn.CONCAT("Has been set ", COUNTA(Get_Work_Unit)," units")</f>
        <v>Has been set 7 units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16" customHeight="1" x14ac:dyDescent="0.4"/>
    <row r="84" spans="2:15" ht="40" customHeight="1" x14ac:dyDescent="0.4">
      <c r="B84" s="128" t="s">
        <v>59</v>
      </c>
      <c r="C84" s="129"/>
      <c r="D84" s="129"/>
      <c r="E84" s="129"/>
    </row>
    <row r="85" spans="2:15" ht="40" customHeight="1" x14ac:dyDescent="0.4">
      <c r="B85" s="130" t="s">
        <v>60</v>
      </c>
      <c r="C85" s="131" t="s">
        <v>23</v>
      </c>
      <c r="D85" s="132"/>
      <c r="E85" s="132"/>
    </row>
    <row r="86" spans="2:15" ht="40" customHeight="1" x14ac:dyDescent="0.4">
      <c r="B86" s="130" t="s">
        <v>61</v>
      </c>
      <c r="C86" s="133" t="s">
        <v>0</v>
      </c>
      <c r="D86" s="134"/>
      <c r="E86" s="134"/>
    </row>
    <row r="87" spans="2:15" ht="40" customHeight="1" x14ac:dyDescent="0.4">
      <c r="B87" s="130" t="s">
        <v>62</v>
      </c>
      <c r="C87" s="131" t="s">
        <v>22</v>
      </c>
      <c r="D87" s="132"/>
      <c r="E87" s="132"/>
    </row>
    <row r="88" spans="2:15" ht="40" customHeight="1" x14ac:dyDescent="0.4">
      <c r="B88" s="130" t="s">
        <v>63</v>
      </c>
      <c r="C88" s="131" t="s">
        <v>412</v>
      </c>
      <c r="D88" s="131"/>
      <c r="E88" s="131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7" priority="2">
      <formula>MOD(ROW(),2)=1</formula>
    </cfRule>
    <cfRule type="expression" dxfId="6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247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248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244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>
        <v>-1</v>
      </c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249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2.69140625" style="24" customWidth="1"/>
    <col min="8" max="8" width="14.69140625" style="23" customWidth="1"/>
    <col min="9" max="9" width="22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104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429</v>
      </c>
    </row>
  </sheetData>
  <sheetProtection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247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190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249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customWidth="1"/>
    <col min="128" max="128" width="12.69140625" style="23" customWidth="1"/>
    <col min="129" max="129" width="20.69140625" style="52" customWidth="1"/>
    <col min="130" max="130" width="28.69140625" style="52" customWidth="1"/>
    <col min="131" max="131" width="44.69140625" style="52" customWidth="1"/>
    <col min="132" max="132" width="22.69140625" style="24" customWidth="1"/>
    <col min="133" max="133" width="14.69140625" style="53" customWidth="1"/>
    <col min="134" max="134" width="22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8" t="s">
        <v>187</v>
      </c>
      <c r="DU6" s="158"/>
      <c r="DV6" s="158"/>
      <c r="DW6" s="158"/>
      <c r="DX6" s="158"/>
      <c r="DY6" s="158" t="s">
        <v>188</v>
      </c>
      <c r="DZ6" s="158"/>
      <c r="EA6" s="158"/>
      <c r="EB6" s="158" t="s">
        <v>189</v>
      </c>
      <c r="EC6" s="158"/>
      <c r="ED6" s="35" t="s">
        <v>419</v>
      </c>
      <c r="EE6" s="159" t="s">
        <v>264</v>
      </c>
      <c r="EF6" s="159"/>
      <c r="EG6" s="159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104</v>
      </c>
      <c r="C8" s="15" t="s">
        <v>99</v>
      </c>
      <c r="D8" s="15" t="s">
        <v>206</v>
      </c>
      <c r="E8" s="15" t="s">
        <v>105</v>
      </c>
      <c r="F8" s="15" t="s">
        <v>106</v>
      </c>
      <c r="G8" s="15" t="s">
        <v>207</v>
      </c>
      <c r="H8" s="15" t="s">
        <v>107</v>
      </c>
      <c r="I8" s="15" t="s">
        <v>108</v>
      </c>
      <c r="J8" s="15" t="s">
        <v>208</v>
      </c>
      <c r="K8" s="15" t="s">
        <v>109</v>
      </c>
      <c r="L8" s="15" t="s">
        <v>110</v>
      </c>
      <c r="M8" s="15" t="s">
        <v>209</v>
      </c>
      <c r="N8" s="15" t="s">
        <v>111</v>
      </c>
      <c r="O8" s="15" t="s">
        <v>112</v>
      </c>
      <c r="P8" s="15" t="s">
        <v>210</v>
      </c>
      <c r="Q8" s="15" t="s">
        <v>113</v>
      </c>
      <c r="R8" s="15" t="s">
        <v>114</v>
      </c>
      <c r="S8" s="15" t="s">
        <v>211</v>
      </c>
      <c r="T8" s="15" t="s">
        <v>115</v>
      </c>
      <c r="U8" s="15" t="s">
        <v>116</v>
      </c>
      <c r="V8" s="15" t="s">
        <v>212</v>
      </c>
      <c r="W8" s="15" t="s">
        <v>117</v>
      </c>
      <c r="X8" s="15" t="s">
        <v>118</v>
      </c>
      <c r="Y8" s="15" t="s">
        <v>213</v>
      </c>
      <c r="Z8" s="15" t="s">
        <v>119</v>
      </c>
      <c r="AA8" s="15" t="s">
        <v>120</v>
      </c>
      <c r="AB8" s="15" t="s">
        <v>214</v>
      </c>
      <c r="AC8" s="15" t="s">
        <v>121</v>
      </c>
      <c r="AD8" s="15" t="s">
        <v>122</v>
      </c>
      <c r="AE8" s="15" t="s">
        <v>215</v>
      </c>
      <c r="AF8" s="15" t="s">
        <v>123</v>
      </c>
      <c r="AG8" s="15" t="s">
        <v>124</v>
      </c>
      <c r="AH8" s="15" t="s">
        <v>216</v>
      </c>
      <c r="AI8" s="15" t="s">
        <v>125</v>
      </c>
      <c r="AJ8" s="15" t="s">
        <v>126</v>
      </c>
      <c r="AK8" s="15" t="s">
        <v>217</v>
      </c>
      <c r="AL8" s="15" t="s">
        <v>127</v>
      </c>
      <c r="AM8" s="15" t="s">
        <v>128</v>
      </c>
      <c r="AN8" s="15" t="s">
        <v>218</v>
      </c>
      <c r="AO8" s="15" t="s">
        <v>129</v>
      </c>
      <c r="AP8" s="15" t="s">
        <v>130</v>
      </c>
      <c r="AQ8" s="15" t="s">
        <v>219</v>
      </c>
      <c r="AR8" s="15" t="s">
        <v>131</v>
      </c>
      <c r="AS8" s="15" t="s">
        <v>132</v>
      </c>
      <c r="AT8" s="15" t="s">
        <v>220</v>
      </c>
      <c r="AU8" s="15" t="s">
        <v>133</v>
      </c>
      <c r="AV8" s="15" t="s">
        <v>134</v>
      </c>
      <c r="AW8" s="15" t="s">
        <v>221</v>
      </c>
      <c r="AX8" s="15" t="s">
        <v>135</v>
      </c>
      <c r="AY8" s="15" t="s">
        <v>136</v>
      </c>
      <c r="AZ8" s="15" t="s">
        <v>222</v>
      </c>
      <c r="BA8" s="15" t="s">
        <v>137</v>
      </c>
      <c r="BB8" s="15" t="s">
        <v>138</v>
      </c>
      <c r="BC8" s="15" t="s">
        <v>223</v>
      </c>
      <c r="BD8" s="15" t="s">
        <v>139</v>
      </c>
      <c r="BE8" s="15" t="s">
        <v>140</v>
      </c>
      <c r="BF8" s="15" t="s">
        <v>224</v>
      </c>
      <c r="BG8" s="15" t="s">
        <v>141</v>
      </c>
      <c r="BH8" s="15" t="s">
        <v>142</v>
      </c>
      <c r="BI8" s="15" t="s">
        <v>225</v>
      </c>
      <c r="BJ8" s="15" t="s">
        <v>143</v>
      </c>
      <c r="BK8" s="15" t="s">
        <v>144</v>
      </c>
      <c r="BL8" s="15" t="s">
        <v>226</v>
      </c>
      <c r="BM8" s="15" t="s">
        <v>145</v>
      </c>
      <c r="BN8" s="15" t="s">
        <v>146</v>
      </c>
      <c r="BO8" s="15" t="s">
        <v>227</v>
      </c>
      <c r="BP8" s="15" t="s">
        <v>147</v>
      </c>
      <c r="BQ8" s="15" t="s">
        <v>148</v>
      </c>
      <c r="BR8" s="15" t="s">
        <v>228</v>
      </c>
      <c r="BS8" s="15" t="s">
        <v>149</v>
      </c>
      <c r="BT8" s="15" t="s">
        <v>150</v>
      </c>
      <c r="BU8" s="15" t="s">
        <v>229</v>
      </c>
      <c r="BV8" s="15" t="s">
        <v>151</v>
      </c>
      <c r="BW8" s="15" t="s">
        <v>152</v>
      </c>
      <c r="BX8" s="15" t="s">
        <v>230</v>
      </c>
      <c r="BY8" s="15" t="s">
        <v>153</v>
      </c>
      <c r="BZ8" s="15" t="s">
        <v>154</v>
      </c>
      <c r="CA8" s="15" t="s">
        <v>231</v>
      </c>
      <c r="CB8" s="15" t="s">
        <v>155</v>
      </c>
      <c r="CC8" s="15" t="s">
        <v>156</v>
      </c>
      <c r="CD8" s="15" t="s">
        <v>157</v>
      </c>
      <c r="CE8" s="15" t="s">
        <v>158</v>
      </c>
      <c r="CF8" s="15" t="s">
        <v>159</v>
      </c>
      <c r="CG8" s="15" t="s">
        <v>232</v>
      </c>
      <c r="CH8" s="15" t="s">
        <v>160</v>
      </c>
      <c r="CI8" s="15" t="s">
        <v>161</v>
      </c>
      <c r="CJ8" s="15" t="s">
        <v>233</v>
      </c>
      <c r="CK8" s="15" t="s">
        <v>162</v>
      </c>
      <c r="CL8" s="15" t="s">
        <v>163</v>
      </c>
      <c r="CM8" s="15" t="s">
        <v>234</v>
      </c>
      <c r="CN8" s="15" t="s">
        <v>164</v>
      </c>
      <c r="CO8" s="15" t="s">
        <v>165</v>
      </c>
      <c r="CP8" s="15" t="s">
        <v>235</v>
      </c>
      <c r="CQ8" s="15" t="s">
        <v>166</v>
      </c>
      <c r="CR8" s="15" t="s">
        <v>167</v>
      </c>
      <c r="CS8" s="15" t="s">
        <v>236</v>
      </c>
      <c r="CT8" s="15" t="s">
        <v>168</v>
      </c>
      <c r="CU8" s="15" t="s">
        <v>169</v>
      </c>
      <c r="CV8" s="15" t="s">
        <v>237</v>
      </c>
      <c r="CW8" s="15" t="s">
        <v>170</v>
      </c>
      <c r="CX8" s="15" t="s">
        <v>171</v>
      </c>
      <c r="CY8" s="15" t="s">
        <v>238</v>
      </c>
      <c r="CZ8" s="15" t="s">
        <v>172</v>
      </c>
      <c r="DA8" s="15" t="s">
        <v>173</v>
      </c>
      <c r="DB8" s="15" t="s">
        <v>239</v>
      </c>
      <c r="DC8" s="15" t="s">
        <v>174</v>
      </c>
      <c r="DD8" s="15" t="s">
        <v>175</v>
      </c>
      <c r="DE8" s="15" t="s">
        <v>240</v>
      </c>
      <c r="DF8" s="15" t="s">
        <v>176</v>
      </c>
      <c r="DG8" s="15" t="s">
        <v>177</v>
      </c>
      <c r="DH8" s="15" t="s">
        <v>178</v>
      </c>
      <c r="DI8" s="15" t="s">
        <v>179</v>
      </c>
      <c r="DJ8" s="15" t="s">
        <v>180</v>
      </c>
      <c r="DK8" s="15" t="s">
        <v>241</v>
      </c>
      <c r="DL8" s="15" t="s">
        <v>181</v>
      </c>
      <c r="DM8" s="15" t="s">
        <v>182</v>
      </c>
      <c r="DN8" s="15" t="s">
        <v>242</v>
      </c>
      <c r="DO8" s="15" t="s">
        <v>183</v>
      </c>
      <c r="DP8" s="15" t="s">
        <v>184</v>
      </c>
      <c r="DQ8" s="15" t="s">
        <v>243</v>
      </c>
      <c r="DR8" s="15" t="s">
        <v>185</v>
      </c>
      <c r="DS8" s="15" t="s">
        <v>186</v>
      </c>
      <c r="DT8" s="15" t="s">
        <v>92</v>
      </c>
      <c r="DU8" s="15" t="s">
        <v>75</v>
      </c>
      <c r="DV8" s="15" t="s">
        <v>76</v>
      </c>
      <c r="DW8" s="15" t="s">
        <v>190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191</v>
      </c>
      <c r="EC8" s="36" t="s">
        <v>95</v>
      </c>
      <c r="ED8" s="36" t="s">
        <v>94</v>
      </c>
      <c r="EE8" s="144" t="s">
        <v>268</v>
      </c>
      <c r="EF8" s="144" t="s">
        <v>269</v>
      </c>
      <c r="EG8" s="144" t="s">
        <v>267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203</v>
      </c>
      <c r="DU9" s="41" t="s">
        <v>0</v>
      </c>
      <c r="DV9" s="42" t="s">
        <v>197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429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204</v>
      </c>
      <c r="DU10" s="41" t="s">
        <v>0</v>
      </c>
      <c r="DV10" s="42" t="s">
        <v>198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429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" priority="27">
      <formula>MOD(ROW(),2)=0</formula>
    </cfRule>
    <cfRule type="expression" dxfId="2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2.69140625" style="24" customWidth="1"/>
    <col min="46" max="46" width="14.69140625" style="23" customWidth="1"/>
    <col min="47" max="47" width="22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8" t="s">
        <v>205</v>
      </c>
      <c r="AS6" s="158"/>
      <c r="AT6" s="158"/>
      <c r="AU6" s="158"/>
      <c r="AV6" s="155" t="s">
        <v>427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104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425</v>
      </c>
    </row>
    <row r="9" spans="2:48" ht="39.75" customHeight="1" x14ac:dyDescent="0.4">
      <c r="B9" s="16" cm="1">
        <f t="array" ref="B9">SN</f>
        <v>1</v>
      </c>
      <c r="C9" s="38" t="s">
        <v>265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429</v>
      </c>
      <c r="AV9" s="19" t="s">
        <v>426</v>
      </c>
    </row>
    <row r="10" spans="2:48" ht="40" customHeight="1" x14ac:dyDescent="0.4">
      <c r="B10" s="19" cm="1">
        <f t="array" ref="B10">SN</f>
        <v>2</v>
      </c>
      <c r="C10" s="45" t="s">
        <v>266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429</v>
      </c>
      <c r="AV10" s="19" t="s">
        <v>426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1" priority="28">
      <formula>MOD(ROW(),2)=0</formula>
    </cfRule>
    <cfRule type="expression" dxfId="0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2024-02-28T08:57:15Z</dcterms:modified>
</cp:coreProperties>
</file>