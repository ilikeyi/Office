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37364E5-6FD8-42F4-B70D-D403B1E1294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Setting!$D$81:$E$81</definedName>
    <definedName name="Get_GUID">UserInfo[Unique identifier]</definedName>
    <definedName name="Get_Keep_inventory">Setting!$D$79:$E$79</definedName>
    <definedName name="Get_Staff_Member">Setting!$D$53:$O$53</definedName>
    <definedName name="Get_Store_Uid">Store_Setting[Unique
identifier]</definedName>
    <definedName name="Get_Type_of_Access">Setting!$D$77:$E$77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6" i="1"/>
  <c r="D87" i="1"/>
  <c r="D84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<sst xmlns="http://schemas.openxmlformats.org/spreadsheetml/2006/main" count="680" uniqueCount="465">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</sst>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3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identifier]],Store_History[Type],$D$79)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identifier]],Store_History[Type],$E$79)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6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245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74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432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79</v>
      </c>
      <c r="D9" s="58"/>
      <c r="E9" s="58"/>
      <c r="F9" s="58"/>
      <c r="G9" s="58" t="s">
        <v>244</v>
      </c>
      <c r="H9" s="139" t="s">
        <v>83</v>
      </c>
      <c r="I9" s="139"/>
      <c r="J9" s="139"/>
      <c r="K9" s="140" t="s">
        <v>84</v>
      </c>
      <c r="L9" s="140"/>
      <c r="M9" s="140"/>
      <c r="N9" s="140" t="s">
        <v>410</v>
      </c>
      <c r="O9" s="140"/>
      <c r="P9" s="140" t="s">
        <v>407</v>
      </c>
      <c r="Q9" s="140"/>
      <c r="R9" s="140"/>
      <c r="S9" s="140"/>
      <c r="BB9" s="5" t="s">
        <v>429</v>
      </c>
      <c r="BC9" s="5" t="s">
        <v>430</v>
      </c>
      <c r="BD9" s="5" t="s">
        <v>431</v>
      </c>
    </row>
    <row r="10" spans="2:56" ht="55" customHeight="1" x14ac:dyDescent="0.4">
      <c r="B10" s="97"/>
      <c r="C10" s="58"/>
      <c r="D10" s="59" t="s">
        <v>254</v>
      </c>
      <c r="E10" s="59" t="s">
        <v>253</v>
      </c>
      <c r="F10" s="59" t="s">
        <v>243</v>
      </c>
      <c r="G10" s="59" t="s">
        <v>80</v>
      </c>
      <c r="H10" s="59" t="s">
        <v>250</v>
      </c>
      <c r="I10" s="59" t="s">
        <v>81</v>
      </c>
      <c r="J10" s="59" t="s">
        <v>82</v>
      </c>
      <c r="K10" s="59" t="s">
        <v>249</v>
      </c>
      <c r="L10" s="59" t="s">
        <v>251</v>
      </c>
      <c r="M10" s="59" t="s">
        <v>252</v>
      </c>
      <c r="N10" s="59" t="s">
        <v>408</v>
      </c>
      <c r="O10" s="59" t="s">
        <v>409</v>
      </c>
      <c r="P10" s="75" t="s">
        <v>269</v>
      </c>
      <c r="Q10" s="75" t="s">
        <v>270</v>
      </c>
      <c r="R10" s="75" t="s">
        <v>271</v>
      </c>
      <c r="S10" s="75" t="s">
        <v>272</v>
      </c>
      <c r="BC10" s="5" t="s">
        <v>427</v>
      </c>
      <c r="BD10" s="5" t="s">
        <v>87</v>
      </c>
    </row>
    <row r="11" spans="2:56" ht="40" customHeight="1" x14ac:dyDescent="0.4">
      <c r="B11" s="97"/>
      <c r="C11" s="58"/>
      <c r="D11" s="99" t="str">
        <f>CONCATENATE(Store_Setting[[#This Row],[Product
serial number]], IF(Store_Setting[[#This Row],[Product name]]="","", _xlfn.CONCAT(" | ",Store_Setting[Product name])))</f>
        <v>1 | 12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identifier]],Store_History[Type],$D$79)</f>
        <v>0</v>
      </c>
      <c r="M11" s="100">
        <f>SUMIFS(Store_History[Quantity],Store_History[Unique identifier],Store_Setting[[#This Row],[Unique
identifier]],Store_History[Type],$E$79)</f>
        <v>0</v>
      </c>
      <c r="N11" s="40" t="s">
        <v>87</v>
      </c>
      <c r="O11" s="40" t="s">
        <v>87</v>
      </c>
      <c r="P11" s="11" t="s">
        <v>273</v>
      </c>
      <c r="Q11" s="11" t="s">
        <v>274</v>
      </c>
      <c r="R11" s="11" t="s">
        <v>275</v>
      </c>
      <c r="S11" s="11" t="s">
        <v>276</v>
      </c>
      <c r="BC11" s="5" t="s">
        <v>428</v>
      </c>
      <c r="BD11" s="5" t="s">
        <v>88</v>
      </c>
    </row>
    <row r="12" spans="2:56" ht="40" customHeight="1" x14ac:dyDescent="0.4">
      <c r="B12" s="97"/>
      <c r="C12" s="58"/>
      <c r="D12" s="99" t="str">
        <f>CONCATENATE(Store_Setting[[#This Row],[Product
serial number]], IF(Store_Setting[[#This Row],[Product name]]="","", _xlfn.CONCAT(" | ",Store_Setting[Product name])))</f>
        <v>2 | 12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identifier]],Store_History[Type],$D$79)</f>
        <v>0</v>
      </c>
      <c r="M12" s="100">
        <f>SUMIFS(Store_History[Quantity],Store_History[Unique identifier],Store_Setting[[#This Row],[Unique
identifier]],Store_History[Type],$E$79)</f>
        <v>0</v>
      </c>
      <c r="N12" s="40" t="s">
        <v>87</v>
      </c>
      <c r="O12" s="40" t="s">
        <v>87</v>
      </c>
      <c r="P12" s="11" t="s">
        <v>277</v>
      </c>
      <c r="Q12" s="11" t="s">
        <v>278</v>
      </c>
      <c r="R12" s="11" t="s">
        <v>279</v>
      </c>
      <c r="S12" s="11" t="s">
        <v>274</v>
      </c>
      <c r="BD12" s="5" t="s">
        <v>98</v>
      </c>
    </row>
    <row r="13" spans="2:56" ht="40" customHeight="1" x14ac:dyDescent="0.4">
      <c r="B13" s="97"/>
      <c r="C13" s="58"/>
      <c r="D13" s="99" t="str">
        <f>CONCATENATE(Store_Setting[[#This Row],[Product
serial number]], IF(Store_Setting[[#This Row],[Product name]]="","", _xlfn.CONCAT(" | ",Store_Setting[Product name])))</f>
        <v>3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identifier]],Store_History[Type],$D$79)</f>
        <v>0</v>
      </c>
      <c r="M13" s="100">
        <f>SUMIFS(Store_History[Quantity],Store_History[Unique identifier],Store_Setting[[#This Row],[Unique
identifier]],Store_History[Type],$E$79)</f>
        <v>0</v>
      </c>
      <c r="N13" s="40" t="s">
        <v>87</v>
      </c>
      <c r="O13" s="40" t="s">
        <v>87</v>
      </c>
      <c r="P13" s="11" t="s">
        <v>280</v>
      </c>
      <c r="Q13" s="11" t="s">
        <v>281</v>
      </c>
      <c r="R13" s="11" t="s">
        <v>282</v>
      </c>
      <c r="S13" s="11" t="s">
        <v>275</v>
      </c>
      <c r="BD13" s="5" t="s">
        <v>433</v>
      </c>
    </row>
    <row r="14" spans="2:56" ht="40" customHeight="1" x14ac:dyDescent="0.4">
      <c r="B14" s="97"/>
      <c r="C14" s="58"/>
      <c r="D14" s="99" t="str">
        <f>CONCATENATE(Store_Setting[[#This Row],[Product
serial number]], IF(Store_Setting[[#This Row],[Product name]]="","", _xlfn.CONCAT(" | ",Store_Setting[Product name])))</f>
        <v>4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identifier]],Store_History[Type],$D$79)</f>
        <v>0</v>
      </c>
      <c r="M14" s="100">
        <f>SUMIFS(Store_History[Quantity],Store_History[Unique identifier],Store_Setting[[#This Row],[Unique
identifier]],Store_History[Type],$E$79)</f>
        <v>0</v>
      </c>
      <c r="N14" s="40" t="s">
        <v>87</v>
      </c>
      <c r="O14" s="40" t="s">
        <v>87</v>
      </c>
      <c r="P14" s="11" t="s">
        <v>283</v>
      </c>
      <c r="Q14" s="11" t="s">
        <v>284</v>
      </c>
      <c r="R14" s="11" t="s">
        <v>285</v>
      </c>
      <c r="S14" s="11" t="s">
        <v>286</v>
      </c>
      <c r="BD14" s="5" t="s">
        <v>434</v>
      </c>
    </row>
    <row r="15" spans="2:56" ht="40" customHeight="1" x14ac:dyDescent="0.4">
      <c r="B15" s="97"/>
      <c r="C15" s="58"/>
      <c r="D15" s="99" t="str">
        <f>CONCATENATE(Store_Setting[[#This Row],[Product
serial number]], IF(Store_Setting[[#This Row],[Product name]]="","", _xlfn.CONCAT(" | ",Store_Setting[Product name])))</f>
        <v>5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identifier]],Store_History[Type],$D$79)</f>
        <v>0</v>
      </c>
      <c r="M15" s="100">
        <f>SUMIFS(Store_History[Quantity],Store_History[Unique identifier],Store_Setting[[#This Row],[Unique
identifier]],Store_History[Type],$E$79)</f>
        <v>0</v>
      </c>
      <c r="N15" s="40" t="s">
        <v>87</v>
      </c>
      <c r="O15" s="40" t="s">
        <v>87</v>
      </c>
      <c r="P15" s="11" t="s">
        <v>287</v>
      </c>
      <c r="Q15" s="11" t="s">
        <v>288</v>
      </c>
      <c r="R15" s="11" t="s">
        <v>289</v>
      </c>
      <c r="S15" s="11" t="s">
        <v>278</v>
      </c>
      <c r="BD15" s="5" t="s">
        <v>435</v>
      </c>
    </row>
    <row r="16" spans="2:56" ht="40" customHeight="1" x14ac:dyDescent="0.4">
      <c r="B16" s="97"/>
      <c r="C16" s="58"/>
      <c r="D16" s="99" t="str">
        <f>CONCATENATE(Store_Setting[[#This Row],[Product
serial number]], IF(Store_Setting[[#This Row],[Product name]]="","", _xlfn.CONCAT(" | ",Store_Setting[Product name])))</f>
        <v>6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identifier]],Store_History[Type],$D$79)</f>
        <v>0</v>
      </c>
      <c r="M16" s="100">
        <f>SUMIFS(Store_History[Quantity],Store_History[Unique identifier],Store_Setting[[#This Row],[Unique
identifier]],Store_History[Type],$E$79)</f>
        <v>0</v>
      </c>
      <c r="N16" s="40" t="s">
        <v>87</v>
      </c>
      <c r="O16" s="40" t="s">
        <v>87</v>
      </c>
      <c r="P16" s="11" t="s">
        <v>290</v>
      </c>
      <c r="Q16" s="11" t="s">
        <v>291</v>
      </c>
      <c r="R16" s="11" t="s">
        <v>292</v>
      </c>
      <c r="S16" s="11" t="s">
        <v>279</v>
      </c>
      <c r="BD16" s="5" t="s">
        <v>436</v>
      </c>
    </row>
    <row r="17" spans="2:56" ht="40" customHeight="1" x14ac:dyDescent="0.4">
      <c r="B17" s="97"/>
      <c r="C17" s="58"/>
      <c r="D17" s="99" t="str">
        <f>CONCATENATE(Store_Setting[[#This Row],[Product
serial number]], IF(Store_Setting[[#This Row],[Product name]]="","", _xlfn.CONCAT(" | ",Store_Setting[Product name])))</f>
        <v>7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identifier]],Store_History[Type],$D$79)</f>
        <v>0</v>
      </c>
      <c r="M17" s="100">
        <f>SUMIFS(Store_History[Quantity],Store_History[Unique identifier],Store_Setting[[#This Row],[Unique
identifier]],Store_History[Type],$E$79)</f>
        <v>0</v>
      </c>
      <c r="N17" s="40" t="s">
        <v>87</v>
      </c>
      <c r="O17" s="40" t="s">
        <v>87</v>
      </c>
      <c r="P17" s="11" t="s">
        <v>293</v>
      </c>
      <c r="Q17" s="11" t="s">
        <v>294</v>
      </c>
      <c r="R17" s="11" t="s">
        <v>295</v>
      </c>
      <c r="S17" s="11" t="s">
        <v>296</v>
      </c>
      <c r="BD17" s="5" t="s">
        <v>415</v>
      </c>
    </row>
    <row r="18" spans="2:56" ht="40" customHeight="1" x14ac:dyDescent="0.4">
      <c r="B18" s="97"/>
      <c r="C18" s="58"/>
      <c r="D18" s="99" t="str">
        <f>CONCATENATE(Store_Setting[[#This Row],[Product
serial number]], IF(Store_Setting[[#This Row],[Product name]]="","", _xlfn.CONCAT(" | ",Store_Setting[Product name])))</f>
        <v>8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identifier]],Store_History[Type],$D$79)</f>
        <v>0</v>
      </c>
      <c r="M18" s="100">
        <f>SUMIFS(Store_History[Quantity],Store_History[Unique identifier],Store_Setting[[#This Row],[Unique
identifier]],Store_History[Type],$E$79)</f>
        <v>0</v>
      </c>
      <c r="N18" s="40" t="s">
        <v>87</v>
      </c>
      <c r="O18" s="40" t="s">
        <v>87</v>
      </c>
      <c r="P18" s="11" t="s">
        <v>297</v>
      </c>
      <c r="Q18" s="11" t="s">
        <v>298</v>
      </c>
      <c r="R18" s="11" t="s">
        <v>299</v>
      </c>
      <c r="S18" s="11" t="s">
        <v>281</v>
      </c>
      <c r="BD18" s="5" t="s">
        <v>437</v>
      </c>
    </row>
    <row r="19" spans="2:56" ht="40" customHeight="1" x14ac:dyDescent="0.4">
      <c r="B19" s="97"/>
      <c r="C19" s="58"/>
      <c r="D19" s="99" t="str">
        <f>CONCATENATE(Store_Setting[[#This Row],[Product
serial number]], IF(Store_Setting[[#This Row],[Product name]]="","", _xlfn.CONCAT(" | ",Store_Setting[Product name])))</f>
        <v>9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identifier]],Store_History[Type],$D$79)</f>
        <v>0</v>
      </c>
      <c r="M19" s="100">
        <f>SUMIFS(Store_History[Quantity],Store_History[Unique identifier],Store_Setting[[#This Row],[Unique
identifier]],Store_History[Type],$E$79)</f>
        <v>0</v>
      </c>
      <c r="N19" s="40" t="s">
        <v>87</v>
      </c>
      <c r="O19" s="40" t="s">
        <v>87</v>
      </c>
      <c r="P19" s="11" t="s">
        <v>300</v>
      </c>
      <c r="Q19" s="11" t="s">
        <v>301</v>
      </c>
      <c r="R19" s="11" t="s">
        <v>302</v>
      </c>
      <c r="S19" s="11" t="s">
        <v>282</v>
      </c>
      <c r="BD19" s="5" t="s">
        <v>438</v>
      </c>
    </row>
    <row r="20" spans="2:56" ht="40" customHeight="1" x14ac:dyDescent="0.4">
      <c r="B20" s="97"/>
      <c r="C20" s="58"/>
      <c r="D20" s="99" t="str">
        <f>CONCATENATE(Store_Setting[[#This Row],[Product
serial number]], IF(Store_Setting[[#This Row],[Product name]]="","", _xlfn.CONCAT(" | ",Store_Setting[Product name])))</f>
        <v>10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identifier]],Store_History[Type],$D$79)</f>
        <v>0</v>
      </c>
      <c r="M20" s="100">
        <f>SUMIFS(Store_History[Quantity],Store_History[Unique identifier],Store_Setting[[#This Row],[Unique
identifier]],Store_History[Type],$E$79)</f>
        <v>0</v>
      </c>
      <c r="N20" s="40" t="s">
        <v>87</v>
      </c>
      <c r="O20" s="40" t="s">
        <v>87</v>
      </c>
      <c r="P20" s="11" t="s">
        <v>303</v>
      </c>
      <c r="Q20" s="11" t="s">
        <v>304</v>
      </c>
      <c r="R20" s="11" t="s">
        <v>305</v>
      </c>
      <c r="S20" s="11" t="s">
        <v>306</v>
      </c>
      <c r="BD20" s="5" t="s">
        <v>424</v>
      </c>
    </row>
    <row r="21" spans="2:56" ht="40" customHeight="1" x14ac:dyDescent="0.4">
      <c r="B21" s="97"/>
      <c r="C21" s="58"/>
      <c r="D21" s="99" t="str">
        <f>CONCATENATE(Store_Setting[[#This Row],[Product
serial number]], IF(Store_Setting[[#This Row],[Product name]]="","", _xlfn.CONCAT(" | ",Store_Setting[Product name])))</f>
        <v>11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identifier]],Store_History[Type],$D$79)</f>
        <v>0</v>
      </c>
      <c r="M21" s="100">
        <f>SUMIFS(Store_History[Quantity],Store_History[Unique identifier],Store_Setting[[#This Row],[Unique
identifier]],Store_History[Type],$E$79)</f>
        <v>0</v>
      </c>
      <c r="N21" s="40" t="s">
        <v>87</v>
      </c>
      <c r="O21" s="40" t="s">
        <v>87</v>
      </c>
      <c r="P21" s="11" t="s">
        <v>307</v>
      </c>
      <c r="Q21" s="11" t="s">
        <v>308</v>
      </c>
      <c r="R21" s="11" t="s">
        <v>309</v>
      </c>
      <c r="S21" s="11" t="s">
        <v>284</v>
      </c>
      <c r="BD21" s="5" t="s">
        <v>456</v>
      </c>
    </row>
    <row r="22" spans="2:56" ht="40" customHeight="1" x14ac:dyDescent="0.4">
      <c r="B22" s="97"/>
      <c r="C22" s="58"/>
      <c r="D22" s="99" t="str">
        <f>CONCATENATE(Store_Setting[[#This Row],[Product
serial number]], IF(Store_Setting[[#This Row],[Product name]]="","", _xlfn.CONCAT(" | ",Store_Setting[Product name])))</f>
        <v>12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identifier]],Store_History[Type],$D$79)</f>
        <v>0</v>
      </c>
      <c r="M22" s="100">
        <f>SUMIFS(Store_History[Quantity],Store_History[Unique identifier],Store_Setting[[#This Row],[Unique
identifier]],Store_History[Type],$E$79)</f>
        <v>0</v>
      </c>
      <c r="N22" s="40" t="s">
        <v>87</v>
      </c>
      <c r="O22" s="40" t="s">
        <v>87</v>
      </c>
      <c r="P22" s="11" t="s">
        <v>310</v>
      </c>
      <c r="Q22" s="11" t="s">
        <v>311</v>
      </c>
      <c r="R22" s="11" t="s">
        <v>312</v>
      </c>
      <c r="S22" s="11" t="s">
        <v>285</v>
      </c>
      <c r="BB22" s="5" t="s">
        <v>439</v>
      </c>
      <c r="BD22" s="5" t="s">
        <v>441</v>
      </c>
    </row>
    <row r="23" spans="2:56" ht="40" customHeight="1" x14ac:dyDescent="0.4">
      <c r="B23" s="97"/>
      <c r="C23" s="58"/>
      <c r="D23" s="99" t="str">
        <f>CONCATENATE(Store_Setting[[#This Row],[Product
serial number]], IF(Store_Setting[[#This Row],[Product name]]="","", _xlfn.CONCAT(" | ",Store_Setting[Product name])))</f>
        <v>13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identifier]],Store_History[Type],$D$79)</f>
        <v>0</v>
      </c>
      <c r="M23" s="100">
        <f>SUMIFS(Store_History[Quantity],Store_History[Unique identifier],Store_Setting[[#This Row],[Unique
identifier]],Store_History[Type],$E$79)</f>
        <v>0</v>
      </c>
      <c r="N23" s="40" t="s">
        <v>87</v>
      </c>
      <c r="O23" s="40" t="s">
        <v>87</v>
      </c>
      <c r="P23" s="11" t="s">
        <v>313</v>
      </c>
      <c r="Q23" s="11" t="s">
        <v>314</v>
      </c>
      <c r="R23" s="11" t="s">
        <v>315</v>
      </c>
      <c r="S23" s="11" t="s">
        <v>316</v>
      </c>
      <c r="BD23" s="5" t="s">
        <v>442</v>
      </c>
    </row>
    <row r="24" spans="2:56" ht="40" customHeight="1" x14ac:dyDescent="0.4">
      <c r="B24" s="97"/>
      <c r="C24" s="58"/>
      <c r="D24" s="99" t="str">
        <f>CONCATENATE(Store_Setting[[#This Row],[Product
serial number]], IF(Store_Setting[[#This Row],[Product name]]="","", _xlfn.CONCAT(" | ",Store_Setting[Product name])))</f>
        <v>14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identifier]],Store_History[Type],$D$79)</f>
        <v>0</v>
      </c>
      <c r="M24" s="100">
        <f>SUMIFS(Store_History[Quantity],Store_History[Unique identifier],Store_Setting[[#This Row],[Unique
identifier]],Store_History[Type],$E$79)</f>
        <v>0</v>
      </c>
      <c r="N24" s="40" t="s">
        <v>87</v>
      </c>
      <c r="O24" s="40" t="s">
        <v>87</v>
      </c>
      <c r="P24" s="11" t="s">
        <v>317</v>
      </c>
      <c r="Q24" s="11" t="s">
        <v>318</v>
      </c>
      <c r="R24" s="11" t="s">
        <v>319</v>
      </c>
      <c r="S24" s="11" t="s">
        <v>288</v>
      </c>
      <c r="BD24" s="5" t="s">
        <v>443</v>
      </c>
    </row>
    <row r="25" spans="2:56" ht="40" customHeight="1" x14ac:dyDescent="0.4">
      <c r="B25" s="97"/>
      <c r="C25" s="58"/>
      <c r="D25" s="99" t="str">
        <f>CONCATENATE(Store_Setting[[#This Row],[Product
serial number]], IF(Store_Setting[[#This Row],[Product name]]="","", _xlfn.CONCAT(" | ",Store_Setting[Product name])))</f>
        <v>15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identifier]],Store_History[Type],$D$79)</f>
        <v>0</v>
      </c>
      <c r="M25" s="100">
        <f>SUMIFS(Store_History[Quantity],Store_History[Unique identifier],Store_Setting[[#This Row],[Unique
identifier]],Store_History[Type],$E$79)</f>
        <v>0</v>
      </c>
      <c r="N25" s="40" t="s">
        <v>87</v>
      </c>
      <c r="O25" s="40" t="s">
        <v>87</v>
      </c>
      <c r="P25" s="11" t="s">
        <v>320</v>
      </c>
      <c r="Q25" s="11" t="s">
        <v>321</v>
      </c>
      <c r="R25" s="11" t="s">
        <v>322</v>
      </c>
      <c r="S25" s="11" t="s">
        <v>289</v>
      </c>
      <c r="BB25" s="5" t="s">
        <v>440</v>
      </c>
      <c r="BD25" s="5" t="s">
        <v>444</v>
      </c>
    </row>
    <row r="26" spans="2:56" ht="40" customHeight="1" x14ac:dyDescent="0.4">
      <c r="B26" s="97"/>
      <c r="C26" s="58"/>
      <c r="D26" s="99" t="str">
        <f>CONCATENATE(Store_Setting[[#This Row],[Product
serial number]], IF(Store_Setting[[#This Row],[Product name]]="","", _xlfn.CONCAT(" | ",Store_Setting[Product name])))</f>
        <v>16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identifier]],Store_History[Type],$D$79)</f>
        <v>0</v>
      </c>
      <c r="M26" s="100">
        <f>SUMIFS(Store_History[Quantity],Store_History[Unique identifier],Store_Setting[[#This Row],[Unique
identifier]],Store_History[Type],$E$79)</f>
        <v>0</v>
      </c>
      <c r="N26" s="40" t="s">
        <v>87</v>
      </c>
      <c r="O26" s="40" t="s">
        <v>87</v>
      </c>
      <c r="P26" s="11" t="s">
        <v>323</v>
      </c>
      <c r="Q26" s="11" t="s">
        <v>324</v>
      </c>
      <c r="R26" s="11" t="s">
        <v>325</v>
      </c>
      <c r="S26" s="11" t="s">
        <v>326</v>
      </c>
      <c r="BD26" s="5" t="s">
        <v>445</v>
      </c>
    </row>
    <row r="27" spans="2:56" ht="40" customHeight="1" x14ac:dyDescent="0.4">
      <c r="B27" s="97"/>
      <c r="C27" s="58"/>
      <c r="D27" s="99" t="str">
        <f>CONCATENATE(Store_Setting[[#This Row],[Product
serial number]], IF(Store_Setting[[#This Row],[Product name]]="","", _xlfn.CONCAT(" | ",Store_Setting[Product name])))</f>
        <v>17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identifier]],Store_History[Type],$D$79)</f>
        <v>0</v>
      </c>
      <c r="M27" s="100">
        <f>SUMIFS(Store_History[Quantity],Store_History[Unique identifier],Store_Setting[[#This Row],[Unique
identifier]],Store_History[Type],$E$79)</f>
        <v>0</v>
      </c>
      <c r="N27" s="40" t="s">
        <v>87</v>
      </c>
      <c r="O27" s="40" t="s">
        <v>87</v>
      </c>
      <c r="P27" s="11" t="s">
        <v>327</v>
      </c>
      <c r="Q27" s="11" t="s">
        <v>328</v>
      </c>
      <c r="R27" s="11" t="s">
        <v>329</v>
      </c>
      <c r="S27" s="11" t="s">
        <v>291</v>
      </c>
      <c r="BD27" s="5" t="s">
        <v>446</v>
      </c>
    </row>
    <row r="28" spans="2:56" ht="40" customHeight="1" x14ac:dyDescent="0.4">
      <c r="B28" s="97"/>
      <c r="C28" s="58"/>
      <c r="D28" s="99" t="str">
        <f>CONCATENATE(Store_Setting[[#This Row],[Product
serial number]], IF(Store_Setting[[#This Row],[Product name]]="","", _xlfn.CONCAT(" | ",Store_Setting[Product name])))</f>
        <v>18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identifier]],Store_History[Type],$D$79)</f>
        <v>0</v>
      </c>
      <c r="M28" s="100">
        <f>SUMIFS(Store_History[Quantity],Store_History[Unique identifier],Store_Setting[[#This Row],[Unique
identifier]],Store_History[Type],$E$79)</f>
        <v>0</v>
      </c>
      <c r="N28" s="40" t="s">
        <v>87</v>
      </c>
      <c r="O28" s="40" t="s">
        <v>87</v>
      </c>
      <c r="P28" s="11" t="s">
        <v>330</v>
      </c>
      <c r="Q28" s="11" t="s">
        <v>331</v>
      </c>
      <c r="R28" s="11" t="s">
        <v>332</v>
      </c>
      <c r="S28" s="11" t="s">
        <v>292</v>
      </c>
      <c r="BD28" s="5" t="s">
        <v>447</v>
      </c>
    </row>
    <row r="29" spans="2:56" ht="40" customHeight="1" x14ac:dyDescent="0.4">
      <c r="B29" s="97"/>
      <c r="C29" s="58"/>
      <c r="D29" s="99" t="str">
        <f>CONCATENATE(Store_Setting[[#This Row],[Product
serial number]], IF(Store_Setting[[#This Row],[Product name]]="","", _xlfn.CONCAT(" | ",Store_Setting[Product name])))</f>
        <v>19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identifier]],Store_History[Type],$D$79)</f>
        <v>0</v>
      </c>
      <c r="M29" s="100">
        <f>SUMIFS(Store_History[Quantity],Store_History[Unique identifier],Store_Setting[[#This Row],[Unique
identifier]],Store_History[Type],$E$79)</f>
        <v>0</v>
      </c>
      <c r="N29" s="40" t="s">
        <v>87</v>
      </c>
      <c r="O29" s="40" t="s">
        <v>87</v>
      </c>
      <c r="P29" s="11" t="s">
        <v>333</v>
      </c>
      <c r="Q29" s="11" t="s">
        <v>334</v>
      </c>
      <c r="R29" s="11" t="s">
        <v>335</v>
      </c>
      <c r="S29" s="11" t="s">
        <v>336</v>
      </c>
      <c r="BD29" s="5" t="s">
        <v>448</v>
      </c>
    </row>
    <row r="30" spans="2:56" ht="40" customHeight="1" x14ac:dyDescent="0.4">
      <c r="B30" s="97"/>
      <c r="C30" s="58"/>
      <c r="D30" s="99" t="str">
        <f>CONCATENATE(Store_Setting[[#This Row],[Product
serial number]], IF(Store_Setting[[#This Row],[Product name]]="","", _xlfn.CONCAT(" | ",Store_Setting[Product name])))</f>
        <v>20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identifier]],Store_History[Type],$D$79)</f>
        <v>0</v>
      </c>
      <c r="M30" s="100">
        <f>SUMIFS(Store_History[Quantity],Store_History[Unique identifier],Store_Setting[[#This Row],[Unique
identifier]],Store_History[Type],$E$79)</f>
        <v>0</v>
      </c>
      <c r="N30" s="40" t="s">
        <v>87</v>
      </c>
      <c r="O30" s="40" t="s">
        <v>87</v>
      </c>
      <c r="P30" s="11" t="s">
        <v>337</v>
      </c>
      <c r="Q30" s="11" t="s">
        <v>338</v>
      </c>
      <c r="R30" s="11" t="s">
        <v>339</v>
      </c>
      <c r="S30" s="11" t="s">
        <v>294</v>
      </c>
      <c r="BD30" s="5" t="s">
        <v>449</v>
      </c>
    </row>
    <row r="31" spans="2:56" ht="40" customHeight="1" x14ac:dyDescent="0.4">
      <c r="B31" s="97"/>
      <c r="C31" s="58"/>
      <c r="D31" s="99" t="str">
        <f>CONCATENATE(Store_Setting[[#This Row],[Product
serial number]], IF(Store_Setting[[#This Row],[Product name]]="","", _xlfn.CONCAT(" | ",Store_Setting[Product name])))</f>
        <v>21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identifier]],Store_History[Type],$D$79)</f>
        <v>0</v>
      </c>
      <c r="M31" s="100">
        <f>SUMIFS(Store_History[Quantity],Store_History[Unique identifier],Store_Setting[[#This Row],[Unique
identifier]],Store_History[Type],$E$79)</f>
        <v>0</v>
      </c>
      <c r="N31" s="40" t="s">
        <v>87</v>
      </c>
      <c r="O31" s="40" t="s">
        <v>87</v>
      </c>
      <c r="P31" s="11" t="s">
        <v>340</v>
      </c>
      <c r="Q31" s="11" t="s">
        <v>341</v>
      </c>
      <c r="R31" s="11" t="s">
        <v>342</v>
      </c>
      <c r="S31" s="11" t="s">
        <v>295</v>
      </c>
      <c r="BD31" s="5" t="s">
        <v>450</v>
      </c>
    </row>
    <row r="32" spans="2:56" ht="40" customHeight="1" x14ac:dyDescent="0.4">
      <c r="B32" s="97"/>
      <c r="C32" s="58"/>
      <c r="D32" s="99" t="str">
        <f>CONCATENATE(Store_Setting[[#This Row],[Product
serial number]], IF(Store_Setting[[#This Row],[Product name]]="","", _xlfn.CONCAT(" | ",Store_Setting[Product name])))</f>
        <v>22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identifier]],Store_History[Type],$D$79)</f>
        <v>0</v>
      </c>
      <c r="M32" s="100">
        <f>SUMIFS(Store_History[Quantity],Store_History[Unique identifier],Store_Setting[[#This Row],[Unique
identifier]],Store_History[Type],$E$79)</f>
        <v>0</v>
      </c>
      <c r="N32" s="40" t="s">
        <v>87</v>
      </c>
      <c r="O32" s="40" t="s">
        <v>87</v>
      </c>
      <c r="P32" s="11" t="s">
        <v>343</v>
      </c>
      <c r="Q32" s="11" t="s">
        <v>344</v>
      </c>
      <c r="R32" s="11" t="s">
        <v>345</v>
      </c>
      <c r="S32" s="11" t="s">
        <v>346</v>
      </c>
      <c r="BD32" s="5" t="s">
        <v>451</v>
      </c>
    </row>
    <row r="33" spans="2:56" ht="40" customHeight="1" x14ac:dyDescent="0.4">
      <c r="B33" s="97"/>
      <c r="C33" s="58"/>
      <c r="D33" s="99" t="str">
        <f>CONCATENATE(Store_Setting[[#This Row],[Product
serial number]], IF(Store_Setting[[#This Row],[Product name]]="","", _xlfn.CONCAT(" | ",Store_Setting[Product name])))</f>
        <v>23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identifier]],Store_History[Type],$D$79)</f>
        <v>0</v>
      </c>
      <c r="M33" s="100">
        <f>SUMIFS(Store_History[Quantity],Store_History[Unique identifier],Store_Setting[[#This Row],[Unique
identifier]],Store_History[Type],$E$79)</f>
        <v>0</v>
      </c>
      <c r="N33" s="40" t="s">
        <v>87</v>
      </c>
      <c r="O33" s="40" t="s">
        <v>87</v>
      </c>
      <c r="P33" s="11" t="s">
        <v>347</v>
      </c>
      <c r="Q33" s="11" t="s">
        <v>348</v>
      </c>
      <c r="R33" s="11" t="s">
        <v>349</v>
      </c>
      <c r="S33" s="11" t="s">
        <v>298</v>
      </c>
      <c r="BD33" s="5" t="s">
        <v>452</v>
      </c>
    </row>
    <row r="34" spans="2:56" ht="40" customHeight="1" x14ac:dyDescent="0.4">
      <c r="B34" s="97"/>
      <c r="C34" s="58"/>
      <c r="D34" s="99" t="str">
        <f>CONCATENATE(Store_Setting[[#This Row],[Product
serial number]], IF(Store_Setting[[#This Row],[Product name]]="","", _xlfn.CONCAT(" | ",Store_Setting[Product name])))</f>
        <v>24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identifier]],Store_History[Type],$D$79)</f>
        <v>0</v>
      </c>
      <c r="M34" s="100">
        <f>SUMIFS(Store_History[Quantity],Store_History[Unique identifier],Store_Setting[[#This Row],[Unique
identifier]],Store_History[Type],$E$79)</f>
        <v>0</v>
      </c>
      <c r="N34" s="40" t="s">
        <v>87</v>
      </c>
      <c r="O34" s="40" t="s">
        <v>87</v>
      </c>
      <c r="P34" s="11" t="s">
        <v>350</v>
      </c>
      <c r="Q34" s="11" t="s">
        <v>351</v>
      </c>
      <c r="R34" s="11" t="s">
        <v>352</v>
      </c>
      <c r="S34" s="11" t="s">
        <v>299</v>
      </c>
      <c r="BD34" s="5" t="s">
        <v>453</v>
      </c>
    </row>
    <row r="35" spans="2:56" ht="40" customHeight="1" x14ac:dyDescent="0.4">
      <c r="B35" s="97"/>
      <c r="C35" s="58"/>
      <c r="D35" s="99" t="str">
        <f>CONCATENATE(Store_Setting[[#This Row],[Product
serial number]], IF(Store_Setting[[#This Row],[Product name]]="","", _xlfn.CONCAT(" | ",Store_Setting[Product name])))</f>
        <v>25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identifier]],Store_History[Type],$D$79)</f>
        <v>0</v>
      </c>
      <c r="M35" s="100">
        <f>SUMIFS(Store_History[Quantity],Store_History[Unique identifier],Store_Setting[[#This Row],[Unique
identifier]],Store_History[Type],$E$79)</f>
        <v>0</v>
      </c>
      <c r="N35" s="40" t="s">
        <v>87</v>
      </c>
      <c r="O35" s="40" t="s">
        <v>87</v>
      </c>
      <c r="P35" s="11" t="s">
        <v>353</v>
      </c>
      <c r="Q35" s="11" t="s">
        <v>354</v>
      </c>
      <c r="R35" s="11" t="s">
        <v>355</v>
      </c>
      <c r="S35" s="11" t="s">
        <v>356</v>
      </c>
      <c r="BB35" s="5" t="s">
        <v>198</v>
      </c>
      <c r="BD35" s="5" t="s">
        <v>454</v>
      </c>
    </row>
    <row r="36" spans="2:56" ht="40" customHeight="1" x14ac:dyDescent="0.4">
      <c r="B36" s="97"/>
      <c r="C36" s="58"/>
      <c r="D36" s="99" t="str">
        <f>CONCATENATE(Store_Setting[[#This Row],[Product
serial number]], IF(Store_Setting[[#This Row],[Product name]]="","", _xlfn.CONCAT(" | ",Store_Setting[Product name])))</f>
        <v>26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identifier]],Store_History[Type],$D$79)</f>
        <v>0</v>
      </c>
      <c r="M36" s="100">
        <f>SUMIFS(Store_History[Quantity],Store_History[Unique identifier],Store_Setting[[#This Row],[Unique
identifier]],Store_History[Type],$E$79)</f>
        <v>0</v>
      </c>
      <c r="N36" s="40" t="s">
        <v>87</v>
      </c>
      <c r="O36" s="40" t="s">
        <v>87</v>
      </c>
      <c r="P36" s="11" t="s">
        <v>357</v>
      </c>
      <c r="Q36" s="11" t="s">
        <v>358</v>
      </c>
      <c r="R36" s="11" t="s">
        <v>359</v>
      </c>
      <c r="S36" s="11" t="s">
        <v>301</v>
      </c>
      <c r="BD36" s="5" t="s">
        <v>455</v>
      </c>
    </row>
    <row r="37" spans="2:56" ht="40" customHeight="1" x14ac:dyDescent="0.4">
      <c r="B37" s="97"/>
      <c r="C37" s="58"/>
      <c r="D37" s="99" t="str">
        <f>CONCATENATE(Store_Setting[[#This Row],[Product
serial number]], IF(Store_Setting[[#This Row],[Product name]]="","", _xlfn.CONCAT(" | ",Store_Setting[Product name])))</f>
        <v>27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identifier]],Store_History[Type],$D$79)</f>
        <v>0</v>
      </c>
      <c r="M37" s="100">
        <f>SUMIFS(Store_History[Quantity],Store_History[Unique identifier],Store_Setting[[#This Row],[Unique
identifier]],Store_History[Type],$E$79)</f>
        <v>0</v>
      </c>
      <c r="N37" s="40" t="s">
        <v>87</v>
      </c>
      <c r="O37" s="40" t="s">
        <v>87</v>
      </c>
      <c r="P37" s="11" t="s">
        <v>360</v>
      </c>
      <c r="Q37" s="11" t="s">
        <v>361</v>
      </c>
      <c r="R37" s="11" t="s">
        <v>362</v>
      </c>
      <c r="S37" s="11" t="s">
        <v>302</v>
      </c>
    </row>
    <row r="38" spans="2:56" ht="40" customHeight="1" x14ac:dyDescent="0.4">
      <c r="B38" s="97"/>
      <c r="C38" s="58"/>
      <c r="D38" s="99" t="str">
        <f>CONCATENATE(Store_Setting[[#This Row],[Product
serial number]], IF(Store_Setting[[#This Row],[Product name]]="","", _xlfn.CONCAT(" | ",Store_Setting[Product name])))</f>
        <v>28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identifier]],Store_History[Type],$D$79)</f>
        <v>0</v>
      </c>
      <c r="M38" s="100">
        <f>SUMIFS(Store_History[Quantity],Store_History[Unique identifier],Store_Setting[[#This Row],[Unique
identifier]],Store_History[Type],$E$79)</f>
        <v>0</v>
      </c>
      <c r="N38" s="40" t="s">
        <v>87</v>
      </c>
      <c r="O38" s="40" t="s">
        <v>87</v>
      </c>
      <c r="P38" s="11" t="s">
        <v>363</v>
      </c>
      <c r="Q38" s="11" t="s">
        <v>364</v>
      </c>
      <c r="R38" s="11" t="s">
        <v>365</v>
      </c>
      <c r="S38" s="11" t="s">
        <v>366</v>
      </c>
    </row>
    <row r="39" spans="2:56" ht="40" customHeight="1" x14ac:dyDescent="0.4">
      <c r="B39" s="97"/>
      <c r="C39" s="58"/>
      <c r="D39" s="99" t="str">
        <f>CONCATENATE(Store_Setting[[#This Row],[Product
serial number]], IF(Store_Setting[[#This Row],[Product name]]="","", _xlfn.CONCAT(" | ",Store_Setting[Product name])))</f>
        <v>29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identifier]],Store_History[Type],$D$79)</f>
        <v>0</v>
      </c>
      <c r="M39" s="100">
        <f>SUMIFS(Store_History[Quantity],Store_History[Unique identifier],Store_Setting[[#This Row],[Unique
identifier]],Store_History[Type],$E$79)</f>
        <v>0</v>
      </c>
      <c r="N39" s="40" t="s">
        <v>87</v>
      </c>
      <c r="O39" s="40" t="s">
        <v>87</v>
      </c>
      <c r="P39" s="11" t="s">
        <v>367</v>
      </c>
      <c r="Q39" s="11" t="s">
        <v>368</v>
      </c>
      <c r="R39" s="11" t="s">
        <v>369</v>
      </c>
      <c r="S39" s="11" t="s">
        <v>304</v>
      </c>
    </row>
    <row r="40" spans="2:56" ht="40" customHeight="1" x14ac:dyDescent="0.4">
      <c r="B40" s="97"/>
      <c r="C40" s="58"/>
      <c r="D40" s="99" t="str">
        <f>CONCATENATE(Store_Setting[[#This Row],[Product
serial number]], IF(Store_Setting[[#This Row],[Product name]]="","", _xlfn.CONCAT(" | ",Store_Setting[Product name])))</f>
        <v>30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identifier]],Store_History[Type],$D$79)</f>
        <v>0</v>
      </c>
      <c r="M40" s="100">
        <f>SUMIFS(Store_History[Quantity],Store_History[Unique identifier],Store_Setting[[#This Row],[Unique
identifier]],Store_History[Type],$E$79)</f>
        <v>0</v>
      </c>
      <c r="N40" s="40" t="s">
        <v>87</v>
      </c>
      <c r="O40" s="40" t="s">
        <v>87</v>
      </c>
      <c r="P40" s="11" t="s">
        <v>370</v>
      </c>
      <c r="Q40" s="11" t="s">
        <v>371</v>
      </c>
      <c r="R40" s="11" t="s">
        <v>372</v>
      </c>
      <c r="S40" s="11" t="s">
        <v>305</v>
      </c>
    </row>
    <row r="41" spans="2:56" ht="40" customHeight="1" x14ac:dyDescent="0.4">
      <c r="B41" s="97"/>
      <c r="C41" s="58"/>
      <c r="D41" s="99" t="str">
        <f>CONCATENATE(Store_Setting[[#This Row],[Product
serial number]], IF(Store_Setting[[#This Row],[Product name]]="","", _xlfn.CONCAT(" | ",Store_Setting[Product name])))</f>
        <v>31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identifier]],Store_History[Type],$D$79)</f>
        <v>0</v>
      </c>
      <c r="M41" s="100">
        <f>SUMIFS(Store_History[Quantity],Store_History[Unique identifier],Store_Setting[[#This Row],[Unique
identifier]],Store_History[Type],$E$79)</f>
        <v>0</v>
      </c>
      <c r="N41" s="40" t="s">
        <v>87</v>
      </c>
      <c r="O41" s="40" t="s">
        <v>87</v>
      </c>
      <c r="P41" s="11" t="s">
        <v>373</v>
      </c>
      <c r="Q41" s="11" t="s">
        <v>374</v>
      </c>
      <c r="R41" s="11" t="s">
        <v>375</v>
      </c>
      <c r="S41" s="11" t="s">
        <v>376</v>
      </c>
    </row>
    <row r="42" spans="2:56" ht="40" customHeight="1" x14ac:dyDescent="0.4">
      <c r="B42" s="97"/>
      <c r="C42" s="58"/>
      <c r="D42" s="99" t="str">
        <f>CONCATENATE(Store_Setting[[#This Row],[Product
serial number]], IF(Store_Setting[[#This Row],[Product name]]="","", _xlfn.CONCAT(" | ",Store_Setting[Product name])))</f>
        <v>32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identifier]],Store_History[Type],$D$79)</f>
        <v>0</v>
      </c>
      <c r="M42" s="100">
        <f>SUMIFS(Store_History[Quantity],Store_History[Unique identifier],Store_Setting[[#This Row],[Unique
identifier]],Store_History[Type],$E$79)</f>
        <v>0</v>
      </c>
      <c r="N42" s="40" t="s">
        <v>87</v>
      </c>
      <c r="O42" s="40" t="s">
        <v>87</v>
      </c>
      <c r="P42" s="11" t="s">
        <v>377</v>
      </c>
      <c r="Q42" s="11" t="s">
        <v>378</v>
      </c>
      <c r="R42" s="11" t="s">
        <v>379</v>
      </c>
      <c r="S42" s="11" t="s">
        <v>308</v>
      </c>
    </row>
    <row r="43" spans="2:56" ht="40" customHeight="1" x14ac:dyDescent="0.4">
      <c r="B43" s="97"/>
      <c r="C43" s="58"/>
      <c r="D43" s="99" t="str">
        <f>CONCATENATE(Store_Setting[[#This Row],[Product
serial number]], IF(Store_Setting[[#This Row],[Product name]]="","", _xlfn.CONCAT(" | ",Store_Setting[Product name])))</f>
        <v>33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identifier]],Store_History[Type],$D$79)</f>
        <v>0</v>
      </c>
      <c r="M43" s="100">
        <f>SUMIFS(Store_History[Quantity],Store_History[Unique identifier],Store_Setting[[#This Row],[Unique
identifier]],Store_History[Type],$E$79)</f>
        <v>0</v>
      </c>
      <c r="N43" s="40" t="s">
        <v>87</v>
      </c>
      <c r="O43" s="40" t="s">
        <v>87</v>
      </c>
      <c r="P43" s="11" t="s">
        <v>380</v>
      </c>
      <c r="Q43" s="11" t="s">
        <v>381</v>
      </c>
      <c r="R43" s="11" t="s">
        <v>382</v>
      </c>
      <c r="S43" s="11" t="s">
        <v>309</v>
      </c>
    </row>
    <row r="44" spans="2:56" ht="40" customHeight="1" x14ac:dyDescent="0.4">
      <c r="B44" s="97"/>
      <c r="C44" s="58"/>
      <c r="D44" s="99" t="str">
        <f>CONCATENATE(Store_Setting[[#This Row],[Product
serial number]], IF(Store_Setting[[#This Row],[Product name]]="","", _xlfn.CONCAT(" | ",Store_Setting[Product name])))</f>
        <v>34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identifier]],Store_History[Type],$D$79)</f>
        <v>0</v>
      </c>
      <c r="M44" s="100">
        <f>SUMIFS(Store_History[Quantity],Store_History[Unique identifier],Store_Setting[[#This Row],[Unique
identifier]],Store_History[Type],$E$79)</f>
        <v>0</v>
      </c>
      <c r="N44" s="40" t="s">
        <v>87</v>
      </c>
      <c r="O44" s="40" t="s">
        <v>87</v>
      </c>
      <c r="P44" s="11" t="s">
        <v>383</v>
      </c>
      <c r="Q44" s="11" t="s">
        <v>384</v>
      </c>
      <c r="R44" s="11" t="s">
        <v>385</v>
      </c>
      <c r="S44" s="11" t="s">
        <v>386</v>
      </c>
    </row>
    <row r="45" spans="2:56" ht="40" customHeight="1" x14ac:dyDescent="0.4">
      <c r="B45" s="97"/>
      <c r="C45" s="58"/>
      <c r="D45" s="99" t="str">
        <f>CONCATENATE(Store_Setting[[#This Row],[Product
serial number]], IF(Store_Setting[[#This Row],[Product name]]="","", _xlfn.CONCAT(" | ",Store_Setting[Product name])))</f>
        <v>35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identifier]],Store_History[Type],$D$79)</f>
        <v>0</v>
      </c>
      <c r="M45" s="100">
        <f>SUMIFS(Store_History[Quantity],Store_History[Unique identifier],Store_Setting[[#This Row],[Unique
identifier]],Store_History[Type],$E$79)</f>
        <v>0</v>
      </c>
      <c r="N45" s="40" t="s">
        <v>87</v>
      </c>
      <c r="O45" s="40" t="s">
        <v>87</v>
      </c>
      <c r="P45" s="11" t="s">
        <v>387</v>
      </c>
      <c r="Q45" s="11" t="s">
        <v>388</v>
      </c>
      <c r="R45" s="11" t="s">
        <v>389</v>
      </c>
      <c r="S45" s="11" t="s">
        <v>311</v>
      </c>
    </row>
    <row r="46" spans="2:56" ht="40" customHeight="1" x14ac:dyDescent="0.4">
      <c r="B46" s="97"/>
      <c r="C46" s="58"/>
      <c r="D46" s="99" t="str">
        <f>CONCATENATE(Store_Setting[[#This Row],[Product
serial number]], IF(Store_Setting[[#This Row],[Product name]]="","", _xlfn.CONCAT(" | ",Store_Setting[Product name])))</f>
        <v>36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identifier]],Store_History[Type],$D$79)</f>
        <v>0</v>
      </c>
      <c r="M46" s="100">
        <f>SUMIFS(Store_History[Quantity],Store_History[Unique identifier],Store_Setting[[#This Row],[Unique
identifier]],Store_History[Type],$E$79)</f>
        <v>0</v>
      </c>
      <c r="N46" s="40" t="s">
        <v>87</v>
      </c>
      <c r="O46" s="40" t="s">
        <v>87</v>
      </c>
      <c r="P46" s="11" t="s">
        <v>390</v>
      </c>
      <c r="Q46" s="11" t="s">
        <v>391</v>
      </c>
      <c r="R46" s="11" t="s">
        <v>392</v>
      </c>
      <c r="S46" s="11" t="s">
        <v>312</v>
      </c>
    </row>
    <row r="47" spans="2:56" ht="40" customHeight="1" x14ac:dyDescent="0.4">
      <c r="B47" s="97"/>
      <c r="C47" s="58"/>
      <c r="D47" s="99" t="str">
        <f>CONCATENATE(Store_Setting[[#This Row],[Product
serial number]], IF(Store_Setting[[#This Row],[Product name]]="","", _xlfn.CONCAT(" | ",Store_Setting[Product name])))</f>
        <v>37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identifier]],Store_History[Type],$D$79)</f>
        <v>0</v>
      </c>
      <c r="M47" s="100">
        <f>SUMIFS(Store_History[Quantity],Store_History[Unique identifier],Store_Setting[[#This Row],[Unique
identifier]],Store_History[Type],$E$79)</f>
        <v>0</v>
      </c>
      <c r="N47" s="40" t="s">
        <v>87</v>
      </c>
      <c r="O47" s="40" t="s">
        <v>87</v>
      </c>
      <c r="P47" s="11" t="s">
        <v>393</v>
      </c>
      <c r="Q47" s="11" t="s">
        <v>394</v>
      </c>
      <c r="R47" s="11" t="s">
        <v>395</v>
      </c>
      <c r="S47" s="11" t="s">
        <v>396</v>
      </c>
    </row>
    <row r="48" spans="2:56" ht="40" customHeight="1" x14ac:dyDescent="0.4">
      <c r="B48" s="97"/>
      <c r="C48" s="58"/>
      <c r="D48" s="99" t="str">
        <f>CONCATENATE(Store_Setting[[#This Row],[Product
serial number]], IF(Store_Setting[[#This Row],[Product name]]="","", _xlfn.CONCAT(" | ",Store_Setting[Product name])))</f>
        <v>38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identifier]],Store_History[Type],$D$79)</f>
        <v>0</v>
      </c>
      <c r="M48" s="100">
        <f>SUMIFS(Store_History[Quantity],Store_History[Unique identifier],Store_Setting[[#This Row],[Unique
identifier]],Store_History[Type],$E$79)</f>
        <v>0</v>
      </c>
      <c r="N48" s="40" t="s">
        <v>87</v>
      </c>
      <c r="O48" s="40" t="s">
        <v>87</v>
      </c>
      <c r="P48" s="11" t="s">
        <v>397</v>
      </c>
      <c r="Q48" s="11" t="s">
        <v>398</v>
      </c>
      <c r="R48" s="11" t="s">
        <v>399</v>
      </c>
      <c r="S48" s="11" t="s">
        <v>314</v>
      </c>
    </row>
    <row r="49" spans="2:19" ht="40" customHeight="1" x14ac:dyDescent="0.4">
      <c r="B49" s="97"/>
      <c r="C49" s="58"/>
      <c r="D49" s="99" t="str">
        <f>CONCATENATE(Store_Setting[[#This Row],[Product
serial number]], IF(Store_Setting[[#This Row],[Product name]]="","", _xlfn.CONCAT(" | ",Store_Setting[Product name])))</f>
        <v>39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identifier]],Store_History[Type],$D$79)</f>
        <v>0</v>
      </c>
      <c r="M49" s="100">
        <f>SUMIFS(Store_History[Quantity],Store_History[Unique identifier],Store_Setting[[#This Row],[Unique
identifier]],Store_History[Type],$E$79)</f>
        <v>0</v>
      </c>
      <c r="N49" s="40" t="s">
        <v>87</v>
      </c>
      <c r="O49" s="40" t="s">
        <v>87</v>
      </c>
      <c r="P49" s="11" t="s">
        <v>400</v>
      </c>
      <c r="Q49" s="11" t="s">
        <v>401</v>
      </c>
      <c r="R49" s="11" t="s">
        <v>402</v>
      </c>
      <c r="S49" s="11" t="s">
        <v>315</v>
      </c>
    </row>
    <row r="50" spans="2:19" ht="40" customHeight="1" x14ac:dyDescent="0.4">
      <c r="B50" s="97"/>
      <c r="C50" s="58"/>
      <c r="D50" s="99" t="str">
        <f>CONCATENATE(Store_Setting[[#This Row],[Product
serial number]], IF(Store_Setting[[#This Row],[Product name]]="","", _xlfn.CONCAT(" | ",Store_Setting[Product name])))</f>
        <v>40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identifier]],Store_History[Type],$D$79)</f>
        <v>0</v>
      </c>
      <c r="M50" s="100">
        <f>SUMIFS(Store_History[Quantity],Store_History[Unique identifier],Store_Setting[[#This Row],[Unique
identifier]],Store_History[Type],$E$79)</f>
        <v>0</v>
      </c>
      <c r="N50" s="40" t="s">
        <v>87</v>
      </c>
      <c r="O50" s="40" t="s">
        <v>87</v>
      </c>
      <c r="P50" s="11" t="s">
        <v>403</v>
      </c>
      <c r="Q50" s="11" t="s">
        <v>404</v>
      </c>
      <c r="R50" s="11" t="s">
        <v>405</v>
      </c>
      <c r="S50" s="11" t="s">
        <v>406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200</v>
      </c>
      <c r="D52" s="62" t="s">
        <v>90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201</v>
      </c>
      <c r="D53" s="63" t="s">
        <v>89</v>
      </c>
      <c r="E53" s="63" t="s">
        <v>90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199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65</v>
      </c>
      <c r="D56" s="103" t="s">
        <v>74</v>
      </c>
      <c r="E56" s="103" t="s">
        <v>75</v>
      </c>
      <c r="F56" s="103" t="s">
        <v>76</v>
      </c>
      <c r="G56" s="104" t="s">
        <v>77</v>
      </c>
      <c r="H56" s="104" t="s">
        <v>1</v>
      </c>
      <c r="I56" s="104" t="s">
        <v>78</v>
      </c>
      <c r="J56" s="104" t="s">
        <v>412</v>
      </c>
      <c r="K56" s="104" t="s">
        <v>413</v>
      </c>
      <c r="L56" s="104" t="s">
        <v>93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87</v>
      </c>
      <c r="E57" s="65" t="s">
        <v>88</v>
      </c>
      <c r="F57" s="65" t="s">
        <v>88</v>
      </c>
      <c r="G57" s="65" t="s">
        <v>88</v>
      </c>
      <c r="H57" s="65" t="s">
        <v>88</v>
      </c>
      <c r="I57" s="65" t="s">
        <v>88</v>
      </c>
      <c r="J57" s="105"/>
      <c r="K57" s="105"/>
      <c r="L57" s="105"/>
      <c r="M57" s="105"/>
      <c r="N57" s="105"/>
      <c r="O57" s="105"/>
    </row>
    <row r="58" spans="2:19" ht="50.05" customHeight="1" x14ac:dyDescent="0.4">
      <c r="B58" s="97"/>
      <c r="C58" s="101" t="s">
        <v>416</v>
      </c>
      <c r="D58" s="65" t="s">
        <v>415</v>
      </c>
      <c r="E58" s="65" t="s">
        <v>415</v>
      </c>
      <c r="F58" s="65" t="s">
        <v>437</v>
      </c>
      <c r="G58" s="65" t="s">
        <v>415</v>
      </c>
      <c r="H58" s="65" t="s">
        <v>437</v>
      </c>
      <c r="I58" s="65" t="s">
        <v>437</v>
      </c>
      <c r="J58" s="65" t="s">
        <v>415</v>
      </c>
      <c r="K58" s="65" t="s">
        <v>415</v>
      </c>
      <c r="L58" s="65" t="s">
        <v>415</v>
      </c>
      <c r="M58" s="106" t="s">
        <v>414</v>
      </c>
      <c r="N58" s="105"/>
      <c r="O58" s="105"/>
    </row>
    <row r="59" spans="2:19" ht="50.05" customHeight="1" x14ac:dyDescent="0.4">
      <c r="B59" s="97"/>
      <c r="C59" s="101" t="s">
        <v>417</v>
      </c>
      <c r="D59" s="65" t="s">
        <v>415</v>
      </c>
      <c r="E59" s="65" t="s">
        <v>415</v>
      </c>
      <c r="F59" s="65" t="s">
        <v>415</v>
      </c>
      <c r="G59" s="65" t="s">
        <v>415</v>
      </c>
      <c r="H59" s="65" t="s">
        <v>415</v>
      </c>
      <c r="I59" s="65" t="s">
        <v>415</v>
      </c>
      <c r="J59" s="106"/>
      <c r="K59" s="65" t="s">
        <v>415</v>
      </c>
      <c r="L59" s="65" t="s">
        <v>415</v>
      </c>
      <c r="M59" s="106"/>
      <c r="N59" s="105"/>
      <c r="O59" s="105"/>
    </row>
    <row r="60" spans="2:19" ht="50.05" customHeight="1" x14ac:dyDescent="0.4">
      <c r="B60" s="97"/>
      <c r="C60" s="101" t="s">
        <v>458</v>
      </c>
      <c r="D60" s="65" t="s">
        <v>87</v>
      </c>
      <c r="E60" s="106" t="s">
        <v>86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05" customHeight="1" x14ac:dyDescent="0.4">
      <c r="B61" s="97"/>
      <c r="C61" s="101" t="s">
        <v>255</v>
      </c>
      <c r="D61" s="65" t="s">
        <v>87</v>
      </c>
      <c r="E61" s="106" t="s">
        <v>257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420</v>
      </c>
      <c r="D62" s="65" t="s">
        <v>87</v>
      </c>
      <c r="E62" s="106" t="s">
        <v>419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05" customHeight="1" x14ac:dyDescent="0.4">
      <c r="B63" s="97"/>
      <c r="C63" s="101" t="s">
        <v>258</v>
      </c>
      <c r="D63" s="65" t="s">
        <v>87</v>
      </c>
      <c r="E63" s="106" t="s">
        <v>256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101</v>
      </c>
      <c r="D65" s="62" t="s">
        <v>191</v>
      </c>
      <c r="E65" s="62" t="s">
        <v>192</v>
      </c>
      <c r="F65" s="62" t="s">
        <v>72</v>
      </c>
      <c r="G65" s="62" t="s">
        <v>193</v>
      </c>
      <c r="H65" s="62" t="s">
        <v>194</v>
      </c>
      <c r="I65" s="62" t="s">
        <v>73</v>
      </c>
      <c r="J65" s="62" t="s">
        <v>195</v>
      </c>
      <c r="K65" s="62"/>
      <c r="L65" s="62"/>
      <c r="M65" s="62"/>
      <c r="N65" s="62"/>
      <c r="O65" s="62"/>
    </row>
    <row r="66" spans="2:15" ht="50.05" customHeight="1" x14ac:dyDescent="0.4">
      <c r="B66" s="97"/>
      <c r="C66" s="101" t="s">
        <v>66</v>
      </c>
      <c r="D66" s="65" t="s">
        <v>87</v>
      </c>
      <c r="E66" s="106" t="s">
        <v>85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05" customHeight="1" x14ac:dyDescent="0.4">
      <c r="B67" s="97"/>
      <c r="C67" s="101" t="s">
        <v>259</v>
      </c>
      <c r="D67" s="65" t="s">
        <v>87</v>
      </c>
      <c r="E67" s="106" t="s">
        <v>261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05" customHeight="1" x14ac:dyDescent="0.4">
      <c r="B68" s="97"/>
      <c r="C68" s="101" t="s">
        <v>260</v>
      </c>
      <c r="D68" s="65" t="s">
        <v>87</v>
      </c>
      <c r="E68" s="106" t="s">
        <v>262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97" t="s">
        <v>56</v>
      </c>
      <c r="C70" s="101" t="s">
        <v>422</v>
      </c>
      <c r="D70" s="103" t="s">
        <v>64</v>
      </c>
      <c r="E70" s="65" t="s">
        <v>87</v>
      </c>
      <c r="F70" s="106" t="s">
        <v>457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40" customHeight="1" x14ac:dyDescent="0.4">
      <c r="B71" s="97"/>
      <c r="C71" s="101"/>
      <c r="D71" s="103" t="s">
        <v>459</v>
      </c>
      <c r="E71" s="65" t="s">
        <v>87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198</v>
      </c>
      <c r="E72" s="65" t="s">
        <v>87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s="129" customFormat="1" ht="8.25" customHeight="1" x14ac:dyDescent="0.4">
      <c r="B73" s="128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2:15" s="129" customFormat="1" ht="50.05" customHeight="1" x14ac:dyDescent="0.4">
      <c r="B74" s="131" t="s">
        <v>57</v>
      </c>
      <c r="C74" s="132" t="s">
        <v>463</v>
      </c>
      <c r="D74" s="133" t="s">
        <v>464</v>
      </c>
      <c r="E74" s="65" t="s">
        <v>88</v>
      </c>
      <c r="F74" s="134" t="s">
        <v>461</v>
      </c>
      <c r="G74" s="135"/>
      <c r="H74" s="135"/>
      <c r="I74" s="135"/>
      <c r="J74" s="135"/>
      <c r="K74" s="135"/>
      <c r="L74" s="135"/>
      <c r="M74" s="135"/>
      <c r="N74" s="135"/>
      <c r="O74" s="135"/>
    </row>
    <row r="75" spans="2:15" s="129" customFormat="1" ht="40" customHeight="1" x14ac:dyDescent="0.4">
      <c r="B75" s="131"/>
      <c r="C75" s="132"/>
      <c r="D75" s="133" t="s">
        <v>462</v>
      </c>
      <c r="E75" s="138"/>
      <c r="F75" s="136"/>
      <c r="G75" s="136"/>
      <c r="H75" s="136"/>
      <c r="I75" s="136"/>
      <c r="J75" s="136"/>
      <c r="K75" s="136"/>
      <c r="L75" s="136"/>
      <c r="M75" s="136"/>
      <c r="N75" s="136"/>
      <c r="O75" s="137"/>
    </row>
    <row r="76" spans="2:15" ht="8.15" hidden="1" customHeight="1" x14ac:dyDescent="0.4">
      <c r="C76" s="90"/>
    </row>
    <row r="77" spans="2:15" ht="40" hidden="1" customHeight="1" x14ac:dyDescent="0.4">
      <c r="B77" s="108" t="s">
        <v>58</v>
      </c>
      <c r="C77" s="101" t="s">
        <v>99</v>
      </c>
      <c r="D77" s="109" t="s">
        <v>68</v>
      </c>
      <c r="E77" s="109" t="s">
        <v>70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</row>
    <row r="78" spans="2:15" ht="8.15" hidden="1" customHeight="1" x14ac:dyDescent="0.4">
      <c r="B78" s="102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hidden="1" customHeight="1" x14ac:dyDescent="0.4">
      <c r="B79" s="108" t="s">
        <v>421</v>
      </c>
      <c r="C79" s="101" t="s">
        <v>67</v>
      </c>
      <c r="D79" s="109" t="s">
        <v>69</v>
      </c>
      <c r="E79" s="109" t="s">
        <v>71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</row>
    <row r="80" spans="2:15" ht="8.15" hidden="1" customHeight="1" x14ac:dyDescent="0.4">
      <c r="B80" s="102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8" t="s">
        <v>460</v>
      </c>
      <c r="C81" s="101" t="s">
        <v>75</v>
      </c>
      <c r="D81" s="109" t="s">
        <v>196</v>
      </c>
      <c r="E81" s="109" t="s">
        <v>197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</row>
    <row r="82" spans="2:15" ht="8.15" customHeight="1" x14ac:dyDescent="0.4">
      <c r="B82" s="10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customHeight="1" x14ac:dyDescent="0.4">
      <c r="B83" s="108" t="s">
        <v>244</v>
      </c>
      <c r="C83" s="111" t="s">
        <v>48</v>
      </c>
      <c r="D83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3" s="105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8"/>
      <c r="C84" s="112" t="s">
        <v>64</v>
      </c>
      <c r="D84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1" t="s">
        <v>198</v>
      </c>
      <c r="D85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5" s="105"/>
      <c r="F85" s="58"/>
      <c r="G85" s="113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49</v>
      </c>
      <c r="D86" s="106" t="str">
        <f>_xlfn.CONCAT("Shared ", COUNTA(Get_Staff_Member)," employees")</f>
        <v>Shared 2 employees</v>
      </c>
      <c r="E86" s="105"/>
      <c r="F86" s="58"/>
      <c r="G86" s="58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101</v>
      </c>
      <c r="D87" s="106" t="str">
        <f>_xlfn.CONCAT("Has been set ", COUNTA(Get_Work_Unit)," units")</f>
        <v>Has been set 7 units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16" customHeight="1" x14ac:dyDescent="0.4"/>
    <row r="89" spans="2:15" ht="40" customHeight="1" x14ac:dyDescent="0.4">
      <c r="B89" s="114" t="s">
        <v>59</v>
      </c>
      <c r="C89" s="115"/>
      <c r="D89" s="115"/>
      <c r="E89" s="115"/>
    </row>
    <row r="90" spans="2:15" ht="40" customHeight="1" x14ac:dyDescent="0.4">
      <c r="B90" s="116" t="s">
        <v>60</v>
      </c>
      <c r="C90" s="66" t="s">
        <v>23</v>
      </c>
      <c r="D90" s="67"/>
      <c r="E90" s="67"/>
    </row>
    <row r="91" spans="2:15" ht="40" customHeight="1" x14ac:dyDescent="0.4">
      <c r="B91" s="116" t="s">
        <v>61</v>
      </c>
      <c r="C91" s="117" t="s">
        <v>0</v>
      </c>
      <c r="D91" s="118"/>
      <c r="E91" s="118"/>
    </row>
    <row r="92" spans="2:15" ht="40" customHeight="1" x14ac:dyDescent="0.4">
      <c r="B92" s="116" t="s">
        <v>62</v>
      </c>
      <c r="C92" s="66" t="s">
        <v>22</v>
      </c>
      <c r="D92" s="67"/>
      <c r="E92" s="67"/>
    </row>
    <row r="93" spans="2:15" ht="40" customHeight="1" x14ac:dyDescent="0.4">
      <c r="B93" s="116" t="s">
        <v>63</v>
      </c>
      <c r="C93" s="66" t="s">
        <v>411</v>
      </c>
      <c r="D93" s="66"/>
      <c r="E93" s="66"/>
    </row>
    <row r="94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 E74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3" xr:uid="{0105E628-22D3-4798-BE42-81765477FA35}">
      <formula1>"是, 否"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246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79</v>
      </c>
      <c r="D7" s="54" t="s">
        <v>98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247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243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97</v>
      </c>
      <c r="D11" s="54" t="s">
        <v>99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100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101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93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248</v>
      </c>
      <c r="D17" s="54" t="s">
        <v>94</v>
      </c>
      <c r="E17" s="56" t="s">
        <v>90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103</v>
      </c>
      <c r="C4" s="122" t="s">
        <v>98</v>
      </c>
      <c r="D4" s="122" t="s">
        <v>99</v>
      </c>
      <c r="E4" s="122" t="s">
        <v>100</v>
      </c>
      <c r="F4" s="122" t="s">
        <v>101</v>
      </c>
      <c r="G4" s="122" t="s">
        <v>102</v>
      </c>
      <c r="H4" s="122" t="s">
        <v>94</v>
      </c>
      <c r="I4" s="122" t="s">
        <v>93</v>
      </c>
      <c r="J4" s="23" t="s">
        <v>423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69</v>
      </c>
      <c r="E5" s="124"/>
      <c r="F5" s="78"/>
      <c r="G5" s="77">
        <v>45268.505555555559</v>
      </c>
      <c r="H5" s="9" t="s">
        <v>90</v>
      </c>
      <c r="I5" s="125" t="s">
        <v>426</v>
      </c>
      <c r="J5" s="126" t="s">
        <v>424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246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95</v>
      </c>
      <c r="D7" s="47" t="s">
        <v>98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91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74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75</v>
      </c>
      <c r="E10" s="51"/>
      <c r="F10" s="38"/>
      <c r="G10" s="20"/>
    </row>
    <row r="11" spans="1:8" ht="35.15" customHeight="1" x14ac:dyDescent="0.4">
      <c r="B11" s="5"/>
      <c r="C11" s="5"/>
      <c r="D11" s="49" t="s">
        <v>189</v>
      </c>
      <c r="E11" s="52"/>
      <c r="F11" s="38"/>
      <c r="G11" s="20"/>
    </row>
    <row r="12" spans="1:8" ht="35.15" customHeight="1" x14ac:dyDescent="0.4">
      <c r="B12" s="5"/>
      <c r="C12" s="5"/>
      <c r="D12" s="49" t="s">
        <v>77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96</v>
      </c>
      <c r="D14" s="49" t="s">
        <v>92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78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93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248</v>
      </c>
      <c r="D20" s="54" t="s">
        <v>94</v>
      </c>
      <c r="E20" s="51" t="s">
        <v>90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1" t="s">
        <v>186</v>
      </c>
      <c r="DU4" s="141"/>
      <c r="DV4" s="141"/>
      <c r="DW4" s="141"/>
      <c r="DX4" s="141"/>
      <c r="DY4" s="141" t="s">
        <v>187</v>
      </c>
      <c r="DZ4" s="141"/>
      <c r="EA4" s="141"/>
      <c r="EB4" s="141" t="s">
        <v>188</v>
      </c>
      <c r="EC4" s="141"/>
      <c r="ED4" s="22" t="s">
        <v>418</v>
      </c>
      <c r="EE4" s="142" t="s">
        <v>263</v>
      </c>
      <c r="EF4" s="142"/>
      <c r="EG4" s="142"/>
      <c r="EH4" s="76" t="s">
        <v>425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103</v>
      </c>
      <c r="C6" s="8" t="s">
        <v>98</v>
      </c>
      <c r="D6" s="8" t="s">
        <v>205</v>
      </c>
      <c r="E6" s="8" t="s">
        <v>104</v>
      </c>
      <c r="F6" s="8" t="s">
        <v>105</v>
      </c>
      <c r="G6" s="8" t="s">
        <v>206</v>
      </c>
      <c r="H6" s="8" t="s">
        <v>106</v>
      </c>
      <c r="I6" s="8" t="s">
        <v>107</v>
      </c>
      <c r="J6" s="8" t="s">
        <v>207</v>
      </c>
      <c r="K6" s="8" t="s">
        <v>108</v>
      </c>
      <c r="L6" s="8" t="s">
        <v>109</v>
      </c>
      <c r="M6" s="8" t="s">
        <v>208</v>
      </c>
      <c r="N6" s="8" t="s">
        <v>110</v>
      </c>
      <c r="O6" s="8" t="s">
        <v>111</v>
      </c>
      <c r="P6" s="8" t="s">
        <v>209</v>
      </c>
      <c r="Q6" s="8" t="s">
        <v>112</v>
      </c>
      <c r="R6" s="8" t="s">
        <v>113</v>
      </c>
      <c r="S6" s="8" t="s">
        <v>210</v>
      </c>
      <c r="T6" s="8" t="s">
        <v>114</v>
      </c>
      <c r="U6" s="8" t="s">
        <v>115</v>
      </c>
      <c r="V6" s="8" t="s">
        <v>211</v>
      </c>
      <c r="W6" s="8" t="s">
        <v>116</v>
      </c>
      <c r="X6" s="8" t="s">
        <v>117</v>
      </c>
      <c r="Y6" s="8" t="s">
        <v>212</v>
      </c>
      <c r="Z6" s="8" t="s">
        <v>118</v>
      </c>
      <c r="AA6" s="8" t="s">
        <v>119</v>
      </c>
      <c r="AB6" s="8" t="s">
        <v>213</v>
      </c>
      <c r="AC6" s="8" t="s">
        <v>120</v>
      </c>
      <c r="AD6" s="8" t="s">
        <v>121</v>
      </c>
      <c r="AE6" s="8" t="s">
        <v>214</v>
      </c>
      <c r="AF6" s="8" t="s">
        <v>122</v>
      </c>
      <c r="AG6" s="8" t="s">
        <v>123</v>
      </c>
      <c r="AH6" s="8" t="s">
        <v>215</v>
      </c>
      <c r="AI6" s="8" t="s">
        <v>124</v>
      </c>
      <c r="AJ6" s="8" t="s">
        <v>125</v>
      </c>
      <c r="AK6" s="8" t="s">
        <v>216</v>
      </c>
      <c r="AL6" s="8" t="s">
        <v>126</v>
      </c>
      <c r="AM6" s="8" t="s">
        <v>127</v>
      </c>
      <c r="AN6" s="8" t="s">
        <v>217</v>
      </c>
      <c r="AO6" s="8" t="s">
        <v>128</v>
      </c>
      <c r="AP6" s="8" t="s">
        <v>129</v>
      </c>
      <c r="AQ6" s="8" t="s">
        <v>218</v>
      </c>
      <c r="AR6" s="8" t="s">
        <v>130</v>
      </c>
      <c r="AS6" s="8" t="s">
        <v>131</v>
      </c>
      <c r="AT6" s="8" t="s">
        <v>219</v>
      </c>
      <c r="AU6" s="8" t="s">
        <v>132</v>
      </c>
      <c r="AV6" s="8" t="s">
        <v>133</v>
      </c>
      <c r="AW6" s="8" t="s">
        <v>220</v>
      </c>
      <c r="AX6" s="8" t="s">
        <v>134</v>
      </c>
      <c r="AY6" s="8" t="s">
        <v>135</v>
      </c>
      <c r="AZ6" s="8" t="s">
        <v>221</v>
      </c>
      <c r="BA6" s="8" t="s">
        <v>136</v>
      </c>
      <c r="BB6" s="8" t="s">
        <v>137</v>
      </c>
      <c r="BC6" s="8" t="s">
        <v>222</v>
      </c>
      <c r="BD6" s="8" t="s">
        <v>138</v>
      </c>
      <c r="BE6" s="8" t="s">
        <v>139</v>
      </c>
      <c r="BF6" s="8" t="s">
        <v>223</v>
      </c>
      <c r="BG6" s="8" t="s">
        <v>140</v>
      </c>
      <c r="BH6" s="8" t="s">
        <v>141</v>
      </c>
      <c r="BI6" s="8" t="s">
        <v>224</v>
      </c>
      <c r="BJ6" s="8" t="s">
        <v>142</v>
      </c>
      <c r="BK6" s="8" t="s">
        <v>143</v>
      </c>
      <c r="BL6" s="8" t="s">
        <v>225</v>
      </c>
      <c r="BM6" s="8" t="s">
        <v>144</v>
      </c>
      <c r="BN6" s="8" t="s">
        <v>145</v>
      </c>
      <c r="BO6" s="8" t="s">
        <v>226</v>
      </c>
      <c r="BP6" s="8" t="s">
        <v>146</v>
      </c>
      <c r="BQ6" s="8" t="s">
        <v>147</v>
      </c>
      <c r="BR6" s="8" t="s">
        <v>227</v>
      </c>
      <c r="BS6" s="8" t="s">
        <v>148</v>
      </c>
      <c r="BT6" s="8" t="s">
        <v>149</v>
      </c>
      <c r="BU6" s="8" t="s">
        <v>228</v>
      </c>
      <c r="BV6" s="8" t="s">
        <v>150</v>
      </c>
      <c r="BW6" s="8" t="s">
        <v>151</v>
      </c>
      <c r="BX6" s="8" t="s">
        <v>229</v>
      </c>
      <c r="BY6" s="8" t="s">
        <v>152</v>
      </c>
      <c r="BZ6" s="8" t="s">
        <v>153</v>
      </c>
      <c r="CA6" s="8" t="s">
        <v>230</v>
      </c>
      <c r="CB6" s="8" t="s">
        <v>154</v>
      </c>
      <c r="CC6" s="8" t="s">
        <v>155</v>
      </c>
      <c r="CD6" s="8" t="s">
        <v>156</v>
      </c>
      <c r="CE6" s="8" t="s">
        <v>157</v>
      </c>
      <c r="CF6" s="8" t="s">
        <v>158</v>
      </c>
      <c r="CG6" s="8" t="s">
        <v>231</v>
      </c>
      <c r="CH6" s="8" t="s">
        <v>159</v>
      </c>
      <c r="CI6" s="8" t="s">
        <v>160</v>
      </c>
      <c r="CJ6" s="8" t="s">
        <v>232</v>
      </c>
      <c r="CK6" s="8" t="s">
        <v>161</v>
      </c>
      <c r="CL6" s="8" t="s">
        <v>162</v>
      </c>
      <c r="CM6" s="8" t="s">
        <v>233</v>
      </c>
      <c r="CN6" s="8" t="s">
        <v>163</v>
      </c>
      <c r="CO6" s="8" t="s">
        <v>164</v>
      </c>
      <c r="CP6" s="8" t="s">
        <v>234</v>
      </c>
      <c r="CQ6" s="8" t="s">
        <v>165</v>
      </c>
      <c r="CR6" s="8" t="s">
        <v>166</v>
      </c>
      <c r="CS6" s="8" t="s">
        <v>235</v>
      </c>
      <c r="CT6" s="8" t="s">
        <v>167</v>
      </c>
      <c r="CU6" s="8" t="s">
        <v>168</v>
      </c>
      <c r="CV6" s="8" t="s">
        <v>236</v>
      </c>
      <c r="CW6" s="8" t="s">
        <v>169</v>
      </c>
      <c r="CX6" s="8" t="s">
        <v>170</v>
      </c>
      <c r="CY6" s="8" t="s">
        <v>237</v>
      </c>
      <c r="CZ6" s="8" t="s">
        <v>171</v>
      </c>
      <c r="DA6" s="8" t="s">
        <v>172</v>
      </c>
      <c r="DB6" s="8" t="s">
        <v>238</v>
      </c>
      <c r="DC6" s="8" t="s">
        <v>173</v>
      </c>
      <c r="DD6" s="8" t="s">
        <v>174</v>
      </c>
      <c r="DE6" s="8" t="s">
        <v>239</v>
      </c>
      <c r="DF6" s="8" t="s">
        <v>175</v>
      </c>
      <c r="DG6" s="8" t="s">
        <v>176</v>
      </c>
      <c r="DH6" s="8" t="s">
        <v>177</v>
      </c>
      <c r="DI6" s="8" t="s">
        <v>178</v>
      </c>
      <c r="DJ6" s="8" t="s">
        <v>179</v>
      </c>
      <c r="DK6" s="8" t="s">
        <v>240</v>
      </c>
      <c r="DL6" s="8" t="s">
        <v>180</v>
      </c>
      <c r="DM6" s="8" t="s">
        <v>181</v>
      </c>
      <c r="DN6" s="8" t="s">
        <v>241</v>
      </c>
      <c r="DO6" s="8" t="s">
        <v>182</v>
      </c>
      <c r="DP6" s="8" t="s">
        <v>183</v>
      </c>
      <c r="DQ6" s="8" t="s">
        <v>242</v>
      </c>
      <c r="DR6" s="8" t="s">
        <v>184</v>
      </c>
      <c r="DS6" s="8" t="s">
        <v>185</v>
      </c>
      <c r="DT6" s="8" t="s">
        <v>91</v>
      </c>
      <c r="DU6" s="8" t="s">
        <v>74</v>
      </c>
      <c r="DV6" s="8" t="s">
        <v>75</v>
      </c>
      <c r="DW6" s="8" t="s">
        <v>189</v>
      </c>
      <c r="DX6" s="8" t="s">
        <v>77</v>
      </c>
      <c r="DY6" s="8" t="s">
        <v>92</v>
      </c>
      <c r="DZ6" s="23" t="s">
        <v>1</v>
      </c>
      <c r="EA6" s="23" t="s">
        <v>78</v>
      </c>
      <c r="EB6" s="24" t="s">
        <v>190</v>
      </c>
      <c r="EC6" s="23" t="s">
        <v>94</v>
      </c>
      <c r="ED6" s="23" t="s">
        <v>93</v>
      </c>
      <c r="EE6" s="73" t="s">
        <v>267</v>
      </c>
      <c r="EF6" s="73" t="s">
        <v>268</v>
      </c>
      <c r="EG6" s="73" t="s">
        <v>266</v>
      </c>
      <c r="EH6" s="23" t="s">
        <v>423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202</v>
      </c>
      <c r="DU7" s="28" t="s">
        <v>0</v>
      </c>
      <c r="DV7" s="29" t="s">
        <v>196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90</v>
      </c>
      <c r="ED7" s="30" t="s">
        <v>426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456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203</v>
      </c>
      <c r="DU8" s="28" t="s">
        <v>0</v>
      </c>
      <c r="DV8" s="29" t="s">
        <v>197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90</v>
      </c>
      <c r="ED8" s="30" t="s">
        <v>426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1" t="s">
        <v>204</v>
      </c>
      <c r="AS4" s="141"/>
      <c r="AT4" s="141"/>
      <c r="AU4" s="141"/>
      <c r="AV4" s="76" t="s">
        <v>425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103</v>
      </c>
      <c r="C6" s="8" t="s">
        <v>98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99</v>
      </c>
      <c r="AS6" s="8" t="s">
        <v>102</v>
      </c>
      <c r="AT6" s="8" t="s">
        <v>94</v>
      </c>
      <c r="AU6" s="8" t="s">
        <v>93</v>
      </c>
      <c r="AV6" s="23" t="s">
        <v>423</v>
      </c>
    </row>
    <row r="7" spans="2:48" ht="40" customHeight="1" x14ac:dyDescent="0.4">
      <c r="B7" s="9" cm="1">
        <f t="array" ref="B7">SN</f>
        <v>1</v>
      </c>
      <c r="C7" s="25" t="s">
        <v>264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68</v>
      </c>
      <c r="AS7" s="77">
        <v>45268.505555555559</v>
      </c>
      <c r="AT7" s="9" t="s">
        <v>90</v>
      </c>
      <c r="AU7" s="75" t="s">
        <v>426</v>
      </c>
      <c r="AV7" s="11" t="s">
        <v>424</v>
      </c>
    </row>
    <row r="8" spans="2:48" ht="40" customHeight="1" x14ac:dyDescent="0.4">
      <c r="B8" s="11" cm="1">
        <f t="array" ref="B8">SN</f>
        <v>2</v>
      </c>
      <c r="C8" s="31" t="s">
        <v>265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68</v>
      </c>
      <c r="AS8" s="77">
        <v>45268.505555555559</v>
      </c>
      <c r="AT8" s="9" t="s">
        <v>90</v>
      </c>
      <c r="AU8" s="75" t="s">
        <v>426</v>
      </c>
      <c r="AV8" s="11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2024-03-01T05:38:05Z</dcterms:modified>
</cp:coreProperties>
</file>