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B7F2822-8FE8-43DB-84DB-E51185FB67C2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Setting!$D$76:$E$76</definedName>
    <definedName name="Get_GUID">UserInfo[Unique identifier]</definedName>
    <definedName name="Get_Keep_inventory">Setting!$D$74:$E$74</definedName>
    <definedName name="Get_Staff_Member">Setting!$D$53:$O$53</definedName>
    <definedName name="Get_Store_Uid">Store_Setting[Unique
identifier]</definedName>
    <definedName name="Get_Type_of_Access">Setting!$D$72:$E$72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9" i="1"/>
  <c r="B2" i="5"/>
  <c r="B2" i="6"/>
  <c r="B2" i="8"/>
  <c r="B2" i="9"/>
  <c r="B2" i="4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K30" i="1"/>
  <c r="K13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8" i="1" l="1"/>
  <c r="K27" i="1"/>
  <c r="K12" i="1"/>
  <c r="G12" i="1" s="1"/>
  <c r="K47" i="1"/>
  <c r="G47" i="1" s="1"/>
  <c r="K28" i="1"/>
  <c r="K40" i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<sst xmlns="http://schemas.openxmlformats.org/spreadsheetml/2006/main" count="628" uniqueCount="430">
  <si>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</si>
  <si>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</si>
  <si>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</si>
  <si>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</si>
  <si>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</si>
  <si>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</si>
  <si>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</si>
  <si>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</si>
  <si>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</si>
  <si>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</si>
  <si>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</si>
  <si>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</si>
  <si>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</si>
  <si>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</si>
  <si>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</si>
  <si>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</si>
  <si>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</si>
  <si>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</si>
  <si>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</si>
  <si>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</si>
  <si>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</si>
  <si>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</si>
  <si>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</si>
  <si>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</si>
  <si>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</si>
  <si>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</si>
  <si>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</si>
  <si>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</si>
  <si>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</si>
  <si>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</si>
  <si>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</si>
  <si>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</si>
  <si>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</si>
  <si>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</si>
  <si>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</si>
  <si>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</si>
  <si>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</si>
  <si>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</si>
  <si>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</si>
  <si>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</si>
  <si>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</si>
  <si>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</si>
  <si>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</si>
  <si>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</si>
  <si>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</si>
  <si>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</si>
  <si>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</si>
  <si>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</si>
  <si>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</si>
  <si>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</si>
  <si>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</si>
  <si>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</si>
  <si>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</si>
  <si>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</si>
  <si>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</si>
  <si>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</si>
  <si>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</si>
  <si>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</si>
  <si>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</si>
  <si>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</si>
  <si>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</si>
  <si>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</si>
  <si>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</si>
  <si>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</si>
  <si>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</si>
  <si>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</si>
  <si>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</si>
  <si>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</si>
  <si>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</si>
  <si>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</si>
  <si>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</si>
  <si>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</si>
  <si>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</si>
  <si>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</si>
  <si>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</si>
  <si>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</si>
  <si>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</si>
  <si>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</si>
  <si>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</si>
  <si>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</si>
  <si>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</si>
  <si>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</si>
  <si>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</si>
  <si>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</si>
  <si>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</si>
  <si>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</si>
  <si>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</si>
  <si>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</si>
  <si>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</si>
  <si>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</si>
  <si>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</si>
  <si>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</si>
  <si>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</si>
  <si>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</si>
  <si>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</si>
  <si>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</si>
  <si>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</si>
  <si>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</si>
  <si>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</si>
  <si>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</si>
  <si>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</si>
  <si>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</si>
  <si>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</si>
  <si>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</si>
  <si>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</si>
  <si>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</si>
  <si>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</si>
  <si>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</si>
  <si>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</si>
  <si>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</si>
  <si>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</si>
  <si>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</si>
  <si>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</si>
  <si>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</si>
  <si>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</si>
  <si>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</si>
  <si>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</si>
  <si>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</si>
  <si>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</si>
  <si>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</si>
  <si>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</si>
  <si>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</si>
  <si>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</si>
  <si>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</si>
  <si>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</si>
  <si>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</si>
  <si>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</si>
  <si>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</si>
  <si>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</si>
  <si>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</si>
  <si>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</si>
  <si>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</si>
  <si>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</si>
  <si>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</si>
  <si>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</si>
  <si>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</si>
  <si>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</si>
  <si>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</si>
  <si>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</si>
  <si>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</si>
  <si>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</si>
  <si>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</si>
  <si>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</si>
  <si>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</si>
  <si>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</si>
  <si>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</si>
  <si>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</si>
  <si>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</si>
  <si>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</si>
  <si>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</si>
  <si>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</si>
  <si>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</si>
  <si>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</si>
  <si>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</si>
  <si>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</si>
  <si>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</si>
  <si>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</si>
  <si>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</si>
  <si>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</si>
  <si>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</si>
  <si>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</si>
  <si>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</si>
  <si>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</si>
  <si>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</si>
  <si>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</si>
  <si>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</si>
  <si>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</si>
  <si>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</si>
  <si>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</si>
  <si>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</si>
  <si>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</si>
  <si>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</si>
  <si>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</si>
  <si>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</si>
  <si>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</si>
  <si>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</si>
  <si>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</si>
  <si>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</si>
  <si>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</si>
  <si>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</si>
  <si>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</si>
  <si>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</si>
  <si>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</si>
  <si>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</si>
  <si>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</si>
  <si>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</si>
  <si>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</si>
  <si>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</si>
  <si>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</si>
  <si>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</si>
  <si>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</si>
  <si>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</si>
  <si>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</si>
  <si>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</si>
  <si>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</si>
  <si>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</si>
  <si>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</si>
  <si>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</si>
  <si>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</si>
  <si>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</si>
  <si>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</si>
  <si>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</si>
  <si>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</si>
  <si>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</si>
  <si>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</si>
  <si>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</si>
  <si>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</si>
  <si>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</si>
  <si>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</si>
  <si>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</si>
  <si>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</si>
  <si>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</si>
  <si>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</si>
  <si>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</si>
  <si>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</si>
  <si>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</si>
  <si>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</si>
  <si>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</si>
  <si>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</si>
  <si>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</si>
  <si>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</si>
  <si>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</si>
  <si>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</si>
  <si>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</si>
  <si>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</si>
  <si>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</si>
  <si>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</si>
  <si>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</si>
  <si>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</si>
  <si>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</si>
  <si>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</si>
  <si>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</si>
  <si>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</si>
  <si>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</si>
  <si>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</si>
  <si>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</si>
  <si>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</si>
  <si>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</si>
  <si>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</si>
  <si>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</si>
  <si>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</si>
  <si>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</si>
  <si>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</si>
  <si>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</si>
  <si>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</si>
  <si>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</si>
  <si>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</si>
  <si>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</si>
  <si>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</si>
  <si>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</si>
  <si>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</si>
  <si>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</si>
  <si>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</si>
  <si>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</si>
  <si>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</si>
  <si>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</si>
  <si>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</si>
  <si>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</si>
  <si>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</si>
  <si>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</si>
  <si>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</si>
  <si>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</si>
  <si>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</si>
  <si>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</si>
  <si>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</si>
  <si>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</si>
  <si>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</si>
  <si>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</si>
  <si>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</si>
  <si>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</si>
  <si>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</si>
  <si>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</si>
  <si>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</si>
  <si>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</si>
  <si>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</si>
  <si>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</si>
  <si>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</si>
  <si>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</si>
  <si>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</si>
  <si>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</si>
  <si>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</si>
  <si>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</si>
  <si>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</si>
  <si>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</si>
  <si>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</si>
  <si>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</si>
  <si>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</si>
  <si>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</si>
  <si>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</si>
  <si>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</si>
  <si>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</si>
  <si>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</si>
  <si>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</si>
  <si>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</si>
  <si>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</si>
  <si>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</si>
  <si>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</si>
  <si>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</si>
  <si>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</si>
  <si>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</si>
  <si>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</si>
  <si>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</si>
  <si>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</si>
  <si>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</si>
  <si>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</si>
  <si>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</si>
  <si>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</si>
  <si>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</si>
  <si>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</si>
  <si>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</si>
  <si>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</si>
  <si>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</si>
  <si>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</si>
  <si>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</si>
  <si>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</si>
  <si>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</si>
  <si>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</si>
  <si>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</si>
  <si>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</si>
  <si>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</si>
  <si>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</si>
  <si>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</si>
  <si>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</si>
  <si>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</si>
  <si>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</si>
  <si>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</si>
  <si>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</si>
  <si>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</si>
  <si>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</si>
  <si>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</si>
  <si>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</si>
  <si>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</si>
  <si>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</si>
  <si>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</si>
  <si>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</si>
  <si>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</si>
  <si>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</si>
  <si>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</si>
  <si>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</si>
  <si>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</si>
  <si>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</si>
  <si>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</si>
  <si>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</si>
  <si>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</si>
  <si>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</si>
  <si>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</si>
  <si>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</si>
  <si>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</si>
  <si>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</si>
  <si>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</si>
  <si>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</si>
  <si>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</si>
  <si>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</si>
  <si>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</si>
  <si>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</si>
  <si>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</si>
  <si>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</si>
  <si>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</si>
  <si>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</si>
  <si>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</si>
  <si>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</si>
  <si>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</si>
  <si>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</si>
  <si>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</si>
  <si>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</si>
  <si>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</si>
  <si>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</si>
  <si>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</si>
  <si>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</si>
  <si>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</si>
  <si>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</si>
  <si>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</si>
  <si>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</si>
  <si>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</si>
  <si>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</si>
  <si>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</si>
  <si>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</si>
  <si>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</si>
  <si>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</si>
  <si>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</si>
  <si>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</si>
  <si>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</si>
  <si>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</si>
  <si>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</si>
  <si>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</si>
  <si>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</si>
  <si>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</si>
  <si>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</si>
  <si>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</si>
  <si>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</si>
  <si>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</si>
  <si>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</si>
  <si>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</si>
  <si>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</si>
  <si>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</si>
  <si>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</si>
  <si>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</si>
  <si>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</si>
  <si>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</si>
  <si>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</si>
  <si>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</si>
  <si>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</si>
  <si>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</si>
  <si>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</si>
  <si>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</si>
  <si>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</si>
  <si>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</si>
  <si>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</si>
  <si>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</si>
  <si>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</si>
  <si>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</si>
  <si>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</si>
  <si>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</si>
  <si>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</si>
  <si>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</si>
  <si>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</si>
  <si>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</si>
  <si>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</si>
  <si>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</si>
  <si>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</si>
  <si>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</si>
  <si>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</si>
  <si>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</si>
  <si>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</si>
  <si>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Other</t>
  </si>
  <si>
    <t>State</t>
  </si>
  <si>
    <t>Not editable</t>
  </si>
  <si>
    <t>Real time
dynamics</t>
  </si>
  <si>
    <t>* Automatically lock historical records that exceed 24 hours, and mark the status as: editable, uneditables</t>
  </si>
  <si>
    <t>It can be deleted after there is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</si>
</sst>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identifier]],Store_History[Type],$D$74)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identifier]],Store_History[Type],$E$74)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15" width="14.69140625" style="47" customWidth="1"/>
    <col min="16" max="19" width="14.69140625" style="47" hidden="1" customWidth="1"/>
    <col min="20" max="20" width="2.69140625" style="47" customWidth="1"/>
    <col min="21" max="16384" width="9.15234375" style="47" hidden="1"/>
  </cols>
  <sheetData>
    <row r="1" spans="2:19" s="95" customFormat="1" ht="6" customHeight="1" x14ac:dyDescent="0.4"/>
    <row r="2" spans="2:19" s="96" customFormat="1" ht="10" customHeight="1" x14ac:dyDescent="0.4"/>
    <row r="3" spans="2:19" s="96" customFormat="1" ht="40" customHeight="1" x14ac:dyDescent="0.5">
      <c r="B3" s="97"/>
      <c r="C3" s="3" t="s">
        <v>246</v>
      </c>
    </row>
    <row r="4" spans="2:19" s="96" customFormat="1" ht="8.15" customHeight="1" x14ac:dyDescent="0.4">
      <c r="B4" s="97"/>
      <c r="C4" s="98"/>
    </row>
    <row r="5" spans="2:19" s="96" customFormat="1" ht="40" customHeight="1" x14ac:dyDescent="0.4">
      <c r="B5" s="97"/>
      <c r="C5" s="99" t="s">
        <v>50</v>
      </c>
    </row>
    <row r="6" spans="2:19" ht="16.5" customHeight="1" x14ac:dyDescent="0.4">
      <c r="G6" s="100"/>
      <c r="H6" s="100"/>
      <c r="I6" s="100"/>
      <c r="J6" s="100"/>
      <c r="K6" s="100"/>
    </row>
    <row r="7" spans="2:19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2:19" ht="8.15" customHeight="1" x14ac:dyDescent="0.4"/>
    <row r="9" spans="2:19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245</v>
      </c>
      <c r="H9" s="156" t="s">
        <v>84</v>
      </c>
      <c r="I9" s="156"/>
      <c r="J9" s="156"/>
      <c r="K9" s="157" t="s">
        <v>85</v>
      </c>
      <c r="L9" s="157"/>
      <c r="M9" s="157"/>
      <c r="N9" s="157" t="s">
        <v>411</v>
      </c>
      <c r="O9" s="157"/>
      <c r="P9" s="157" t="s">
        <v>408</v>
      </c>
      <c r="Q9" s="157"/>
      <c r="R9" s="157"/>
      <c r="S9" s="157"/>
    </row>
    <row r="10" spans="2:19" ht="55" customHeight="1" x14ac:dyDescent="0.4">
      <c r="B10" s="101"/>
      <c r="C10" s="102"/>
      <c r="D10" s="105" t="s">
        <v>255</v>
      </c>
      <c r="E10" s="105" t="s">
        <v>254</v>
      </c>
      <c r="F10" s="105" t="s">
        <v>244</v>
      </c>
      <c r="G10" s="106" t="s">
        <v>81</v>
      </c>
      <c r="H10" s="105" t="s">
        <v>251</v>
      </c>
      <c r="I10" s="105" t="s">
        <v>82</v>
      </c>
      <c r="J10" s="105" t="s">
        <v>83</v>
      </c>
      <c r="K10" s="105" t="s">
        <v>250</v>
      </c>
      <c r="L10" s="105" t="s">
        <v>252</v>
      </c>
      <c r="M10" s="105" t="s">
        <v>253</v>
      </c>
      <c r="N10" s="105" t="s">
        <v>409</v>
      </c>
      <c r="O10" s="105" t="s">
        <v>410</v>
      </c>
      <c r="P10" s="151" t="s">
        <v>270</v>
      </c>
      <c r="Q10" s="151" t="s">
        <v>271</v>
      </c>
      <c r="R10" s="151" t="s">
        <v>272</v>
      </c>
      <c r="S10" s="151" t="s">
        <v>273</v>
      </c>
    </row>
    <row r="11" spans="2:19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identifier]],Store_History[Type],$D$74)</f>
        <v>0</v>
      </c>
      <c r="M11" s="111">
        <f>SUMIFS(Store_History[Quantity],Store_History[Unique identifier],Store_Setting[[#This Row],[Unique
identifier]],Store_History[Type],$E$74)</f>
        <v>0</v>
      </c>
      <c r="N11" s="62" t="s">
        <v>88</v>
      </c>
      <c r="O11" s="62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</row>
    <row r="12" spans="2:19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identifier]],Store_History[Type],$D$74)</f>
        <v>0</v>
      </c>
      <c r="M12" s="111">
        <f>SUMIFS(Store_History[Quantity],Store_History[Unique identifier],Store_Setting[[#This Row],[Unique
identifier]],Store_History[Type],$E$74)</f>
        <v>0</v>
      </c>
      <c r="N12" s="62" t="s">
        <v>88</v>
      </c>
      <c r="O12" s="62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</row>
    <row r="13" spans="2:19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identifier]],Store_History[Type],$D$74)</f>
        <v>0</v>
      </c>
      <c r="M13" s="111">
        <f>SUMIFS(Store_History[Quantity],Store_History[Unique identifier],Store_Setting[[#This Row],[Unique
identifier]],Store_History[Type],$E$74)</f>
        <v>0</v>
      </c>
      <c r="N13" s="62" t="s">
        <v>88</v>
      </c>
      <c r="O13" s="62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</row>
    <row r="14" spans="2:19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identifier]],Store_History[Type],$D$74)</f>
        <v>0</v>
      </c>
      <c r="M14" s="111">
        <f>SUMIFS(Store_History[Quantity],Store_History[Unique identifier],Store_Setting[[#This Row],[Unique
identifier]],Store_History[Type],$E$74)</f>
        <v>0</v>
      </c>
      <c r="N14" s="62" t="s">
        <v>88</v>
      </c>
      <c r="O14" s="62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</row>
    <row r="15" spans="2:19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identifier]],Store_History[Type],$D$74)</f>
        <v>0</v>
      </c>
      <c r="M15" s="111">
        <f>SUMIFS(Store_History[Quantity],Store_History[Unique identifier],Store_Setting[[#This Row],[Unique
identifier]],Store_History[Type],$E$74)</f>
        <v>0</v>
      </c>
      <c r="N15" s="62" t="s">
        <v>88</v>
      </c>
      <c r="O15" s="62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</row>
    <row r="16" spans="2:19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identifier]],Store_History[Type],$D$74)</f>
        <v>0</v>
      </c>
      <c r="M16" s="111">
        <f>SUMIFS(Store_History[Quantity],Store_History[Unique identifier],Store_Setting[[#This Row],[Unique
identifier]],Store_History[Type],$E$74)</f>
        <v>0</v>
      </c>
      <c r="N16" s="62" t="s">
        <v>88</v>
      </c>
      <c r="O16" s="62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</row>
    <row r="17" spans="2:19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identifier]],Store_History[Type],$D$74)</f>
        <v>0</v>
      </c>
      <c r="M17" s="111">
        <f>SUMIFS(Store_History[Quantity],Store_History[Unique identifier],Store_Setting[[#This Row],[Unique
identifier]],Store_History[Type],$E$74)</f>
        <v>0</v>
      </c>
      <c r="N17" s="62" t="s">
        <v>88</v>
      </c>
      <c r="O17" s="62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</row>
    <row r="18" spans="2:19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identifier]],Store_History[Type],$D$74)</f>
        <v>0</v>
      </c>
      <c r="M18" s="111">
        <f>SUMIFS(Store_History[Quantity],Store_History[Unique identifier],Store_Setting[[#This Row],[Unique
identifier]],Store_History[Type],$E$74)</f>
        <v>0</v>
      </c>
      <c r="N18" s="62" t="s">
        <v>88</v>
      </c>
      <c r="O18" s="62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</row>
    <row r="19" spans="2:19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identifier]],Store_History[Type],$D$74)</f>
        <v>0</v>
      </c>
      <c r="M19" s="111">
        <f>SUMIFS(Store_History[Quantity],Store_History[Unique identifier],Store_Setting[[#This Row],[Unique
identifier]],Store_History[Type],$E$74)</f>
        <v>0</v>
      </c>
      <c r="N19" s="62" t="s">
        <v>88</v>
      </c>
      <c r="O19" s="62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</row>
    <row r="20" spans="2:19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identifier]],Store_History[Type],$D$74)</f>
        <v>0</v>
      </c>
      <c r="M20" s="111">
        <f>SUMIFS(Store_History[Quantity],Store_History[Unique identifier],Store_Setting[[#This Row],[Unique
identifier]],Store_History[Type],$E$74)</f>
        <v>0</v>
      </c>
      <c r="N20" s="62" t="s">
        <v>88</v>
      </c>
      <c r="O20" s="62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</row>
    <row r="21" spans="2:19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identifier]],Store_History[Type],$D$74)</f>
        <v>0</v>
      </c>
      <c r="M21" s="111">
        <f>SUMIFS(Store_History[Quantity],Store_History[Unique identifier],Store_Setting[[#This Row],[Unique
identifier]],Store_History[Type],$E$74)</f>
        <v>0</v>
      </c>
      <c r="N21" s="62" t="s">
        <v>88</v>
      </c>
      <c r="O21" s="62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</row>
    <row r="22" spans="2:19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identifier]],Store_History[Type],$D$74)</f>
        <v>0</v>
      </c>
      <c r="M22" s="111">
        <f>SUMIFS(Store_History[Quantity],Store_History[Unique identifier],Store_Setting[[#This Row],[Unique
identifier]],Store_History[Type],$E$74)</f>
        <v>0</v>
      </c>
      <c r="N22" s="62" t="s">
        <v>88</v>
      </c>
      <c r="O22" s="62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</row>
    <row r="23" spans="2:19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identifier]],Store_History[Type],$D$74)</f>
        <v>0</v>
      </c>
      <c r="M23" s="111">
        <f>SUMIFS(Store_History[Quantity],Store_History[Unique identifier],Store_Setting[[#This Row],[Unique
identifier]],Store_History[Type],$E$74)</f>
        <v>0</v>
      </c>
      <c r="N23" s="62" t="s">
        <v>88</v>
      </c>
      <c r="O23" s="62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</row>
    <row r="24" spans="2:19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identifier]],Store_History[Type],$D$74)</f>
        <v>0</v>
      </c>
      <c r="M24" s="111">
        <f>SUMIFS(Store_History[Quantity],Store_History[Unique identifier],Store_Setting[[#This Row],[Unique
identifier]],Store_History[Type],$E$74)</f>
        <v>0</v>
      </c>
      <c r="N24" s="62" t="s">
        <v>88</v>
      </c>
      <c r="O24" s="62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</row>
    <row r="25" spans="2:19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identifier]],Store_History[Type],$D$74)</f>
        <v>0</v>
      </c>
      <c r="M25" s="111">
        <f>SUMIFS(Store_History[Quantity],Store_History[Unique identifier],Store_Setting[[#This Row],[Unique
identifier]],Store_History[Type],$E$74)</f>
        <v>0</v>
      </c>
      <c r="N25" s="62" t="s">
        <v>88</v>
      </c>
      <c r="O25" s="62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</row>
    <row r="26" spans="2:19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identifier]],Store_History[Type],$D$74)</f>
        <v>0</v>
      </c>
      <c r="M26" s="111">
        <f>SUMIFS(Store_History[Quantity],Store_History[Unique identifier],Store_Setting[[#This Row],[Unique
identifier]],Store_History[Type],$E$74)</f>
        <v>0</v>
      </c>
      <c r="N26" s="62" t="s">
        <v>88</v>
      </c>
      <c r="O26" s="62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</row>
    <row r="27" spans="2:19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identifier]],Store_History[Type],$D$74)</f>
        <v>0</v>
      </c>
      <c r="M27" s="111">
        <f>SUMIFS(Store_History[Quantity],Store_History[Unique identifier],Store_Setting[[#This Row],[Unique
identifier]],Store_History[Type],$E$74)</f>
        <v>0</v>
      </c>
      <c r="N27" s="62" t="s">
        <v>88</v>
      </c>
      <c r="O27" s="62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</row>
    <row r="28" spans="2:19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identifier]],Store_History[Type],$D$74)</f>
        <v>0</v>
      </c>
      <c r="M28" s="111">
        <f>SUMIFS(Store_History[Quantity],Store_History[Unique identifier],Store_Setting[[#This Row],[Unique
identifier]],Store_History[Type],$E$74)</f>
        <v>0</v>
      </c>
      <c r="N28" s="62" t="s">
        <v>88</v>
      </c>
      <c r="O28" s="62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</row>
    <row r="29" spans="2:19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identifier]],Store_History[Type],$D$74)</f>
        <v>0</v>
      </c>
      <c r="M29" s="111">
        <f>SUMIFS(Store_History[Quantity],Store_History[Unique identifier],Store_Setting[[#This Row],[Unique
identifier]],Store_History[Type],$E$74)</f>
        <v>0</v>
      </c>
      <c r="N29" s="62" t="s">
        <v>88</v>
      </c>
      <c r="O29" s="62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</row>
    <row r="30" spans="2:19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identifier]],Store_History[Type],$D$74)</f>
        <v>0</v>
      </c>
      <c r="M30" s="111">
        <f>SUMIFS(Store_History[Quantity],Store_History[Unique identifier],Store_Setting[[#This Row],[Unique
identifier]],Store_History[Type],$E$74)</f>
        <v>0</v>
      </c>
      <c r="N30" s="62" t="s">
        <v>88</v>
      </c>
      <c r="O30" s="62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</row>
    <row r="31" spans="2:19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identifier]],Store_History[Type],$D$74)</f>
        <v>0</v>
      </c>
      <c r="M31" s="111">
        <f>SUMIFS(Store_History[Quantity],Store_History[Unique identifier],Store_Setting[[#This Row],[Unique
identifier]],Store_History[Type],$E$74)</f>
        <v>0</v>
      </c>
      <c r="N31" s="62" t="s">
        <v>88</v>
      </c>
      <c r="O31" s="62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</row>
    <row r="32" spans="2:19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identifier]],Store_History[Type],$D$74)</f>
        <v>0</v>
      </c>
      <c r="M32" s="111">
        <f>SUMIFS(Store_History[Quantity],Store_History[Unique identifier],Store_Setting[[#This Row],[Unique
identifier]],Store_History[Type],$E$74)</f>
        <v>0</v>
      </c>
      <c r="N32" s="62" t="s">
        <v>88</v>
      </c>
      <c r="O32" s="62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</row>
    <row r="33" spans="2:19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identifier]],Store_History[Type],$D$74)</f>
        <v>0</v>
      </c>
      <c r="M33" s="111">
        <f>SUMIFS(Store_History[Quantity],Store_History[Unique identifier],Store_Setting[[#This Row],[Unique
identifier]],Store_History[Type],$E$74)</f>
        <v>0</v>
      </c>
      <c r="N33" s="62" t="s">
        <v>88</v>
      </c>
      <c r="O33" s="62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</row>
    <row r="34" spans="2:19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identifier]],Store_History[Type],$D$74)</f>
        <v>0</v>
      </c>
      <c r="M34" s="111">
        <f>SUMIFS(Store_History[Quantity],Store_History[Unique identifier],Store_Setting[[#This Row],[Unique
identifier]],Store_History[Type],$E$74)</f>
        <v>0</v>
      </c>
      <c r="N34" s="62" t="s">
        <v>88</v>
      </c>
      <c r="O34" s="62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</row>
    <row r="35" spans="2:19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identifier]],Store_History[Type],$D$74)</f>
        <v>0</v>
      </c>
      <c r="M35" s="111">
        <f>SUMIFS(Store_History[Quantity],Store_History[Unique identifier],Store_Setting[[#This Row],[Unique
identifier]],Store_History[Type],$E$74)</f>
        <v>0</v>
      </c>
      <c r="N35" s="62" t="s">
        <v>88</v>
      </c>
      <c r="O35" s="62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</row>
    <row r="36" spans="2:19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identifier]],Store_History[Type],$D$74)</f>
        <v>0</v>
      </c>
      <c r="M36" s="111">
        <f>SUMIFS(Store_History[Quantity],Store_History[Unique identifier],Store_Setting[[#This Row],[Unique
identifier]],Store_History[Type],$E$74)</f>
        <v>0</v>
      </c>
      <c r="N36" s="62" t="s">
        <v>88</v>
      </c>
      <c r="O36" s="62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</row>
    <row r="37" spans="2:19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identifier]],Store_History[Type],$D$74)</f>
        <v>0</v>
      </c>
      <c r="M37" s="111">
        <f>SUMIFS(Store_History[Quantity],Store_History[Unique identifier],Store_Setting[[#This Row],[Unique
identifier]],Store_History[Type],$E$74)</f>
        <v>0</v>
      </c>
      <c r="N37" s="62" t="s">
        <v>88</v>
      </c>
      <c r="O37" s="62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19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identifier]],Store_History[Type],$D$74)</f>
        <v>0</v>
      </c>
      <c r="M38" s="111">
        <f>SUMIFS(Store_History[Quantity],Store_History[Unique identifier],Store_Setting[[#This Row],[Unique
identifier]],Store_History[Type],$E$74)</f>
        <v>0</v>
      </c>
      <c r="N38" s="62" t="s">
        <v>88</v>
      </c>
      <c r="O38" s="62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19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identifier]],Store_History[Type],$D$74)</f>
        <v>0</v>
      </c>
      <c r="M39" s="111">
        <f>SUMIFS(Store_History[Quantity],Store_History[Unique identifier],Store_Setting[[#This Row],[Unique
identifier]],Store_History[Type],$E$74)</f>
        <v>0</v>
      </c>
      <c r="N39" s="62" t="s">
        <v>88</v>
      </c>
      <c r="O39" s="62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19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identifier]],Store_History[Type],$D$74)</f>
        <v>0</v>
      </c>
      <c r="M40" s="111">
        <f>SUMIFS(Store_History[Quantity],Store_History[Unique identifier],Store_Setting[[#This Row],[Unique
identifier]],Store_History[Type],$E$74)</f>
        <v>0</v>
      </c>
      <c r="N40" s="62" t="s">
        <v>88</v>
      </c>
      <c r="O40" s="62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19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identifier]],Store_History[Type],$D$74)</f>
        <v>0</v>
      </c>
      <c r="M41" s="111">
        <f>SUMIFS(Store_History[Quantity],Store_History[Unique identifier],Store_Setting[[#This Row],[Unique
identifier]],Store_History[Type],$E$74)</f>
        <v>0</v>
      </c>
      <c r="N41" s="62" t="s">
        <v>88</v>
      </c>
      <c r="O41" s="62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19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identifier]],Store_History[Type],$D$74)</f>
        <v>0</v>
      </c>
      <c r="M42" s="111">
        <f>SUMIFS(Store_History[Quantity],Store_History[Unique identifier],Store_Setting[[#This Row],[Unique
identifier]],Store_History[Type],$E$74)</f>
        <v>0</v>
      </c>
      <c r="N42" s="62" t="s">
        <v>88</v>
      </c>
      <c r="O42" s="62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19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identifier]],Store_History[Type],$D$74)</f>
        <v>0</v>
      </c>
      <c r="M43" s="111">
        <f>SUMIFS(Store_History[Quantity],Store_History[Unique identifier],Store_Setting[[#This Row],[Unique
identifier]],Store_History[Type],$E$74)</f>
        <v>0</v>
      </c>
      <c r="N43" s="62" t="s">
        <v>88</v>
      </c>
      <c r="O43" s="62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19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identifier]],Store_History[Type],$D$74)</f>
        <v>0</v>
      </c>
      <c r="M44" s="111">
        <f>SUMIFS(Store_History[Quantity],Store_History[Unique identifier],Store_Setting[[#This Row],[Unique
identifier]],Store_History[Type],$E$74)</f>
        <v>0</v>
      </c>
      <c r="N44" s="62" t="s">
        <v>88</v>
      </c>
      <c r="O44" s="62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19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identifier]],Store_History[Type],$D$74)</f>
        <v>0</v>
      </c>
      <c r="M45" s="111">
        <f>SUMIFS(Store_History[Quantity],Store_History[Unique identifier],Store_Setting[[#This Row],[Unique
identifier]],Store_History[Type],$E$74)</f>
        <v>0</v>
      </c>
      <c r="N45" s="62" t="s">
        <v>88</v>
      </c>
      <c r="O45" s="62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19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identifier]],Store_History[Type],$D$74)</f>
        <v>0</v>
      </c>
      <c r="M46" s="111">
        <f>SUMIFS(Store_History[Quantity],Store_History[Unique identifier],Store_Setting[[#This Row],[Unique
identifier]],Store_History[Type],$E$74)</f>
        <v>0</v>
      </c>
      <c r="N46" s="62" t="s">
        <v>88</v>
      </c>
      <c r="O46" s="62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19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identifier]],Store_History[Type],$D$74)</f>
        <v>0</v>
      </c>
      <c r="M47" s="111">
        <f>SUMIFS(Store_History[Quantity],Store_History[Unique identifier],Store_Setting[[#This Row],[Unique
identifier]],Store_History[Type],$E$74)</f>
        <v>0</v>
      </c>
      <c r="N47" s="62" t="s">
        <v>88</v>
      </c>
      <c r="O47" s="62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19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identifier]],Store_History[Type],$D$74)</f>
        <v>0</v>
      </c>
      <c r="M48" s="111">
        <f>SUMIFS(Store_History[Quantity],Store_History[Unique identifier],Store_Setting[[#This Row],[Unique
identifier]],Store_History[Type],$E$74)</f>
        <v>0</v>
      </c>
      <c r="N48" s="62" t="s">
        <v>88</v>
      </c>
      <c r="O48" s="62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identifier]],Store_History[Type],$D$74)</f>
        <v>0</v>
      </c>
      <c r="M49" s="111">
        <f>SUMIFS(Store_History[Quantity],Store_History[Unique identifier],Store_Setting[[#This Row],[Unique
identifier]],Store_History[Type],$E$74)</f>
        <v>0</v>
      </c>
      <c r="N49" s="62" t="s">
        <v>88</v>
      </c>
      <c r="O49" s="62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identifier]],Store_History[Type],$D$74)</f>
        <v>0</v>
      </c>
      <c r="M50" s="111">
        <f>SUMIFS(Store_History[Quantity],Store_History[Unique identifier],Store_Setting[[#This Row],[Unique
identifier]],Store_History[Type],$E$74)</f>
        <v>0</v>
      </c>
      <c r="N50" s="62" t="s">
        <v>88</v>
      </c>
      <c r="O50" s="62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201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202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200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413</v>
      </c>
      <c r="K56" s="153" t="s">
        <v>414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417</v>
      </c>
      <c r="D58" s="120" t="s">
        <v>416</v>
      </c>
      <c r="E58" s="120" t="s">
        <v>416</v>
      </c>
      <c r="F58" s="120" t="s">
        <v>416</v>
      </c>
      <c r="G58" s="120" t="s">
        <v>416</v>
      </c>
      <c r="H58" s="120" t="s">
        <v>416</v>
      </c>
      <c r="I58" s="120" t="s">
        <v>416</v>
      </c>
      <c r="J58" s="120" t="s">
        <v>416</v>
      </c>
      <c r="K58" s="120" t="s">
        <v>416</v>
      </c>
      <c r="L58" s="120" t="s">
        <v>416</v>
      </c>
      <c r="M58" s="150" t="s">
        <v>415</v>
      </c>
      <c r="N58" s="119"/>
      <c r="O58" s="119"/>
    </row>
    <row r="59" spans="2:19" ht="40" customHeight="1" x14ac:dyDescent="0.4">
      <c r="B59" s="101"/>
      <c r="C59" s="113" t="s">
        <v>418</v>
      </c>
      <c r="D59" s="120" t="s">
        <v>416</v>
      </c>
      <c r="E59" s="120" t="s">
        <v>416</v>
      </c>
      <c r="F59" s="120" t="s">
        <v>416</v>
      </c>
      <c r="G59" s="120" t="s">
        <v>416</v>
      </c>
      <c r="H59" s="120" t="s">
        <v>416</v>
      </c>
      <c r="I59" s="120" t="s">
        <v>416</v>
      </c>
      <c r="J59" s="150"/>
      <c r="K59" s="120" t="s">
        <v>416</v>
      </c>
      <c r="L59" s="120" t="s">
        <v>416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89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256</v>
      </c>
      <c r="D61" s="120" t="s">
        <v>88</v>
      </c>
      <c r="E61" s="150" t="s">
        <v>258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421</v>
      </c>
      <c r="D62" s="120" t="s">
        <v>88</v>
      </c>
      <c r="E62" s="150" t="s">
        <v>420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259</v>
      </c>
      <c r="D63" s="120" t="s">
        <v>88</v>
      </c>
      <c r="E63" s="150" t="s">
        <v>257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192</v>
      </c>
      <c r="E65" s="112" t="s">
        <v>193</v>
      </c>
      <c r="F65" s="112" t="s">
        <v>73</v>
      </c>
      <c r="G65" s="112" t="s">
        <v>194</v>
      </c>
      <c r="H65" s="112" t="s">
        <v>195</v>
      </c>
      <c r="I65" s="112" t="s">
        <v>74</v>
      </c>
      <c r="J65" s="112" t="s">
        <v>196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260</v>
      </c>
      <c r="D67" s="120" t="s">
        <v>88</v>
      </c>
      <c r="E67" s="150" t="s">
        <v>262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261</v>
      </c>
      <c r="D68" s="120" t="s">
        <v>88</v>
      </c>
      <c r="E68" s="150" t="s">
        <v>263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B69" s="116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</row>
    <row r="70" spans="2:15" ht="40" customHeight="1" x14ac:dyDescent="0.4">
      <c r="B70" s="101" t="s">
        <v>56</v>
      </c>
      <c r="C70" s="113" t="s">
        <v>424</v>
      </c>
      <c r="D70" s="118" t="s">
        <v>423</v>
      </c>
      <c r="E70" s="120" t="s">
        <v>88</v>
      </c>
      <c r="F70" s="150" t="s">
        <v>428</v>
      </c>
      <c r="G70" s="119"/>
      <c r="H70" s="119"/>
      <c r="I70" s="119"/>
      <c r="J70" s="119"/>
      <c r="K70" s="119"/>
      <c r="L70" s="119"/>
      <c r="M70" s="119"/>
      <c r="N70" s="119"/>
      <c r="O70" s="119"/>
    </row>
    <row r="71" spans="2:15" ht="8.15" hidden="1" customHeight="1" x14ac:dyDescent="0.4">
      <c r="C71" s="117"/>
    </row>
    <row r="72" spans="2:15" ht="40" hidden="1" customHeight="1" x14ac:dyDescent="0.4">
      <c r="B72" s="121" t="s">
        <v>57</v>
      </c>
      <c r="C72" s="113" t="s">
        <v>100</v>
      </c>
      <c r="D72" s="122" t="s">
        <v>69</v>
      </c>
      <c r="E72" s="122" t="s">
        <v>71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hidden="1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hidden="1" customHeight="1" x14ac:dyDescent="0.4">
      <c r="B74" s="121" t="s">
        <v>58</v>
      </c>
      <c r="C74" s="113" t="s">
        <v>68</v>
      </c>
      <c r="D74" s="122" t="s">
        <v>70</v>
      </c>
      <c r="E74" s="122" t="s">
        <v>72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hidden="1" customHeight="1" x14ac:dyDescent="0.4">
      <c r="B75" s="116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hidden="1" customHeight="1" x14ac:dyDescent="0.4">
      <c r="B76" s="121" t="s">
        <v>422</v>
      </c>
      <c r="C76" s="113" t="s">
        <v>76</v>
      </c>
      <c r="D76" s="122" t="s">
        <v>197</v>
      </c>
      <c r="E76" s="122" t="s">
        <v>198</v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</row>
    <row r="77" spans="2:15" ht="8.15" customHeight="1" x14ac:dyDescent="0.4">
      <c r="B77" s="116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</row>
    <row r="78" spans="2:15" ht="40" customHeight="1" x14ac:dyDescent="0.4">
      <c r="B78" s="121" t="s">
        <v>245</v>
      </c>
      <c r="C78" s="124" t="s">
        <v>48</v>
      </c>
      <c r="D78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8" s="119"/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40" customHeight="1" x14ac:dyDescent="0.4">
      <c r="B79" s="121"/>
      <c r="C79" s="126" t="s">
        <v>64</v>
      </c>
      <c r="D79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4" t="s">
        <v>199</v>
      </c>
      <c r="D80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0" s="119"/>
      <c r="F80" s="102"/>
      <c r="G80" s="127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49</v>
      </c>
      <c r="D81" s="125" t="str">
        <f>_xlfn.CONCAT("Shared ", COUNTA(Get_Staff_Member)," employees")</f>
        <v>Shared 2 employees</v>
      </c>
      <c r="E81" s="119"/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102</v>
      </c>
      <c r="D82" s="125" t="str">
        <f>_xlfn.CONCAT("Has been set ", COUNTA(Get_Work_Unit)," units")</f>
        <v>Has been set 7 units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16" customHeight="1" x14ac:dyDescent="0.4"/>
    <row r="84" spans="2:15" ht="40" customHeight="1" x14ac:dyDescent="0.4">
      <c r="B84" s="128" t="s">
        <v>59</v>
      </c>
      <c r="C84" s="129"/>
      <c r="D84" s="129"/>
      <c r="E84" s="129"/>
    </row>
    <row r="85" spans="2:15" ht="40" customHeight="1" x14ac:dyDescent="0.4">
      <c r="B85" s="130" t="s">
        <v>60</v>
      </c>
      <c r="C85" s="131" t="s">
        <v>23</v>
      </c>
      <c r="D85" s="132"/>
      <c r="E85" s="132"/>
    </row>
    <row r="86" spans="2:15" ht="40" customHeight="1" x14ac:dyDescent="0.4">
      <c r="B86" s="130" t="s">
        <v>61</v>
      </c>
      <c r="C86" s="133" t="s">
        <v>0</v>
      </c>
      <c r="D86" s="134"/>
      <c r="E86" s="134"/>
    </row>
    <row r="87" spans="2:15" ht="40" customHeight="1" x14ac:dyDescent="0.4">
      <c r="B87" s="130" t="s">
        <v>62</v>
      </c>
      <c r="C87" s="131" t="s">
        <v>22</v>
      </c>
      <c r="D87" s="132"/>
      <c r="E87" s="132"/>
    </row>
    <row r="88" spans="2:15" ht="40" customHeight="1" x14ac:dyDescent="0.4">
      <c r="B88" s="130" t="s">
        <v>63</v>
      </c>
      <c r="C88" s="131" t="s">
        <v>412</v>
      </c>
      <c r="D88" s="131"/>
      <c r="E88" s="131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247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248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244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>
        <v>-1</v>
      </c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249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2.69140625" style="24" customWidth="1"/>
    <col min="8" max="8" width="14.69140625" style="23" customWidth="1"/>
    <col min="9" max="9" width="22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104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429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247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190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249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customWidth="1"/>
    <col min="128" max="128" width="12.69140625" style="23" customWidth="1"/>
    <col min="129" max="129" width="20.69140625" style="52" customWidth="1"/>
    <col min="130" max="130" width="28.69140625" style="52" customWidth="1"/>
    <col min="131" max="131" width="44.69140625" style="52" customWidth="1"/>
    <col min="132" max="132" width="22.69140625" style="24" customWidth="1"/>
    <col min="133" max="133" width="14.69140625" style="53" customWidth="1"/>
    <col min="134" max="134" width="22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8" t="s">
        <v>187</v>
      </c>
      <c r="DU6" s="158"/>
      <c r="DV6" s="158"/>
      <c r="DW6" s="158"/>
      <c r="DX6" s="158"/>
      <c r="DY6" s="158" t="s">
        <v>188</v>
      </c>
      <c r="DZ6" s="158"/>
      <c r="EA6" s="158"/>
      <c r="EB6" s="158" t="s">
        <v>189</v>
      </c>
      <c r="EC6" s="158"/>
      <c r="ED6" s="35" t="s">
        <v>419</v>
      </c>
      <c r="EE6" s="159" t="s">
        <v>264</v>
      </c>
      <c r="EF6" s="159"/>
      <c r="EG6" s="159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191</v>
      </c>
      <c r="EC8" s="36" t="s">
        <v>95</v>
      </c>
      <c r="ED8" s="36" t="s">
        <v>94</v>
      </c>
      <c r="EE8" s="144" t="s">
        <v>268</v>
      </c>
      <c r="EF8" s="144" t="s">
        <v>269</v>
      </c>
      <c r="EG8" s="144" t="s">
        <v>267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203</v>
      </c>
      <c r="DU9" s="41" t="s">
        <v>0</v>
      </c>
      <c r="DV9" s="42" t="s">
        <v>197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429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204</v>
      </c>
      <c r="DU10" s="41" t="s">
        <v>0</v>
      </c>
      <c r="DV10" s="42" t="s">
        <v>198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429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2.69140625" style="24" customWidth="1"/>
    <col min="46" max="46" width="14.69140625" style="23" customWidth="1"/>
    <col min="47" max="47" width="22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8" t="s">
        <v>205</v>
      </c>
      <c r="AS6" s="158"/>
      <c r="AT6" s="158"/>
      <c r="AU6" s="158"/>
      <c r="AV6" s="155" t="s">
        <v>427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425</v>
      </c>
    </row>
    <row r="9" spans="2:48" ht="39.75" customHeight="1" x14ac:dyDescent="0.4">
      <c r="B9" s="16" cm="1">
        <f t="array" ref="B9">SN</f>
        <v>1</v>
      </c>
      <c r="C9" s="38" t="s">
        <v>265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429</v>
      </c>
      <c r="AV9" s="19" t="s">
        <v>426</v>
      </c>
    </row>
    <row r="10" spans="2:48" ht="40" customHeight="1" x14ac:dyDescent="0.4">
      <c r="B10" s="19" cm="1">
        <f t="array" ref="B10">SN</f>
        <v>2</v>
      </c>
      <c r="C10" s="45" t="s">
        <v>266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429</v>
      </c>
      <c r="AV10" s="19" t="s">
        <v>426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2024-02-28T04:34:02Z</dcterms:modified>
</cp:coreProperties>
</file>