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0887457-2ED3-4C18-8935-DFA5DCF3DA2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设置!$D$81:$E$81</definedName>
    <definedName name="Get_GUID">UserInfo[唯一识别码]</definedName>
    <definedName name="Get_Keep_inventory">设置!$D$79:$E$79</definedName>
    <definedName name="Get_Staff_Member">设置!$D$53:$O$53</definedName>
    <definedName name="Get_Store_Uid">Store_Setting[唯一识别码]</definedName>
    <definedName name="Get_Type_of_Access">设置!$D$77:$E$77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7" i="1" l="1"/>
  <c r="D86" i="1"/>
  <c r="B5" i="8" l="1" a="1"/>
  <c r="B5" i="8" s="1"/>
  <c r="D84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5" i="1" s="1"/>
  <c r="B7" i="6" a="1"/>
  <c r="B7" i="6" s="1"/>
  <c r="D83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<sst xmlns="http://schemas.openxmlformats.org/spreadsheetml/2006/main" count="682" uniqueCount="463">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</sst>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Row],[唯一识别码]],Store_History[类型],$D$79)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Row],[唯一识别码]],Store_History[类型],$E$79)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.1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.1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.1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.1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19" t="s">
        <v>215</v>
      </c>
      <c r="I9" s="119"/>
      <c r="J9" s="119"/>
      <c r="K9" s="118" t="s">
        <v>226</v>
      </c>
      <c r="L9" s="118"/>
      <c r="M9" s="118"/>
      <c r="N9" s="118" t="s">
        <v>269</v>
      </c>
      <c r="O9" s="118"/>
      <c r="P9" s="118" t="s">
        <v>410</v>
      </c>
      <c r="Q9" s="118"/>
      <c r="R9" s="118"/>
      <c r="S9" s="118"/>
      <c r="BB9" s="15" t="s">
        <v>428</v>
      </c>
      <c r="BC9" s="15" t="s">
        <v>0</v>
      </c>
      <c r="BD9" s="15" t="s">
        <v>429</v>
      </c>
    </row>
    <row r="10" spans="2:56" ht="40.1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.1" customHeight="1">
      <c r="B11" s="81"/>
      <c r="C11" s="82"/>
      <c r="D11" s="84" t="str">
        <f>CONCATENATE(Store_Setting[[#This Row],[商品序号]], " | ", Store_Setting[[#This Row],[商品名称]])</f>
        <v>1 | 1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Row],[唯一识别码]],Store_History[类型],$D$79)</f>
        <v>0</v>
      </c>
      <c r="M11" s="85">
        <f>SUMIFS(Store_History[数量],Store_History[唯一识别码],Store_Setting[[#This Row],[唯一识别码]],Store_History[类型],$E$79)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.1" customHeight="1">
      <c r="B12" s="81"/>
      <c r="C12" s="82"/>
      <c r="D12" s="84" t="str">
        <f>CONCATENATE(Store_Setting[[#This Row],[商品序号]], " | ", Store_Setting[[#This Row],[商品名称]])</f>
        <v>2 | 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Row],[唯一识别码]],Store_History[类型],$D$79)</f>
        <v>0</v>
      </c>
      <c r="M12" s="85">
        <f>SUMIFS(Store_History[数量],Store_History[唯一识别码],Store_Setting[[#This Row],[唯一识别码]],Store_History[类型],$E$79)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.1" customHeight="1">
      <c r="B13" s="81"/>
      <c r="C13" s="82"/>
      <c r="D13" s="84" t="str">
        <f>CONCATENATE(Store_Setting[[#This Row],[商品序号]], " | ", Store_Setting[[#This Row],[商品名称]])</f>
        <v xml:space="preserve">3 | 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Row],[唯一识别码]],Store_History[类型],$D$79)</f>
        <v>0</v>
      </c>
      <c r="M13" s="85">
        <f>SUMIFS(Store_History[数量],Store_History[唯一识别码],Store_Setting[[#This Row],[唯一识别码]],Store_History[类型],$E$79)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.1" customHeight="1">
      <c r="B14" s="81"/>
      <c r="C14" s="82"/>
      <c r="D14" s="84" t="str">
        <f>CONCATENATE(Store_Setting[[#This Row],[商品序号]], " | ", Store_Setting[[#This Row],[商品名称]])</f>
        <v xml:space="preserve">4 | 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Row],[唯一识别码]],Store_History[类型],$D$79)</f>
        <v>0</v>
      </c>
      <c r="M14" s="85">
        <f>SUMIFS(Store_History[数量],Store_History[唯一识别码],Store_Setting[[#This Row],[唯一识别码]],Store_History[类型],$E$79)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.1" customHeight="1">
      <c r="B15" s="81"/>
      <c r="C15" s="82"/>
      <c r="D15" s="84" t="str">
        <f>CONCATENATE(Store_Setting[[#This Row],[商品序号]], " | ", Store_Setting[[#This Row],[商品名称]])</f>
        <v xml:space="preserve">5 | 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Row],[唯一识别码]],Store_History[类型],$D$79)</f>
        <v>0</v>
      </c>
      <c r="M15" s="85">
        <f>SUMIFS(Store_History[数量],Store_History[唯一识别码],Store_Setting[[#This Row],[唯一识别码]],Store_History[类型],$E$79)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.1" customHeight="1">
      <c r="B16" s="81"/>
      <c r="C16" s="82"/>
      <c r="D16" s="84" t="str">
        <f>CONCATENATE(Store_Setting[[#This Row],[商品序号]], " | ", Store_Setting[[#This Row],[商品名称]])</f>
        <v xml:space="preserve">6 | 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Row],[唯一识别码]],Store_History[类型],$D$79)</f>
        <v>0</v>
      </c>
      <c r="M16" s="85">
        <f>SUMIFS(Store_History[数量],Store_History[唯一识别码],Store_Setting[[#This Row],[唯一识别码]],Store_History[类型],$E$79)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.1" customHeight="1">
      <c r="B17" s="81"/>
      <c r="C17" s="82"/>
      <c r="D17" s="84" t="str">
        <f>CONCATENATE(Store_Setting[[#This Row],[商品序号]], " | ", Store_Setting[[#This Row],[商品名称]])</f>
        <v xml:space="preserve">7 | 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Row],[唯一识别码]],Store_History[类型],$D$79)</f>
        <v>0</v>
      </c>
      <c r="M17" s="85">
        <f>SUMIFS(Store_History[数量],Store_History[唯一识别码],Store_Setting[[#This Row],[唯一识别码]],Store_History[类型],$E$79)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.1" customHeight="1">
      <c r="B18" s="81"/>
      <c r="C18" s="82"/>
      <c r="D18" s="84" t="str">
        <f>CONCATENATE(Store_Setting[[#This Row],[商品序号]], " | ", Store_Setting[[#This Row],[商品名称]])</f>
        <v xml:space="preserve">8 | 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Row],[唯一识别码]],Store_History[类型],$D$79)</f>
        <v>0</v>
      </c>
      <c r="M18" s="85">
        <f>SUMIFS(Store_History[数量],Store_History[唯一识别码],Store_Setting[[#This Row],[唯一识别码]],Store_History[类型],$E$79)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.1" customHeight="1">
      <c r="B19" s="81"/>
      <c r="C19" s="82"/>
      <c r="D19" s="84" t="str">
        <f>CONCATENATE(Store_Setting[[#This Row],[商品序号]], " | ", Store_Setting[[#This Row],[商品名称]])</f>
        <v xml:space="preserve">9 | 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Row],[唯一识别码]],Store_History[类型],$D$79)</f>
        <v>0</v>
      </c>
      <c r="M19" s="85">
        <f>SUMIFS(Store_History[数量],Store_History[唯一识别码],Store_Setting[[#This Row],[唯一识别码]],Store_History[类型],$E$79)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.1" customHeight="1">
      <c r="B20" s="81"/>
      <c r="C20" s="82"/>
      <c r="D20" s="84" t="str">
        <f>CONCATENATE(Store_Setting[[#This Row],[商品序号]], " | ", Store_Setting[[#This Row],[商品名称]])</f>
        <v xml:space="preserve">10 | 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Row],[唯一识别码]],Store_History[类型],$D$79)</f>
        <v>0</v>
      </c>
      <c r="M20" s="85">
        <f>SUMIFS(Store_History[数量],Store_History[唯一识别码],Store_Setting[[#This Row],[唯一识别码]],Store_History[类型],$E$79)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.1" customHeight="1">
      <c r="B21" s="81"/>
      <c r="C21" s="82"/>
      <c r="D21" s="84" t="str">
        <f>CONCATENATE(Store_Setting[[#This Row],[商品序号]], " | ", Store_Setting[[#This Row],[商品名称]])</f>
        <v xml:space="preserve">11 | 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Row],[唯一识别码]],Store_History[类型],$D$79)</f>
        <v>0</v>
      </c>
      <c r="M21" s="85">
        <f>SUMIFS(Store_History[数量],Store_History[唯一识别码],Store_Setting[[#This Row],[唯一识别码]],Store_History[类型],$E$79)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456</v>
      </c>
    </row>
    <row r="22" spans="2:56" ht="40.1" customHeight="1">
      <c r="B22" s="81"/>
      <c r="C22" s="82"/>
      <c r="D22" s="84" t="str">
        <f>CONCATENATE(Store_Setting[[#This Row],[商品序号]], " | ", Store_Setting[[#This Row],[商品名称]])</f>
        <v xml:space="preserve">12 | 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Row],[唯一识别码]],Store_History[类型],$D$79)</f>
        <v>0</v>
      </c>
      <c r="M22" s="85">
        <f>SUMIFS(Store_History[数量],Store_History[唯一识别码],Store_Setting[[#This Row],[唯一识别码]],Store_History[类型],$E$79)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.1" customHeight="1">
      <c r="B23" s="81"/>
      <c r="C23" s="82"/>
      <c r="D23" s="84" t="str">
        <f>CONCATENATE(Store_Setting[[#This Row],[商品序号]], " | ", Store_Setting[[#This Row],[商品名称]])</f>
        <v xml:space="preserve">13 | 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Row],[唯一识别码]],Store_History[类型],$D$79)</f>
        <v>0</v>
      </c>
      <c r="M23" s="85">
        <f>SUMIFS(Store_History[数量],Store_History[唯一识别码],Store_Setting[[#This Row],[唯一识别码]],Store_History[类型],$E$79)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.1" customHeight="1">
      <c r="B24" s="81"/>
      <c r="C24" s="82"/>
      <c r="D24" s="84" t="str">
        <f>CONCATENATE(Store_Setting[[#This Row],[商品序号]], " | ", Store_Setting[[#This Row],[商品名称]])</f>
        <v xml:space="preserve">14 | 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Row],[唯一识别码]],Store_History[类型],$D$79)</f>
        <v>0</v>
      </c>
      <c r="M24" s="85">
        <f>SUMIFS(Store_History[数量],Store_History[唯一识别码],Store_Setting[[#This Row],[唯一识别码]],Store_History[类型],$E$79)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.1" customHeight="1">
      <c r="B25" s="81"/>
      <c r="C25" s="82"/>
      <c r="D25" s="84" t="str">
        <f>CONCATENATE(Store_Setting[[#This Row],[商品序号]], " | ", Store_Setting[[#This Row],[商品名称]])</f>
        <v xml:space="preserve">15 | 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Row],[唯一识别码]],Store_History[类型],$D$79)</f>
        <v>0</v>
      </c>
      <c r="M25" s="85">
        <f>SUMIFS(Store_History[数量],Store_History[唯一识别码],Store_Setting[[#This Row],[唯一识别码]],Store_History[类型],$E$79)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.1" customHeight="1">
      <c r="B26" s="81"/>
      <c r="C26" s="82"/>
      <c r="D26" s="84" t="str">
        <f>CONCATENATE(Store_Setting[[#This Row],[商品序号]], " | ", Store_Setting[[#This Row],[商品名称]])</f>
        <v xml:space="preserve">16 | 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Row],[唯一识别码]],Store_History[类型],$D$79)</f>
        <v>0</v>
      </c>
      <c r="M26" s="85">
        <f>SUMIFS(Store_History[数量],Store_History[唯一识别码],Store_Setting[[#This Row],[唯一识别码]],Store_History[类型],$E$79)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.1" customHeight="1">
      <c r="B27" s="81"/>
      <c r="C27" s="82"/>
      <c r="D27" s="84" t="str">
        <f>CONCATENATE(Store_Setting[[#This Row],[商品序号]], " | ", Store_Setting[[#This Row],[商品名称]])</f>
        <v xml:space="preserve">17 | 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Row],[唯一识别码]],Store_History[类型],$D$79)</f>
        <v>0</v>
      </c>
      <c r="M27" s="85">
        <f>SUMIFS(Store_History[数量],Store_History[唯一识别码],Store_Setting[[#This Row],[唯一识别码]],Store_History[类型],$E$79)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.1" customHeight="1">
      <c r="B28" s="81"/>
      <c r="C28" s="82"/>
      <c r="D28" s="84" t="str">
        <f>CONCATENATE(Store_Setting[[#This Row],[商品序号]], " | ", Store_Setting[[#This Row],[商品名称]])</f>
        <v xml:space="preserve">18 | 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Row],[唯一识别码]],Store_History[类型],$D$79)</f>
        <v>0</v>
      </c>
      <c r="M28" s="85">
        <f>SUMIFS(Store_History[数量],Store_History[唯一识别码],Store_Setting[[#This Row],[唯一识别码]],Store_History[类型],$E$79)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.1" customHeight="1">
      <c r="B29" s="81"/>
      <c r="C29" s="82"/>
      <c r="D29" s="84" t="str">
        <f>CONCATENATE(Store_Setting[[#This Row],[商品序号]], " | ", Store_Setting[[#This Row],[商品名称]])</f>
        <v xml:space="preserve">19 | 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Row],[唯一识别码]],Store_History[类型],$D$79)</f>
        <v>0</v>
      </c>
      <c r="M29" s="85">
        <f>SUMIFS(Store_History[数量],Store_History[唯一识别码],Store_Setting[[#This Row],[唯一识别码]],Store_History[类型],$E$79)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.1" customHeight="1">
      <c r="B30" s="81"/>
      <c r="C30" s="82"/>
      <c r="D30" s="84" t="str">
        <f>CONCATENATE(Store_Setting[[#This Row],[商品序号]], " | ", Store_Setting[[#This Row],[商品名称]])</f>
        <v xml:space="preserve">20 | 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Row],[唯一识别码]],Store_History[类型],$D$79)</f>
        <v>0</v>
      </c>
      <c r="M30" s="85">
        <f>SUMIFS(Store_History[数量],Store_History[唯一识别码],Store_Setting[[#This Row],[唯一识别码]],Store_History[类型],$E$79)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.1" customHeight="1">
      <c r="B31" s="81"/>
      <c r="C31" s="82"/>
      <c r="D31" s="84" t="str">
        <f>CONCATENATE(Store_Setting[[#This Row],[商品序号]], " | ", Store_Setting[[#This Row],[商品名称]])</f>
        <v xml:space="preserve">21 | 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Row],[唯一识别码]],Store_History[类型],$D$79)</f>
        <v>0</v>
      </c>
      <c r="M31" s="85">
        <f>SUMIFS(Store_History[数量],Store_History[唯一识别码],Store_Setting[[#This Row],[唯一识别码]],Store_History[类型],$E$79)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.1" customHeight="1">
      <c r="B32" s="81"/>
      <c r="C32" s="82"/>
      <c r="D32" s="84" t="str">
        <f>CONCATENATE(Store_Setting[[#This Row],[商品序号]], " | ", Store_Setting[[#This Row],[商品名称]])</f>
        <v xml:space="preserve">22 | 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Row],[唯一识别码]],Store_History[类型],$D$79)</f>
        <v>0</v>
      </c>
      <c r="M32" s="85">
        <f>SUMIFS(Store_History[数量],Store_History[唯一识别码],Store_Setting[[#This Row],[唯一识别码]],Store_History[类型],$E$79)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.1" customHeight="1">
      <c r="B33" s="81"/>
      <c r="C33" s="82"/>
      <c r="D33" s="84" t="str">
        <f>CONCATENATE(Store_Setting[[#This Row],[商品序号]], " | ", Store_Setting[[#This Row],[商品名称]])</f>
        <v xml:space="preserve">23 | 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Row],[唯一识别码]],Store_History[类型],$D$79)</f>
        <v>0</v>
      </c>
      <c r="M33" s="85">
        <f>SUMIFS(Store_History[数量],Store_History[唯一识别码],Store_Setting[[#This Row],[唯一识别码]],Store_History[类型],$E$79)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.1" customHeight="1">
      <c r="B34" s="81"/>
      <c r="C34" s="82"/>
      <c r="D34" s="84" t="str">
        <f>CONCATENATE(Store_Setting[[#This Row],[商品序号]], " | ", Store_Setting[[#This Row],[商品名称]])</f>
        <v xml:space="preserve">24 | 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Row],[唯一识别码]],Store_History[类型],$D$79)</f>
        <v>0</v>
      </c>
      <c r="M34" s="85">
        <f>SUMIFS(Store_History[数量],Store_History[唯一识别码],Store_Setting[[#This Row],[唯一识别码]],Store_History[类型],$E$79)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.1" customHeight="1">
      <c r="B35" s="81"/>
      <c r="C35" s="82"/>
      <c r="D35" s="84" t="str">
        <f>CONCATENATE(Store_Setting[[#This Row],[商品序号]], " | ", Store_Setting[[#This Row],[商品名称]])</f>
        <v xml:space="preserve">25 | 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Row],[唯一识别码]],Store_History[类型],$D$79)</f>
        <v>0</v>
      </c>
      <c r="M35" s="85">
        <f>SUMIFS(Store_History[数量],Store_History[唯一识别码],Store_Setting[[#This Row],[唯一识别码]],Store_History[类型],$E$79)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.1" customHeight="1">
      <c r="B36" s="81"/>
      <c r="C36" s="82"/>
      <c r="D36" s="84" t="str">
        <f>CONCATENATE(Store_Setting[[#This Row],[商品序号]], " | ", Store_Setting[[#This Row],[商品名称]])</f>
        <v xml:space="preserve">26 | 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Row],[唯一识别码]],Store_History[类型],$D$79)</f>
        <v>0</v>
      </c>
      <c r="M36" s="85">
        <f>SUMIFS(Store_History[数量],Store_History[唯一识别码],Store_Setting[[#This Row],[唯一识别码]],Store_History[类型],$E$79)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.1" customHeight="1">
      <c r="B37" s="81"/>
      <c r="C37" s="82"/>
      <c r="D37" s="84" t="str">
        <f>CONCATENATE(Store_Setting[[#This Row],[商品序号]], " | ", Store_Setting[[#This Row],[商品名称]])</f>
        <v xml:space="preserve">27 | 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Row],[唯一识别码]],Store_History[类型],$D$79)</f>
        <v>0</v>
      </c>
      <c r="M37" s="85">
        <f>SUMIFS(Store_History[数量],Store_History[唯一识别码],Store_Setting[[#This Row],[唯一识别码]],Store_History[类型],$E$79)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.1" customHeight="1">
      <c r="B38" s="81"/>
      <c r="C38" s="82"/>
      <c r="D38" s="84" t="str">
        <f>CONCATENATE(Store_Setting[[#This Row],[商品序号]], " | ", Store_Setting[[#This Row],[商品名称]])</f>
        <v xml:space="preserve">28 | 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Row],[唯一识别码]],Store_History[类型],$D$79)</f>
        <v>0</v>
      </c>
      <c r="M38" s="85">
        <f>SUMIFS(Store_History[数量],Store_History[唯一识别码],Store_Setting[[#This Row],[唯一识别码]],Store_History[类型],$E$79)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.1" customHeight="1">
      <c r="B39" s="81"/>
      <c r="C39" s="82"/>
      <c r="D39" s="84" t="str">
        <f>CONCATENATE(Store_Setting[[#This Row],[商品序号]], " | ", Store_Setting[[#This Row],[商品名称]])</f>
        <v xml:space="preserve">29 | 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Row],[唯一识别码]],Store_History[类型],$D$79)</f>
        <v>0</v>
      </c>
      <c r="M39" s="85">
        <f>SUMIFS(Store_History[数量],Store_History[唯一识别码],Store_Setting[[#This Row],[唯一识别码]],Store_History[类型],$E$79)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.1" customHeight="1">
      <c r="B40" s="81"/>
      <c r="C40" s="82"/>
      <c r="D40" s="84" t="str">
        <f>CONCATENATE(Store_Setting[[#This Row],[商品序号]], " | ", Store_Setting[[#This Row],[商品名称]])</f>
        <v xml:space="preserve">30 | 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Row],[唯一识别码]],Store_History[类型],$D$79)</f>
        <v>0</v>
      </c>
      <c r="M40" s="85">
        <f>SUMIFS(Store_History[数量],Store_History[唯一识别码],Store_Setting[[#This Row],[唯一识别码]],Store_History[类型],$E$79)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.1" customHeight="1">
      <c r="B41" s="81"/>
      <c r="C41" s="82"/>
      <c r="D41" s="84" t="str">
        <f>CONCATENATE(Store_Setting[[#This Row],[商品序号]], " | ", Store_Setting[[#This Row],[商品名称]])</f>
        <v xml:space="preserve">31 | 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Row],[唯一识别码]],Store_History[类型],$D$79)</f>
        <v>0</v>
      </c>
      <c r="M41" s="85">
        <f>SUMIFS(Store_History[数量],Store_History[唯一识别码],Store_Setting[[#This Row],[唯一识别码]],Store_History[类型],$E$79)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.1" customHeight="1">
      <c r="B42" s="81"/>
      <c r="C42" s="82"/>
      <c r="D42" s="84" t="str">
        <f>CONCATENATE(Store_Setting[[#This Row],[商品序号]], " | ", Store_Setting[[#This Row],[商品名称]])</f>
        <v xml:space="preserve">32 | 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Row],[唯一识别码]],Store_History[类型],$D$79)</f>
        <v>0</v>
      </c>
      <c r="M42" s="85">
        <f>SUMIFS(Store_History[数量],Store_History[唯一识别码],Store_Setting[[#This Row],[唯一识别码]],Store_History[类型],$E$79)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.1" customHeight="1">
      <c r="B43" s="81"/>
      <c r="C43" s="82"/>
      <c r="D43" s="84" t="str">
        <f>CONCATENATE(Store_Setting[[#This Row],[商品序号]], " | ", Store_Setting[[#This Row],[商品名称]])</f>
        <v xml:space="preserve">33 | 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Row],[唯一识别码]],Store_History[类型],$D$79)</f>
        <v>0</v>
      </c>
      <c r="M43" s="85">
        <f>SUMIFS(Store_History[数量],Store_History[唯一识别码],Store_Setting[[#This Row],[唯一识别码]],Store_History[类型],$E$79)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.1" customHeight="1">
      <c r="B44" s="81"/>
      <c r="C44" s="82"/>
      <c r="D44" s="84" t="str">
        <f>CONCATENATE(Store_Setting[[#This Row],[商品序号]], " | ", Store_Setting[[#This Row],[商品名称]])</f>
        <v xml:space="preserve">34 | 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Row],[唯一识别码]],Store_History[类型],$D$79)</f>
        <v>0</v>
      </c>
      <c r="M44" s="85">
        <f>SUMIFS(Store_History[数量],Store_History[唯一识别码],Store_Setting[[#This Row],[唯一识别码]],Store_History[类型],$E$79)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.1" customHeight="1">
      <c r="B45" s="81"/>
      <c r="C45" s="82"/>
      <c r="D45" s="84" t="str">
        <f>CONCATENATE(Store_Setting[[#This Row],[商品序号]], " | ", Store_Setting[[#This Row],[商品名称]])</f>
        <v xml:space="preserve">35 | 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Row],[唯一识别码]],Store_History[类型],$D$79)</f>
        <v>0</v>
      </c>
      <c r="M45" s="85">
        <f>SUMIFS(Store_History[数量],Store_History[唯一识别码],Store_Setting[[#This Row],[唯一识别码]],Store_History[类型],$E$79)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.1" customHeight="1">
      <c r="B46" s="81"/>
      <c r="C46" s="82"/>
      <c r="D46" s="84" t="str">
        <f>CONCATENATE(Store_Setting[[#This Row],[商品序号]], " | ", Store_Setting[[#This Row],[商品名称]])</f>
        <v xml:space="preserve">36 | 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Row],[唯一识别码]],Store_History[类型],$D$79)</f>
        <v>0</v>
      </c>
      <c r="M46" s="85">
        <f>SUMIFS(Store_History[数量],Store_History[唯一识别码],Store_Setting[[#This Row],[唯一识别码]],Store_History[类型],$E$79)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.1" customHeight="1">
      <c r="B47" s="81"/>
      <c r="C47" s="82"/>
      <c r="D47" s="84" t="str">
        <f>CONCATENATE(Store_Setting[[#This Row],[商品序号]], " | ", Store_Setting[[#This Row],[商品名称]])</f>
        <v xml:space="preserve">37 | 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Row],[唯一识别码]],Store_History[类型],$D$79)</f>
        <v>0</v>
      </c>
      <c r="M47" s="85">
        <f>SUMIFS(Store_History[数量],Store_History[唯一识别码],Store_Setting[[#This Row],[唯一识别码]],Store_History[类型],$E$79)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.1" customHeight="1">
      <c r="B48" s="81"/>
      <c r="C48" s="82"/>
      <c r="D48" s="84" t="str">
        <f>CONCATENATE(Store_Setting[[#This Row],[商品序号]], " | ", Store_Setting[[#This Row],[商品名称]])</f>
        <v xml:space="preserve">38 | 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Row],[唯一识别码]],Store_History[类型],$D$79)</f>
        <v>0</v>
      </c>
      <c r="M48" s="85">
        <f>SUMIFS(Store_History[数量],Store_History[唯一识别码],Store_Setting[[#This Row],[唯一识别码]],Store_History[类型],$E$79)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.1" customHeight="1">
      <c r="B49" s="81"/>
      <c r="C49" s="82"/>
      <c r="D49" s="84" t="str">
        <f>CONCATENATE(Store_Setting[[#This Row],[商品序号]], " | ", Store_Setting[[#This Row],[商品名称]])</f>
        <v xml:space="preserve">39 | 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Row],[唯一识别码]],Store_History[类型],$D$79)</f>
        <v>0</v>
      </c>
      <c r="M49" s="85">
        <f>SUMIFS(Store_History[数量],Store_History[唯一识别码],Store_Setting[[#This Row],[唯一识别码]],Store_History[类型],$E$79)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.1" customHeight="1">
      <c r="B50" s="81"/>
      <c r="C50" s="82"/>
      <c r="D50" s="84" t="str">
        <f>CONCATENATE(Store_Setting[[#This Row],[商品序号]], " | ", Store_Setting[[#This Row],[商品名称]])</f>
        <v xml:space="preserve">40 | 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Row],[唯一识别码]],Store_History[类型],$D$79)</f>
        <v>0</v>
      </c>
      <c r="M50" s="85">
        <f>SUMIFS(Store_History[数量],Store_History[唯一识别码],Store_Setting[[#This Row],[唯一识别码]],Store_History[类型],$E$79)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.1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.1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.1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.1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.1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40.1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40.1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40.1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40.1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.1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40.1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.1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40.1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40.1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40.1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.1" customHeight="1">
      <c r="B70" s="81" t="s">
        <v>210</v>
      </c>
      <c r="C70" s="82" t="s">
        <v>421</v>
      </c>
      <c r="D70" s="90" t="s">
        <v>255</v>
      </c>
      <c r="E70" s="20" t="s">
        <v>123</v>
      </c>
      <c r="F70" s="94" t="s">
        <v>455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.1" customHeight="1">
      <c r="B71" s="81"/>
      <c r="C71" s="82"/>
      <c r="D71" s="90" t="s">
        <v>457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.1" customHeight="1">
      <c r="B72" s="81"/>
      <c r="C72" s="82"/>
      <c r="D72" s="90" t="s">
        <v>128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8.25" customHeight="1">
      <c r="B73" s="88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>
      <c r="B74" s="81" t="s">
        <v>231</v>
      </c>
      <c r="C74" s="82" t="s">
        <v>458</v>
      </c>
      <c r="D74" s="90" t="s">
        <v>459</v>
      </c>
      <c r="E74" s="20" t="s">
        <v>124</v>
      </c>
      <c r="F74" s="94" t="s">
        <v>461</v>
      </c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>
      <c r="B75" s="81"/>
      <c r="C75" s="82"/>
      <c r="D75" s="90" t="s">
        <v>462</v>
      </c>
      <c r="E75" s="117"/>
      <c r="F75" s="116"/>
      <c r="G75" s="116"/>
      <c r="H75" s="116"/>
      <c r="I75" s="116"/>
      <c r="J75" s="116"/>
      <c r="K75" s="116"/>
      <c r="L75" s="116"/>
      <c r="M75" s="116"/>
      <c r="N75" s="116"/>
      <c r="O75" s="83"/>
    </row>
    <row r="76" spans="2:15" ht="8.25" hidden="1" customHeight="1"/>
    <row r="77" spans="2:15" ht="40.1" hidden="1" customHeight="1">
      <c r="B77" s="96" t="s">
        <v>238</v>
      </c>
      <c r="C77" s="82" t="s">
        <v>5</v>
      </c>
      <c r="D77" s="97" t="s">
        <v>8</v>
      </c>
      <c r="E77" s="97" t="s">
        <v>9</v>
      </c>
      <c r="F77" s="98"/>
      <c r="G77" s="98"/>
      <c r="H77" s="98"/>
      <c r="I77" s="98"/>
      <c r="J77" s="98"/>
      <c r="K77" s="98"/>
      <c r="L77" s="98"/>
      <c r="M77" s="98"/>
      <c r="N77" s="98"/>
      <c r="O77" s="98"/>
    </row>
    <row r="78" spans="2:15" ht="8.25" hidden="1" customHeight="1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.1" hidden="1" customHeight="1">
      <c r="B79" s="96" t="s">
        <v>420</v>
      </c>
      <c r="C79" s="82" t="s">
        <v>252</v>
      </c>
      <c r="D79" s="97" t="s">
        <v>225</v>
      </c>
      <c r="E79" s="97" t="s">
        <v>211</v>
      </c>
      <c r="F79" s="98"/>
      <c r="G79" s="98"/>
      <c r="H79" s="98"/>
      <c r="I79" s="98"/>
      <c r="J79" s="98"/>
      <c r="K79" s="98"/>
      <c r="L79" s="98"/>
      <c r="M79" s="98"/>
      <c r="N79" s="98"/>
      <c r="O79" s="98"/>
    </row>
    <row r="80" spans="2:15" ht="8.25" hidden="1" customHeight="1">
      <c r="B80" s="88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.1" hidden="1" customHeight="1">
      <c r="B81" s="96" t="s">
        <v>460</v>
      </c>
      <c r="C81" s="82" t="s">
        <v>1</v>
      </c>
      <c r="D81" s="97" t="s">
        <v>10</v>
      </c>
      <c r="E81" s="97" t="s">
        <v>11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25" customHeight="1">
      <c r="B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.1" customHeight="1">
      <c r="B83" s="96" t="s">
        <v>243</v>
      </c>
      <c r="C83" s="99" t="s">
        <v>119</v>
      </c>
      <c r="D83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3" s="93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.1" customHeight="1">
      <c r="B84" s="96"/>
      <c r="C84" s="99" t="s">
        <v>255</v>
      </c>
      <c r="D84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.1" customHeight="1">
      <c r="B85" s="96"/>
      <c r="C85" s="99" t="s">
        <v>128</v>
      </c>
      <c r="D85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5" s="93"/>
      <c r="F85" s="82"/>
      <c r="G85" s="82"/>
      <c r="H85" s="82"/>
      <c r="I85" s="100"/>
      <c r="J85" s="82"/>
      <c r="K85" s="82"/>
      <c r="L85" s="82"/>
      <c r="M85" s="82"/>
      <c r="N85" s="82"/>
      <c r="O85" s="82"/>
    </row>
    <row r="86" spans="2:15" ht="40.1" customHeight="1">
      <c r="B86" s="96"/>
      <c r="C86" s="99" t="s">
        <v>26</v>
      </c>
      <c r="D86" s="94" t="str">
        <f>_xlfn.CONCAT("共有 ", COUNTA(Get_Staff_Member)," 位员工")</f>
        <v>共有 2 位员工</v>
      </c>
      <c r="E86" s="93"/>
      <c r="F86" s="82"/>
      <c r="G86" s="82"/>
      <c r="H86" s="82"/>
      <c r="I86" s="82"/>
      <c r="J86" s="82"/>
      <c r="K86" s="82"/>
      <c r="L86" s="82"/>
      <c r="M86" s="82"/>
      <c r="N86" s="82"/>
      <c r="O86" s="82"/>
    </row>
    <row r="87" spans="2:15" ht="40.1" customHeight="1">
      <c r="B87" s="96"/>
      <c r="C87" s="99" t="s">
        <v>217</v>
      </c>
      <c r="D87" s="94" t="str">
        <f>_xlfn.CONCAT("已设置 ", COUNTA(Get_Work_Unit)," 个单位")</f>
        <v>已设置 7 个单位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16.100000000000001" customHeight="1"/>
    <row r="89" spans="2:15" ht="40.1" customHeight="1">
      <c r="B89" s="101" t="s">
        <v>17</v>
      </c>
      <c r="C89" s="101"/>
      <c r="D89" s="101"/>
      <c r="E89" s="101"/>
    </row>
    <row r="90" spans="2:15" ht="40.1" customHeight="1">
      <c r="B90" s="102" t="s">
        <v>19</v>
      </c>
      <c r="C90" s="7" t="s">
        <v>127</v>
      </c>
      <c r="D90" s="8"/>
      <c r="E90" s="8"/>
    </row>
    <row r="91" spans="2:15" ht="40.1" customHeight="1">
      <c r="B91" s="102" t="s">
        <v>20</v>
      </c>
      <c r="C91" s="103" t="s">
        <v>18</v>
      </c>
      <c r="D91" s="104"/>
      <c r="E91" s="104"/>
    </row>
    <row r="92" spans="2:15" ht="40.1" customHeight="1">
      <c r="B92" s="102" t="s">
        <v>125</v>
      </c>
      <c r="C92" s="7" t="s">
        <v>126</v>
      </c>
      <c r="D92" s="8"/>
      <c r="E92" s="8"/>
    </row>
    <row r="93" spans="2:15" ht="40.1" customHeight="1">
      <c r="B93" s="102" t="s">
        <v>120</v>
      </c>
      <c r="C93" s="7" t="s">
        <v>411</v>
      </c>
      <c r="D93" s="7"/>
      <c r="E93" s="7"/>
    </row>
    <row r="94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4 E70:E74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.1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.1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1" t="str">
        <f>_xlfn.CONCAT(设置!F11," - 历史记录")</f>
        <v>1 - 历史记录</v>
      </c>
      <c r="F4" s="121"/>
      <c r="G4" s="71" t="str">
        <f>_xlfn.CONCAT(设置!F12)</f>
        <v>2</v>
      </c>
      <c r="H4" s="120" t="str">
        <f>_xlfn.CONCAT(设置!F12," - 历史记录")</f>
        <v>2 - 历史记录</v>
      </c>
      <c r="I4" s="120"/>
      <c r="J4" s="65" t="str">
        <f>_xlfn.CONCAT(设置!F13)</f>
        <v/>
      </c>
      <c r="K4" s="121" t="str">
        <f>_xlfn.CONCAT(设置!F13," - 历史记录")</f>
        <v xml:space="preserve"> - 历史记录</v>
      </c>
      <c r="L4" s="121"/>
      <c r="M4" s="71" t="str">
        <f>_xlfn.CONCAT(设置!F14)</f>
        <v/>
      </c>
      <c r="N4" s="120" t="str">
        <f>_xlfn.CONCAT(设置!F14," - 历史记录")</f>
        <v xml:space="preserve"> - 历史记录</v>
      </c>
      <c r="O4" s="120"/>
      <c r="P4" s="73" t="str">
        <f>_xlfn.CONCAT(设置!F15)</f>
        <v/>
      </c>
      <c r="Q4" s="121" t="str">
        <f>_xlfn.CONCAT(设置!F15," - 历史记录")</f>
        <v xml:space="preserve"> - 历史记录</v>
      </c>
      <c r="R4" s="121"/>
      <c r="S4" s="71" t="str">
        <f>_xlfn.CONCAT(设置!F16)</f>
        <v/>
      </c>
      <c r="T4" s="120" t="str">
        <f>_xlfn.CONCAT(设置!F16," - 历史记录")</f>
        <v xml:space="preserve"> - 历史记录</v>
      </c>
      <c r="U4" s="120"/>
      <c r="V4" s="73" t="str">
        <f>_xlfn.CONCAT(设置!F17)</f>
        <v/>
      </c>
      <c r="W4" s="121" t="str">
        <f>_xlfn.CONCAT(设置!F17," - 历史记录")</f>
        <v xml:space="preserve"> - 历史记录</v>
      </c>
      <c r="X4" s="121"/>
      <c r="Y4" s="71" t="str">
        <f>_xlfn.CONCAT(设置!F18)</f>
        <v/>
      </c>
      <c r="Z4" s="120" t="str">
        <f>_xlfn.CONCAT(设置!F18," - 历史记录")</f>
        <v xml:space="preserve"> - 历史记录</v>
      </c>
      <c r="AA4" s="120"/>
      <c r="AB4" s="73" t="str">
        <f>_xlfn.CONCAT(设置!F19)</f>
        <v/>
      </c>
      <c r="AC4" s="121" t="str">
        <f>_xlfn.CONCAT(设置!F19," - 历史记录")</f>
        <v xml:space="preserve"> - 历史记录</v>
      </c>
      <c r="AD4" s="121"/>
      <c r="AE4" s="71" t="str">
        <f>_xlfn.CONCAT(设置!F20)</f>
        <v/>
      </c>
      <c r="AF4" s="120" t="str">
        <f>_xlfn.CONCAT(设置!F20," - 历史记录")</f>
        <v xml:space="preserve"> - 历史记录</v>
      </c>
      <c r="AG4" s="120"/>
      <c r="AH4" s="73" t="str">
        <f>_xlfn.CONCAT(设置!F21)</f>
        <v/>
      </c>
      <c r="AI4" s="121" t="str">
        <f>_xlfn.CONCAT(设置!F21," - 历史记录")</f>
        <v xml:space="preserve"> - 历史记录</v>
      </c>
      <c r="AJ4" s="121"/>
      <c r="AK4" s="71" t="str">
        <f>_xlfn.CONCAT(设置!F22)</f>
        <v/>
      </c>
      <c r="AL4" s="120" t="str">
        <f>_xlfn.CONCAT(设置!F22," - 历史记录")</f>
        <v xml:space="preserve"> - 历史记录</v>
      </c>
      <c r="AM4" s="120"/>
      <c r="AN4" s="73" t="str">
        <f>_xlfn.CONCAT(设置!F23)</f>
        <v/>
      </c>
      <c r="AO4" s="121" t="str">
        <f>_xlfn.CONCAT(设置!F23, " - 历史记录")</f>
        <v xml:space="preserve"> - 历史记录</v>
      </c>
      <c r="AP4" s="121"/>
      <c r="AQ4" s="71" t="str">
        <f>_xlfn.CONCAT(设置!F24)</f>
        <v/>
      </c>
      <c r="AR4" s="120" t="str">
        <f>_xlfn.CONCAT(设置!F24, " - 历史记录")</f>
        <v xml:space="preserve"> - 历史记录</v>
      </c>
      <c r="AS4" s="120"/>
      <c r="AT4" s="73" t="str">
        <f>_xlfn.CONCAT(设置!F25)</f>
        <v/>
      </c>
      <c r="AU4" s="121" t="str">
        <f>_xlfn.CONCAT(设置!F25," - 历史记录")</f>
        <v xml:space="preserve"> - 历史记录</v>
      </c>
      <c r="AV4" s="121"/>
      <c r="AW4" s="71" t="str">
        <f>_xlfn.CONCAT(设置!F26)</f>
        <v/>
      </c>
      <c r="AX4" s="120" t="str">
        <f>_xlfn.CONCAT(设置!F26," - 历史记录")</f>
        <v xml:space="preserve"> - 历史记录</v>
      </c>
      <c r="AY4" s="120"/>
      <c r="AZ4" s="73" t="str">
        <f>_xlfn.CONCAT(设置!F27)</f>
        <v/>
      </c>
      <c r="BA4" s="121" t="str">
        <f>_xlfn.CONCAT(设置!F27," - 历史记录")</f>
        <v xml:space="preserve"> - 历史记录</v>
      </c>
      <c r="BB4" s="121"/>
      <c r="BC4" s="71" t="str">
        <f>_xlfn.CONCAT(设置!F28)</f>
        <v/>
      </c>
      <c r="BD4" s="120" t="str">
        <f>_xlfn.CONCAT(设置!F28," - 历史记录")</f>
        <v xml:space="preserve"> - 历史记录</v>
      </c>
      <c r="BE4" s="120"/>
      <c r="BF4" s="73" t="str">
        <f>_xlfn.CONCAT(设置!F29)</f>
        <v/>
      </c>
      <c r="BG4" s="121" t="str">
        <f>_xlfn.CONCAT(设置!F29," - 历史记录")</f>
        <v xml:space="preserve"> - 历史记录</v>
      </c>
      <c r="BH4" s="121"/>
      <c r="BI4" s="71" t="str">
        <f>_xlfn.CONCAT(设置!F30)</f>
        <v/>
      </c>
      <c r="BJ4" s="120" t="str">
        <f>_xlfn.CONCAT(设置!F30," - 历史记录")</f>
        <v xml:space="preserve"> - 历史记录</v>
      </c>
      <c r="BK4" s="120"/>
      <c r="BL4" s="72" t="str">
        <f>_xlfn.CONCAT(设置!F31)</f>
        <v/>
      </c>
      <c r="BM4" s="119" t="str">
        <f>_xlfn.CONCAT(设置!F31," - 历史记录")</f>
        <v xml:space="preserve"> - 历史记录</v>
      </c>
      <c r="BN4" s="119"/>
      <c r="BO4" s="71" t="str">
        <f>_xlfn.CONCAT(设置!F32)</f>
        <v/>
      </c>
      <c r="BP4" s="120" t="str">
        <f>_xlfn.CONCAT(设置!F32," - 历史记录")</f>
        <v xml:space="preserve"> - 历史记录</v>
      </c>
      <c r="BQ4" s="120"/>
      <c r="BR4" s="72" t="str">
        <f>_xlfn.CONCAT(设置!F33)</f>
        <v/>
      </c>
      <c r="BS4" s="119" t="str">
        <f>_xlfn.CONCAT(设置!F33," - 历史记录")</f>
        <v xml:space="preserve"> - 历史记录</v>
      </c>
      <c r="BT4" s="119"/>
      <c r="BU4" s="71" t="str">
        <f>_xlfn.CONCAT(设置!F34)</f>
        <v/>
      </c>
      <c r="BV4" s="120" t="str">
        <f>_xlfn.CONCAT(设置!F34," - 历史记录")</f>
        <v xml:space="preserve"> - 历史记录</v>
      </c>
      <c r="BW4" s="120"/>
      <c r="BX4" s="72" t="str">
        <f>_xlfn.CONCAT(设置!F35)</f>
        <v/>
      </c>
      <c r="BY4" s="119" t="str">
        <f>_xlfn.CONCAT(设置!F35," - 历史记录")</f>
        <v xml:space="preserve"> - 历史记录</v>
      </c>
      <c r="BZ4" s="119"/>
      <c r="CA4" s="71" t="str">
        <f>_xlfn.CONCAT(设置!F36)</f>
        <v/>
      </c>
      <c r="CB4" s="120" t="str">
        <f>_xlfn.CONCAT(设置!F36," - 历史记录")</f>
        <v xml:space="preserve"> - 历史记录</v>
      </c>
      <c r="CC4" s="120"/>
      <c r="CD4" s="72" t="str">
        <f>_xlfn.CONCAT(设置!F37)</f>
        <v/>
      </c>
      <c r="CE4" s="119" t="str">
        <f>_xlfn.CONCAT(设置!F37," - 历史记录")</f>
        <v xml:space="preserve"> - 历史记录</v>
      </c>
      <c r="CF4" s="119"/>
      <c r="CG4" s="71" t="str">
        <f>_xlfn.CONCAT(设置!F38)</f>
        <v/>
      </c>
      <c r="CH4" s="120" t="str">
        <f>_xlfn.CONCAT(设置!F38," - 历史记录")</f>
        <v xml:space="preserve"> - 历史记录</v>
      </c>
      <c r="CI4" s="120"/>
      <c r="CJ4" s="72" t="str">
        <f>_xlfn.CONCAT(设置!F39)</f>
        <v/>
      </c>
      <c r="CK4" s="119" t="str">
        <f>_xlfn.CONCAT(设置!F39," - 历史记录")</f>
        <v xml:space="preserve"> - 历史记录</v>
      </c>
      <c r="CL4" s="119"/>
      <c r="CM4" s="71" t="str">
        <f>_xlfn.CONCAT(设置!F40)</f>
        <v/>
      </c>
      <c r="CN4" s="120" t="str">
        <f>_xlfn.CONCAT(设置!F40," - 历史记录")</f>
        <v xml:space="preserve"> - 历史记录</v>
      </c>
      <c r="CO4" s="120"/>
      <c r="CP4" s="72" t="str">
        <f>_xlfn.CONCAT(设置!F41)</f>
        <v/>
      </c>
      <c r="CQ4" s="119" t="str">
        <f>_xlfn.CONCAT(设置!F41," - 历史记录")</f>
        <v xml:space="preserve"> - 历史记录</v>
      </c>
      <c r="CR4" s="119"/>
      <c r="CS4" s="71" t="str">
        <f>_xlfn.CONCAT(设置!F42)</f>
        <v/>
      </c>
      <c r="CT4" s="120" t="str">
        <f>_xlfn.CONCAT(设置!F42," - 历史记录")</f>
        <v xml:space="preserve"> - 历史记录</v>
      </c>
      <c r="CU4" s="120"/>
      <c r="CV4" s="72" t="str">
        <f>_xlfn.CONCAT(设置!F43)</f>
        <v/>
      </c>
      <c r="CW4" s="119" t="str">
        <f>_xlfn.CONCAT(设置!F43," - 历史记录")</f>
        <v xml:space="preserve"> - 历史记录</v>
      </c>
      <c r="CX4" s="119"/>
      <c r="CY4" s="71" t="str">
        <f>_xlfn.CONCAT(设置!F44)</f>
        <v/>
      </c>
      <c r="CZ4" s="120" t="str">
        <f>_xlfn.CONCAT(设置!F44," - 历史记录")</f>
        <v xml:space="preserve"> - 历史记录</v>
      </c>
      <c r="DA4" s="120"/>
      <c r="DB4" s="72" t="str">
        <f>_xlfn.CONCAT(设置!F45)</f>
        <v/>
      </c>
      <c r="DC4" s="119" t="str">
        <f>_xlfn.CONCAT(设置!F45," - 历史记录")</f>
        <v xml:space="preserve"> - 历史记录</v>
      </c>
      <c r="DD4" s="119"/>
      <c r="DE4" s="71" t="str">
        <f>_xlfn.CONCAT(设置!F46)</f>
        <v/>
      </c>
      <c r="DF4" s="120" t="str">
        <f>_xlfn.CONCAT(设置!F46," - 历史记录")</f>
        <v xml:space="preserve"> - 历史记录</v>
      </c>
      <c r="DG4" s="120"/>
      <c r="DH4" s="72" t="str">
        <f>_xlfn.CONCAT(设置!F47)</f>
        <v/>
      </c>
      <c r="DI4" s="119" t="str">
        <f>_xlfn.CONCAT(设置!F47," - 历史记录")</f>
        <v xml:space="preserve"> - 历史记录</v>
      </c>
      <c r="DJ4" s="119"/>
      <c r="DK4" s="71" t="str">
        <f>_xlfn.CONCAT(设置!F48)</f>
        <v/>
      </c>
      <c r="DL4" s="120" t="str">
        <f>_xlfn.CONCAT(设置!F48," - 历史记录")</f>
        <v xml:space="preserve"> - 历史记录</v>
      </c>
      <c r="DM4" s="120"/>
      <c r="DN4" s="72" t="str">
        <f>_xlfn.CONCAT(设置!F49)</f>
        <v/>
      </c>
      <c r="DO4" s="119" t="str">
        <f>_xlfn.CONCAT(设置!F49," - 历史记录")</f>
        <v xml:space="preserve"> - 历史记录</v>
      </c>
      <c r="DP4" s="119"/>
      <c r="DQ4" s="71" t="str">
        <f>_xlfn.CONCAT(设置!F50)</f>
        <v/>
      </c>
      <c r="DR4" s="120" t="str">
        <f>_xlfn.CONCAT(设置!F50," - 历史记录")</f>
        <v xml:space="preserve"> - 历史记录</v>
      </c>
      <c r="DS4" s="120"/>
      <c r="DT4" s="121" t="s">
        <v>72</v>
      </c>
      <c r="DU4" s="121"/>
      <c r="DV4" s="121"/>
      <c r="DW4" s="121"/>
      <c r="DX4" s="121"/>
      <c r="DY4" s="121" t="s">
        <v>85</v>
      </c>
      <c r="DZ4" s="121"/>
      <c r="EA4" s="121"/>
      <c r="EB4" s="121" t="s">
        <v>241</v>
      </c>
      <c r="EC4" s="121"/>
      <c r="ED4" s="40" t="s">
        <v>417</v>
      </c>
      <c r="EE4" s="122" t="s">
        <v>264</v>
      </c>
      <c r="EF4" s="122"/>
      <c r="EG4" s="122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.1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.1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456</v>
      </c>
    </row>
    <row r="8" spans="2:139" ht="40.1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456</v>
      </c>
      <c r="EI8" s="15"/>
    </row>
  </sheetData>
  <sheetProtection selectLockedCells="1"/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1" t="s">
        <v>82</v>
      </c>
      <c r="AS4" s="121"/>
      <c r="AT4" s="121"/>
      <c r="AU4" s="121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.1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39.75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.1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2024-03-01T02:48:27Z</dcterms:modified>
</cp:coreProperties>
</file>