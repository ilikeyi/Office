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B416AAF3-080D-4171-A1B2-94F763F984C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设置!$D$74:$E$74</definedName>
    <definedName name="Get_GUID">UserInfo[唯一识别码]</definedName>
    <definedName name="Get_Keep_inventory">设置!$D$72:$E$72</definedName>
    <definedName name="Get_Staff_Member">设置!$D$53:$O$53</definedName>
    <definedName name="Get_Store_Uid">Store_Setting[唯一识别码]</definedName>
    <definedName name="Get_Type_of_Access">设置!$D$70:$E$70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0" i="1" l="1"/>
  <c r="D83" i="1"/>
  <c r="D82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1" i="1" s="1"/>
  <c r="B9" i="6" a="1"/>
  <c r="B9" i="6" s="1"/>
  <c r="D7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<sst xmlns="http://schemas.openxmlformats.org/spreadsheetml/2006/main" count="630" uniqueCount="430">
  <si>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</si>
  <si>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</si>
  <si>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</si>
  <si>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</si>
  <si>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</si>
  <si>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</si>
  <si>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</si>
  <si>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</si>
  <si>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</si>
  <si>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</si>
  <si>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</si>
  <si>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</si>
  <si>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</si>
  <si>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</si>
  <si>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</si>
  <si>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</si>
  <si>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</si>
  <si>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</si>
  <si>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</si>
  <si>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</si>
  <si>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</si>
  <si>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</si>
  <si>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</si>
  <si>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</si>
  <si>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</si>
  <si>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</si>
  <si>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</si>
  <si>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</si>
  <si>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</si>
  <si>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</si>
  <si>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</si>
  <si>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</si>
  <si>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</si>
  <si>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</si>
  <si>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</si>
  <si>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</si>
  <si>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</si>
  <si>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</si>
  <si>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</si>
  <si>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</si>
  <si>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</si>
  <si>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</si>
  <si>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</si>
  <si>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</si>
  <si>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</si>
  <si>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</si>
  <si>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</si>
  <si>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</si>
  <si>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</si>
  <si>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</si>
  <si>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</si>
  <si>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</si>
  <si>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</si>
  <si>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</si>
  <si>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</si>
  <si>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</si>
  <si>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</si>
  <si>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</si>
  <si>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</si>
  <si>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</si>
  <si>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</si>
  <si>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</si>
  <si>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</si>
  <si>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</si>
  <si>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</si>
  <si>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</si>
  <si>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</si>
  <si>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</si>
  <si>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</si>
  <si>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</si>
  <si>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</si>
  <si>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</si>
  <si>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</si>
  <si>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</si>
  <si>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</si>
  <si>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</si>
  <si>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</si>
  <si>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</si>
  <si>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</si>
  <si>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</si>
  <si>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</si>
  <si>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</si>
  <si>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</si>
  <si>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</si>
  <si>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</si>
  <si>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</si>
  <si>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</si>
  <si>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</si>
  <si>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</si>
  <si>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</si>
  <si>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</si>
  <si>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</si>
  <si>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</si>
  <si>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</si>
  <si>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</si>
  <si>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</si>
  <si>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</si>
  <si>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</si>
  <si>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</si>
  <si>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</si>
  <si>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</si>
  <si>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</si>
  <si>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</si>
  <si>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</si>
  <si>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</si>
  <si>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</si>
  <si>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</si>
  <si>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</si>
  <si>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</si>
  <si>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</si>
  <si>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</si>
  <si>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</si>
  <si>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</si>
  <si>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</si>
  <si>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</si>
  <si>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</si>
  <si>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</si>
  <si>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</si>
  <si>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</si>
  <si>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</si>
  <si>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</si>
  <si>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</si>
  <si>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</si>
  <si>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</si>
  <si>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</si>
  <si>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</si>
  <si>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</si>
  <si>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</si>
  <si>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</si>
  <si>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</si>
  <si>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</si>
  <si>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</si>
  <si>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</si>
  <si>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</si>
  <si>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</si>
  <si>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</si>
  <si>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</si>
  <si>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</si>
  <si>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</si>
  <si>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</si>
  <si>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</si>
  <si>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</si>
  <si>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</si>
  <si>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</si>
  <si>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</si>
  <si>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</si>
  <si>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</si>
  <si>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</si>
  <si>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</si>
  <si>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</si>
  <si>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</si>
  <si>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</si>
  <si>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</si>
  <si>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</si>
  <si>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</si>
  <si>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</si>
  <si>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</si>
  <si>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</si>
  <si>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</si>
  <si>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</si>
  <si>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</si>
  <si>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</si>
  <si>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</si>
  <si>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</si>
  <si>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</si>
  <si>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</si>
  <si>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</si>
  <si>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</si>
  <si>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</si>
  <si>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</si>
  <si>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</si>
  <si>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</si>
  <si>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</si>
  <si>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</si>
  <si>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</si>
  <si>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</si>
  <si>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</si>
  <si>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</si>
  <si>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</si>
  <si>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</si>
  <si>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</si>
  <si>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</si>
  <si>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</si>
  <si>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</si>
  <si>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</si>
  <si>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</si>
  <si>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</si>
  <si>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</si>
  <si>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</si>
  <si>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</si>
  <si>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</si>
  <si>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</si>
  <si>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</si>
  <si>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</si>
  <si>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</si>
  <si>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</si>
  <si>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</si>
  <si>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</si>
  <si>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</si>
  <si>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</si>
  <si>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</si>
  <si>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</si>
  <si>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</si>
  <si>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</si>
  <si>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</si>
  <si>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</si>
  <si>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</si>
  <si>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</si>
  <si>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</si>
  <si>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</si>
  <si>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</si>
  <si>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</si>
  <si>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</si>
  <si>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</si>
  <si>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</si>
  <si>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</si>
  <si>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</si>
  <si>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</si>
  <si>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</si>
  <si>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</si>
  <si>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</si>
  <si>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</si>
  <si>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</si>
  <si>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</si>
  <si>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</si>
  <si>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</si>
  <si>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</si>
  <si>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</si>
  <si>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</si>
  <si>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</si>
  <si>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</si>
  <si>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</si>
  <si>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</si>
  <si>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</si>
  <si>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</si>
  <si>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</si>
  <si>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</si>
  <si>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</si>
  <si>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</si>
  <si>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</si>
  <si>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</si>
  <si>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</si>
  <si>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</si>
  <si>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</si>
  <si>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</si>
  <si>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</si>
  <si>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</si>
  <si>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</si>
  <si>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</si>
  <si>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</si>
  <si>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</si>
  <si>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</si>
  <si>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</si>
  <si>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</si>
  <si>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</si>
  <si>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</si>
  <si>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</si>
  <si>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</si>
  <si>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</si>
  <si>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</si>
  <si>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</si>
  <si>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</si>
  <si>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</si>
  <si>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</si>
  <si>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</si>
  <si>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</si>
  <si>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</si>
  <si>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</si>
  <si>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</si>
  <si>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</si>
  <si>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</si>
  <si>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</si>
  <si>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</si>
  <si>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</si>
  <si>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</si>
  <si>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</si>
  <si>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</si>
  <si>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</si>
  <si>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</si>
  <si>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</si>
  <si>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</si>
  <si>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</si>
  <si>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</si>
  <si>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</si>
  <si>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</si>
  <si>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</si>
  <si>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</si>
  <si>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</si>
  <si>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</si>
  <si>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</si>
  <si>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</si>
  <si>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</si>
  <si>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</si>
  <si>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</si>
  <si>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</si>
  <si>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</si>
  <si>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</si>
  <si>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</si>
  <si>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</si>
  <si>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</si>
  <si>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</si>
  <si>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</si>
  <si>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</si>
  <si>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</si>
  <si>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</si>
  <si>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</si>
  <si>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</si>
  <si>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</si>
  <si>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</si>
  <si>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</si>
  <si>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</si>
  <si>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</si>
  <si>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</si>
  <si>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</si>
  <si>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</si>
  <si>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</si>
  <si>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</si>
  <si>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</si>
  <si>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</si>
  <si>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</si>
  <si>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</si>
  <si>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</si>
  <si>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</si>
  <si>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</si>
  <si>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</si>
  <si>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</si>
  <si>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</si>
  <si>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</si>
  <si>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</si>
  <si>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</si>
  <si>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</si>
  <si>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</si>
  <si>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</si>
  <si>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</si>
  <si>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</si>
  <si>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</si>
  <si>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</si>
  <si>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</si>
  <si>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</si>
  <si>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</si>
  <si>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</si>
  <si>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</si>
  <si>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</si>
  <si>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</si>
  <si>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</si>
  <si>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</si>
  <si>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</si>
  <si>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</si>
  <si>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</si>
  <si>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</si>
  <si>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</si>
  <si>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</si>
  <si>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</si>
  <si>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</si>
  <si>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</si>
  <si>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</si>
  <si>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</si>
  <si>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</si>
  <si>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</si>
  <si>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</si>
  <si>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</si>
  <si>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</si>
  <si>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</si>
  <si>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</si>
  <si>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</si>
  <si>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</si>
  <si>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</si>
  <si>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</si>
  <si>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</si>
  <si>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</si>
  <si>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</si>
  <si>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</si>
  <si>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</si>
  <si>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</si>
  <si>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</si>
  <si>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</si>
  <si>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</si>
  <si>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</si>
  <si>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</si>
  <si>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</si>
  <si>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</si>
  <si>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</si>
  <si>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</si>
  <si>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</si>
  <si>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</si>
  <si>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</si>
  <si>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</si>
  <si>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</si>
  <si>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</si>
  <si>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</si>
  <si>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</si>
  <si>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</si>
  <si>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</si>
  <si>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</si>
  <si>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</si>
  <si>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</si>
  <si>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</si>
  <si>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</si>
  <si>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</si>
  <si>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</si>
  <si>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</si>
  <si>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</si>
  <si>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</si>
  <si>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</si>
  <si>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</si>
  <si>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</si>
  <si>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</si>
  <si>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</si>
  <si>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</si>
  <si>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</si>
  <si>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</si>
  <si>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</si>
  <si>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</si>
  <si>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</si>
  <si>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</si>
  <si>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</si>
  <si>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</si>
  <si>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</si>
  <si>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</si>
  <si>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</si>
  <si>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</si>
  <si>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</si>
  <si>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</si>
  <si>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</si>
  <si>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* 自动锁定超过24小时的历史记录</t>
  </si>
  <si>
    <t>锁定超时</t>
  </si>
  <si>
    <t>李怡 | 7551</t>
  </si>
  <si>
    <t>状态</t>
  </si>
  <si>
    <t>可编辑</t>
  </si>
  <si>
    <t>不可编辑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</si>
</sst>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号" dataDxfId="92" totalsRowDxfId="91">
      <calculatedColumnFormula array="1">SN</calculatedColumnFormula>
    </tableColumn>
    <tableColumn id="2" xr3:uid="{B2493920-5E1A-4FDC-9855-B9542A099E48}" name="唯一识别码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类型" dataDxfId="8" totalsRowDxfId="7"/>
    <tableColumn id="3" xr3:uid="{2DB9E3FB-FAB2-4AAE-92D3-3923415905C1}" name="时间" dataDxfId="6" totalsRowDxfId="5"/>
    <tableColumn id="7" xr3:uid="{09F84C56-CC9A-4AF7-B58F-B7114DD50367}" name="工号" dataDxfId="4" totalsRowDxfId="3"/>
    <tableColumn id="8" xr3:uid="{56756BBB-4B3E-40A7-A199-808B905113E1}" name="备注" dataDxfId="2" totalsRowDxfId="1"/>
    <tableColumn id="9" xr3:uid="{5B8F09C5-27BD-4EA3-848B-D053828646F7}" name="可编辑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270</v>
      </c>
      <c r="O9" s="143"/>
      <c r="P9" s="143" t="s">
        <v>411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271</v>
      </c>
      <c r="O10" s="138" t="s">
        <v>272</v>
      </c>
      <c r="P10" s="138" t="s">
        <v>407</v>
      </c>
      <c r="Q10" s="138" t="s">
        <v>408</v>
      </c>
      <c r="R10" s="138" t="s">
        <v>409</v>
      </c>
      <c r="S10" s="138" t="s">
        <v>410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0" t="s">
        <v>123</v>
      </c>
      <c r="O11" s="100" t="s">
        <v>123</v>
      </c>
      <c r="P11" s="45" t="s">
        <v>313</v>
      </c>
      <c r="Q11" s="45" t="s">
        <v>274</v>
      </c>
      <c r="R11" s="45" t="s">
        <v>275</v>
      </c>
      <c r="S11" s="45" t="s">
        <v>273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0" t="s">
        <v>123</v>
      </c>
      <c r="O12" s="100" t="s">
        <v>123</v>
      </c>
      <c r="P12" s="45" t="s">
        <v>314</v>
      </c>
      <c r="Q12" s="45" t="s">
        <v>277</v>
      </c>
      <c r="R12" s="45" t="s">
        <v>278</v>
      </c>
      <c r="S12" s="45" t="s">
        <v>274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0" t="s">
        <v>123</v>
      </c>
      <c r="O13" s="100" t="s">
        <v>123</v>
      </c>
      <c r="P13" s="45" t="s">
        <v>315</v>
      </c>
      <c r="Q13" s="45" t="s">
        <v>280</v>
      </c>
      <c r="R13" s="45" t="s">
        <v>281</v>
      </c>
      <c r="S13" s="45" t="s">
        <v>275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0" t="s">
        <v>123</v>
      </c>
      <c r="O14" s="100" t="s">
        <v>123</v>
      </c>
      <c r="P14" s="45" t="s">
        <v>316</v>
      </c>
      <c r="Q14" s="45" t="s">
        <v>283</v>
      </c>
      <c r="R14" s="45" t="s">
        <v>284</v>
      </c>
      <c r="S14" s="45" t="s">
        <v>276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0" t="s">
        <v>123</v>
      </c>
      <c r="O15" s="100" t="s">
        <v>123</v>
      </c>
      <c r="P15" s="45" t="s">
        <v>317</v>
      </c>
      <c r="Q15" s="45" t="s">
        <v>286</v>
      </c>
      <c r="R15" s="45" t="s">
        <v>287</v>
      </c>
      <c r="S15" s="45" t="s">
        <v>277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0" t="s">
        <v>123</v>
      </c>
      <c r="O16" s="100" t="s">
        <v>123</v>
      </c>
      <c r="P16" s="45" t="s">
        <v>318</v>
      </c>
      <c r="Q16" s="45" t="s">
        <v>289</v>
      </c>
      <c r="R16" s="45" t="s">
        <v>290</v>
      </c>
      <c r="S16" s="45" t="s">
        <v>278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0" t="s">
        <v>123</v>
      </c>
      <c r="O17" s="100" t="s">
        <v>123</v>
      </c>
      <c r="P17" s="45" t="s">
        <v>319</v>
      </c>
      <c r="Q17" s="45" t="s">
        <v>292</v>
      </c>
      <c r="R17" s="45" t="s">
        <v>293</v>
      </c>
      <c r="S17" s="45" t="s">
        <v>279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0" t="s">
        <v>123</v>
      </c>
      <c r="O18" s="100" t="s">
        <v>123</v>
      </c>
      <c r="P18" s="45" t="s">
        <v>320</v>
      </c>
      <c r="Q18" s="45" t="s">
        <v>295</v>
      </c>
      <c r="R18" s="45" t="s">
        <v>311</v>
      </c>
      <c r="S18" s="45" t="s">
        <v>280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0" t="s">
        <v>123</v>
      </c>
      <c r="O19" s="100" t="s">
        <v>123</v>
      </c>
      <c r="P19" s="45" t="s">
        <v>321</v>
      </c>
      <c r="Q19" s="45" t="s">
        <v>297</v>
      </c>
      <c r="R19" s="45" t="s">
        <v>298</v>
      </c>
      <c r="S19" s="45" t="s">
        <v>281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0" t="s">
        <v>123</v>
      </c>
      <c r="O20" s="100" t="s">
        <v>123</v>
      </c>
      <c r="P20" s="45" t="s">
        <v>322</v>
      </c>
      <c r="Q20" s="45" t="s">
        <v>300</v>
      </c>
      <c r="R20" s="45" t="s">
        <v>301</v>
      </c>
      <c r="S20" s="45" t="s">
        <v>282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0" t="s">
        <v>123</v>
      </c>
      <c r="O21" s="100" t="s">
        <v>123</v>
      </c>
      <c r="P21" s="45" t="s">
        <v>323</v>
      </c>
      <c r="Q21" s="45" t="s">
        <v>303</v>
      </c>
      <c r="R21" s="45" t="s">
        <v>304</v>
      </c>
      <c r="S21" s="45" t="s">
        <v>283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0" t="s">
        <v>123</v>
      </c>
      <c r="O22" s="100" t="s">
        <v>123</v>
      </c>
      <c r="P22" s="45" t="s">
        <v>324</v>
      </c>
      <c r="Q22" s="45" t="s">
        <v>306</v>
      </c>
      <c r="R22" s="45" t="s">
        <v>307</v>
      </c>
      <c r="S22" s="45" t="s">
        <v>284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0" t="s">
        <v>123</v>
      </c>
      <c r="O23" s="100" t="s">
        <v>123</v>
      </c>
      <c r="P23" s="45" t="s">
        <v>325</v>
      </c>
      <c r="Q23" s="45" t="s">
        <v>309</v>
      </c>
      <c r="R23" s="45" t="s">
        <v>310</v>
      </c>
      <c r="S23" s="45" t="s">
        <v>285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0" t="s">
        <v>123</v>
      </c>
      <c r="O24" s="100" t="s">
        <v>123</v>
      </c>
      <c r="P24" s="45" t="s">
        <v>326</v>
      </c>
      <c r="Q24" s="45" t="s">
        <v>352</v>
      </c>
      <c r="R24" s="45" t="s">
        <v>353</v>
      </c>
      <c r="S24" s="45" t="s">
        <v>286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0" t="s">
        <v>123</v>
      </c>
      <c r="O25" s="100" t="s">
        <v>123</v>
      </c>
      <c r="P25" s="45" t="s">
        <v>406</v>
      </c>
      <c r="Q25" s="45" t="s">
        <v>354</v>
      </c>
      <c r="R25" s="45" t="s">
        <v>355</v>
      </c>
      <c r="S25" s="45" t="s">
        <v>287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0" t="s">
        <v>123</v>
      </c>
      <c r="O26" s="100" t="s">
        <v>123</v>
      </c>
      <c r="P26" s="45" t="s">
        <v>327</v>
      </c>
      <c r="Q26" s="45" t="s">
        <v>356</v>
      </c>
      <c r="R26" s="45" t="s">
        <v>357</v>
      </c>
      <c r="S26" s="45" t="s">
        <v>288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0" t="s">
        <v>123</v>
      </c>
      <c r="O27" s="100" t="s">
        <v>123</v>
      </c>
      <c r="P27" s="45" t="s">
        <v>328</v>
      </c>
      <c r="Q27" s="45" t="s">
        <v>358</v>
      </c>
      <c r="R27" s="45" t="s">
        <v>359</v>
      </c>
      <c r="S27" s="45" t="s">
        <v>289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0" t="s">
        <v>123</v>
      </c>
      <c r="O28" s="100" t="s">
        <v>123</v>
      </c>
      <c r="P28" s="45" t="s">
        <v>329</v>
      </c>
      <c r="Q28" s="45" t="s">
        <v>360</v>
      </c>
      <c r="R28" s="45" t="s">
        <v>361</v>
      </c>
      <c r="S28" s="45" t="s">
        <v>290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0" t="s">
        <v>123</v>
      </c>
      <c r="O29" s="100" t="s">
        <v>123</v>
      </c>
      <c r="P29" s="45" t="s">
        <v>330</v>
      </c>
      <c r="Q29" s="45" t="s">
        <v>362</v>
      </c>
      <c r="R29" s="45" t="s">
        <v>363</v>
      </c>
      <c r="S29" s="45" t="s">
        <v>291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0" t="s">
        <v>123</v>
      </c>
      <c r="O30" s="100" t="s">
        <v>123</v>
      </c>
      <c r="P30" s="45" t="s">
        <v>331</v>
      </c>
      <c r="Q30" s="45" t="s">
        <v>364</v>
      </c>
      <c r="R30" s="45" t="s">
        <v>365</v>
      </c>
      <c r="S30" s="45" t="s">
        <v>292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0" t="s">
        <v>123</v>
      </c>
      <c r="O31" s="100" t="s">
        <v>123</v>
      </c>
      <c r="P31" s="45" t="s">
        <v>332</v>
      </c>
      <c r="Q31" s="45" t="s">
        <v>366</v>
      </c>
      <c r="R31" s="45" t="s">
        <v>367</v>
      </c>
      <c r="S31" s="45" t="s">
        <v>293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0" t="s">
        <v>123</v>
      </c>
      <c r="O32" s="100" t="s">
        <v>123</v>
      </c>
      <c r="P32" s="45" t="s">
        <v>333</v>
      </c>
      <c r="Q32" s="45" t="s">
        <v>368</v>
      </c>
      <c r="R32" s="45" t="s">
        <v>369</v>
      </c>
      <c r="S32" s="45" t="s">
        <v>294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0" t="s">
        <v>123</v>
      </c>
      <c r="O33" s="100" t="s">
        <v>123</v>
      </c>
      <c r="P33" s="45" t="s">
        <v>334</v>
      </c>
      <c r="Q33" s="45" t="s">
        <v>370</v>
      </c>
      <c r="R33" s="45" t="s">
        <v>371</v>
      </c>
      <c r="S33" s="45" t="s">
        <v>295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0" t="s">
        <v>123</v>
      </c>
      <c r="O34" s="100" t="s">
        <v>123</v>
      </c>
      <c r="P34" s="45" t="s">
        <v>335</v>
      </c>
      <c r="Q34" s="45" t="s">
        <v>372</v>
      </c>
      <c r="R34" s="45" t="s">
        <v>373</v>
      </c>
      <c r="S34" s="45" t="s">
        <v>311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0" t="s">
        <v>123</v>
      </c>
      <c r="O35" s="100" t="s">
        <v>123</v>
      </c>
      <c r="P35" s="45" t="s">
        <v>336</v>
      </c>
      <c r="Q35" s="45" t="s">
        <v>374</v>
      </c>
      <c r="R35" s="45" t="s">
        <v>375</v>
      </c>
      <c r="S35" s="45" t="s">
        <v>312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0" t="s">
        <v>123</v>
      </c>
      <c r="O36" s="100" t="s">
        <v>123</v>
      </c>
      <c r="P36" s="45" t="s">
        <v>337</v>
      </c>
      <c r="Q36" s="45" t="s">
        <v>376</v>
      </c>
      <c r="R36" s="45" t="s">
        <v>377</v>
      </c>
      <c r="S36" s="45" t="s">
        <v>297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0" t="s">
        <v>123</v>
      </c>
      <c r="O37" s="100" t="s">
        <v>123</v>
      </c>
      <c r="P37" s="45" t="s">
        <v>338</v>
      </c>
      <c r="Q37" s="45" t="s">
        <v>378</v>
      </c>
      <c r="R37" s="45" t="s">
        <v>379</v>
      </c>
      <c r="S37" s="45" t="s">
        <v>298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0" t="s">
        <v>123</v>
      </c>
      <c r="O38" s="100" t="s">
        <v>123</v>
      </c>
      <c r="P38" s="45" t="s">
        <v>339</v>
      </c>
      <c r="Q38" s="45" t="s">
        <v>380</v>
      </c>
      <c r="R38" s="45" t="s">
        <v>381</v>
      </c>
      <c r="S38" s="45" t="s">
        <v>299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0" t="s">
        <v>123</v>
      </c>
      <c r="O39" s="100" t="s">
        <v>123</v>
      </c>
      <c r="P39" s="45" t="s">
        <v>340</v>
      </c>
      <c r="Q39" s="45" t="s">
        <v>382</v>
      </c>
      <c r="R39" s="45" t="s">
        <v>383</v>
      </c>
      <c r="S39" s="45" t="s">
        <v>300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0" t="s">
        <v>123</v>
      </c>
      <c r="O40" s="100" t="s">
        <v>123</v>
      </c>
      <c r="P40" s="45" t="s">
        <v>341</v>
      </c>
      <c r="Q40" s="45" t="s">
        <v>384</v>
      </c>
      <c r="R40" s="45" t="s">
        <v>385</v>
      </c>
      <c r="S40" s="45" t="s">
        <v>301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0" t="s">
        <v>123</v>
      </c>
      <c r="O41" s="100" t="s">
        <v>123</v>
      </c>
      <c r="P41" s="45" t="s">
        <v>342</v>
      </c>
      <c r="Q41" s="45" t="s">
        <v>386</v>
      </c>
      <c r="R41" s="45" t="s">
        <v>387</v>
      </c>
      <c r="S41" s="45" t="s">
        <v>302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0" t="s">
        <v>123</v>
      </c>
      <c r="O42" s="100" t="s">
        <v>123</v>
      </c>
      <c r="P42" s="45" t="s">
        <v>343</v>
      </c>
      <c r="Q42" s="45" t="s">
        <v>388</v>
      </c>
      <c r="R42" s="45" t="s">
        <v>389</v>
      </c>
      <c r="S42" s="45" t="s">
        <v>303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0" t="s">
        <v>123</v>
      </c>
      <c r="O43" s="100" t="s">
        <v>123</v>
      </c>
      <c r="P43" s="45" t="s">
        <v>344</v>
      </c>
      <c r="Q43" s="45" t="s">
        <v>390</v>
      </c>
      <c r="R43" s="45" t="s">
        <v>391</v>
      </c>
      <c r="S43" s="45" t="s">
        <v>304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0" t="s">
        <v>123</v>
      </c>
      <c r="O44" s="100" t="s">
        <v>123</v>
      </c>
      <c r="P44" s="45" t="s">
        <v>345</v>
      </c>
      <c r="Q44" s="45" t="s">
        <v>392</v>
      </c>
      <c r="R44" s="45" t="s">
        <v>393</v>
      </c>
      <c r="S44" s="45" t="s">
        <v>305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0" t="s">
        <v>123</v>
      </c>
      <c r="O45" s="100" t="s">
        <v>123</v>
      </c>
      <c r="P45" s="45" t="s">
        <v>346</v>
      </c>
      <c r="Q45" s="45" t="s">
        <v>394</v>
      </c>
      <c r="R45" s="45" t="s">
        <v>395</v>
      </c>
      <c r="S45" s="45" t="s">
        <v>306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0" t="s">
        <v>123</v>
      </c>
      <c r="O46" s="100" t="s">
        <v>123</v>
      </c>
      <c r="P46" s="45" t="s">
        <v>347</v>
      </c>
      <c r="Q46" s="45" t="s">
        <v>396</v>
      </c>
      <c r="R46" s="45" t="s">
        <v>397</v>
      </c>
      <c r="S46" s="45" t="s">
        <v>307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0" t="s">
        <v>123</v>
      </c>
      <c r="O47" s="100" t="s">
        <v>123</v>
      </c>
      <c r="P47" s="45" t="s">
        <v>348</v>
      </c>
      <c r="Q47" s="45" t="s">
        <v>398</v>
      </c>
      <c r="R47" s="45" t="s">
        <v>399</v>
      </c>
      <c r="S47" s="45" t="s">
        <v>308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0" t="s">
        <v>123</v>
      </c>
      <c r="O48" s="100" t="s">
        <v>123</v>
      </c>
      <c r="P48" s="45" t="s">
        <v>349</v>
      </c>
      <c r="Q48" s="45" t="s">
        <v>400</v>
      </c>
      <c r="R48" s="45" t="s">
        <v>401</v>
      </c>
      <c r="S48" s="45" t="s">
        <v>309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0" t="s">
        <v>123</v>
      </c>
      <c r="O49" s="100" t="s">
        <v>123</v>
      </c>
      <c r="P49" s="45" t="s">
        <v>350</v>
      </c>
      <c r="Q49" s="45" t="s">
        <v>402</v>
      </c>
      <c r="R49" s="45" t="s">
        <v>403</v>
      </c>
      <c r="S49" s="45" t="s">
        <v>310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0" t="s">
        <v>123</v>
      </c>
      <c r="O50" s="100" t="s">
        <v>123</v>
      </c>
      <c r="P50" s="45" t="s">
        <v>351</v>
      </c>
      <c r="Q50" s="45" t="s">
        <v>404</v>
      </c>
      <c r="R50" s="45" t="s">
        <v>405</v>
      </c>
      <c r="S50" s="45" t="s">
        <v>296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413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417</v>
      </c>
      <c r="D58" s="54" t="s">
        <v>415</v>
      </c>
      <c r="E58" s="54" t="s">
        <v>415</v>
      </c>
      <c r="F58" s="54" t="s">
        <v>414</v>
      </c>
      <c r="G58" s="54" t="s">
        <v>414</v>
      </c>
      <c r="H58" s="54" t="s">
        <v>414</v>
      </c>
      <c r="I58" s="54" t="s">
        <v>414</v>
      </c>
      <c r="J58" s="54" t="s">
        <v>414</v>
      </c>
      <c r="K58" s="54" t="s">
        <v>414</v>
      </c>
      <c r="L58" s="54" t="s">
        <v>415</v>
      </c>
      <c r="M58" s="130" t="s">
        <v>416</v>
      </c>
      <c r="N58" s="125"/>
      <c r="O58" s="125"/>
    </row>
    <row r="59" spans="2:19" ht="40.1" customHeight="1" x14ac:dyDescent="0.4">
      <c r="B59" s="24"/>
      <c r="C59" s="58" t="s">
        <v>418</v>
      </c>
      <c r="D59" s="54" t="s">
        <v>415</v>
      </c>
      <c r="E59" s="54" t="s">
        <v>415</v>
      </c>
      <c r="F59" s="54" t="s">
        <v>415</v>
      </c>
      <c r="G59" s="54" t="s">
        <v>415</v>
      </c>
      <c r="H59" s="54" t="s">
        <v>415</v>
      </c>
      <c r="I59" s="54" t="s">
        <v>415</v>
      </c>
      <c r="J59" s="130"/>
      <c r="K59" s="54" t="s">
        <v>415</v>
      </c>
      <c r="L59" s="54" t="s">
        <v>415</v>
      </c>
      <c r="M59" s="130"/>
      <c r="N59" s="125"/>
      <c r="O59" s="125"/>
    </row>
    <row r="60" spans="2:19" ht="40.1" customHeight="1" x14ac:dyDescent="0.4">
      <c r="B60" s="24"/>
      <c r="C60" s="58" t="s">
        <v>252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258</v>
      </c>
      <c r="D61" s="54" t="s">
        <v>123</v>
      </c>
      <c r="E61" s="126" t="s">
        <v>262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420</v>
      </c>
      <c r="D62" s="54" t="s">
        <v>123</v>
      </c>
      <c r="E62" s="126" t="s">
        <v>421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257</v>
      </c>
      <c r="D63" s="54" t="s">
        <v>123</v>
      </c>
      <c r="E63" s="126" t="s">
        <v>263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254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260</v>
      </c>
      <c r="D67" s="54" t="s">
        <v>123</v>
      </c>
      <c r="E67" s="126" t="s">
        <v>261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259</v>
      </c>
      <c r="D68" s="54" t="s">
        <v>123</v>
      </c>
      <c r="E68" s="126" t="s">
        <v>264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/>
    <row r="70" spans="2:15" ht="40.1" customHeight="1" x14ac:dyDescent="0.4">
      <c r="B70" s="115" t="s">
        <v>210</v>
      </c>
      <c r="C70" s="25" t="s">
        <v>5</v>
      </c>
      <c r="D70" s="123" t="s">
        <v>8</v>
      </c>
      <c r="E70" s="123" t="s">
        <v>9</v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8.2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.1" customHeight="1" x14ac:dyDescent="0.4">
      <c r="B72" s="115" t="s">
        <v>231</v>
      </c>
      <c r="C72" s="25" t="s">
        <v>253</v>
      </c>
      <c r="D72" s="123" t="s">
        <v>225</v>
      </c>
      <c r="E72" s="123" t="s">
        <v>211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customHeight="1" x14ac:dyDescent="0.4">
      <c r="B74" s="115" t="s">
        <v>238</v>
      </c>
      <c r="C74" s="25" t="s">
        <v>1</v>
      </c>
      <c r="D74" s="123" t="s">
        <v>10</v>
      </c>
      <c r="E74" s="123" t="s">
        <v>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customHeight="1" x14ac:dyDescent="0.4">
      <c r="B76" s="24" t="s">
        <v>422</v>
      </c>
      <c r="C76" s="25" t="s">
        <v>423</v>
      </c>
      <c r="D76" s="27" t="s">
        <v>425</v>
      </c>
      <c r="E76" s="130" t="s">
        <v>424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40.1" customHeight="1" x14ac:dyDescent="0.4">
      <c r="B77" s="24"/>
      <c r="C77" s="25"/>
      <c r="D77" s="54" t="s">
        <v>123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</row>
    <row r="78" spans="2:15" ht="8.2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.1" customHeight="1" x14ac:dyDescent="0.4">
      <c r="B79" s="115" t="s">
        <v>243</v>
      </c>
      <c r="C79" s="129" t="s">
        <v>119</v>
      </c>
      <c r="D79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256</v>
      </c>
      <c r="D80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0" s="1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128</v>
      </c>
      <c r="D81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1" s="125"/>
      <c r="F81" s="25"/>
      <c r="G81" s="25"/>
      <c r="H81" s="25"/>
      <c r="I81" s="131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26</v>
      </c>
      <c r="D82" s="130" t="str">
        <f>_xlfn.CONCAT("共有 ", COUNTA(Get_Staff_Member)," 位员工")</f>
        <v>共有 2 位员工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.1" customHeight="1" x14ac:dyDescent="0.4">
      <c r="B83" s="115"/>
      <c r="C83" s="129" t="s">
        <v>217</v>
      </c>
      <c r="D83" s="130" t="str">
        <f>_xlfn.CONCAT("已设置 ", COUNTA(Get_Work_Unit)," 个单位")</f>
        <v>已设置 7 个单位</v>
      </c>
      <c r="E83" s="1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.100000000000001" customHeight="1" x14ac:dyDescent="0.4"/>
    <row r="85" spans="2:15" ht="40.1" customHeight="1" x14ac:dyDescent="0.4">
      <c r="B85" s="41" t="s">
        <v>17</v>
      </c>
      <c r="C85" s="41"/>
      <c r="D85" s="41"/>
      <c r="E85" s="41"/>
    </row>
    <row r="86" spans="2:15" ht="40.1" customHeight="1" x14ac:dyDescent="0.4">
      <c r="B86" s="29" t="s">
        <v>19</v>
      </c>
      <c r="C86" s="34" t="s">
        <v>127</v>
      </c>
      <c r="D86" s="42"/>
      <c r="E86" s="42"/>
    </row>
    <row r="87" spans="2:15" ht="40.1" customHeight="1" x14ac:dyDescent="0.4">
      <c r="B87" s="29" t="s">
        <v>20</v>
      </c>
      <c r="C87" s="37" t="s">
        <v>18</v>
      </c>
      <c r="D87" s="40"/>
      <c r="E87" s="40"/>
    </row>
    <row r="88" spans="2:15" ht="40.1" customHeight="1" x14ac:dyDescent="0.4">
      <c r="B88" s="29" t="s">
        <v>125</v>
      </c>
      <c r="C88" s="34" t="s">
        <v>126</v>
      </c>
      <c r="D88" s="42"/>
      <c r="E88" s="42"/>
    </row>
    <row r="89" spans="2:15" ht="40.1" customHeight="1" x14ac:dyDescent="0.4">
      <c r="B89" s="29" t="s">
        <v>120</v>
      </c>
      <c r="C89" s="34" t="s">
        <v>412</v>
      </c>
      <c r="D89" s="34"/>
      <c r="E89" s="34"/>
    </row>
    <row r="90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D7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251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7" t="str">
        <f>_xlfn.CONCAT(设置!F11," - 历史记录")</f>
        <v>1 - 历史记录</v>
      </c>
      <c r="F6" s="147"/>
      <c r="G6" s="132" t="str">
        <f>_xlfn.CONCAT(设置!F12)</f>
        <v>2</v>
      </c>
      <c r="H6" s="145" t="str">
        <f>_xlfn.CONCAT(设置!F12," - 历史记录")</f>
        <v>2 - 历史记录</v>
      </c>
      <c r="I6" s="145"/>
      <c r="J6" s="137" t="str">
        <f>_xlfn.CONCAT(设置!F13)</f>
        <v/>
      </c>
      <c r="K6" s="147" t="str">
        <f>_xlfn.CONCAT(设置!F13," - 历史记录")</f>
        <v xml:space="preserve"> - 历史记录</v>
      </c>
      <c r="L6" s="147"/>
      <c r="M6" s="132" t="str">
        <f>_xlfn.CONCAT(设置!F14)</f>
        <v/>
      </c>
      <c r="N6" s="145" t="str">
        <f>_xlfn.CONCAT(设置!F14," - 历史记录")</f>
        <v xml:space="preserve"> - 历史记录</v>
      </c>
      <c r="O6" s="145"/>
      <c r="P6" s="134" t="str">
        <f>_xlfn.CONCAT(设置!F15)</f>
        <v/>
      </c>
      <c r="Q6" s="147" t="str">
        <f>_xlfn.CONCAT(设置!F15," - 历史记录")</f>
        <v xml:space="preserve"> - 历史记录</v>
      </c>
      <c r="R6" s="147"/>
      <c r="S6" s="132" t="str">
        <f>_xlfn.CONCAT(设置!F16)</f>
        <v/>
      </c>
      <c r="T6" s="145" t="str">
        <f>_xlfn.CONCAT(设置!F16," - 历史记录")</f>
        <v xml:space="preserve"> - 历史记录</v>
      </c>
      <c r="U6" s="145"/>
      <c r="V6" s="134" t="str">
        <f>_xlfn.CONCAT(设置!F17)</f>
        <v/>
      </c>
      <c r="W6" s="147" t="str">
        <f>_xlfn.CONCAT(设置!F17," - 历史记录")</f>
        <v xml:space="preserve"> - 历史记录</v>
      </c>
      <c r="X6" s="147"/>
      <c r="Y6" s="132" t="str">
        <f>_xlfn.CONCAT(设置!F18)</f>
        <v/>
      </c>
      <c r="Z6" s="145" t="str">
        <f>_xlfn.CONCAT(设置!F18," - 历史记录")</f>
        <v xml:space="preserve"> - 历史记录</v>
      </c>
      <c r="AA6" s="145"/>
      <c r="AB6" s="134" t="str">
        <f>_xlfn.CONCAT(设置!F19)</f>
        <v/>
      </c>
      <c r="AC6" s="147" t="str">
        <f>_xlfn.CONCAT(设置!F19," - 历史记录")</f>
        <v xml:space="preserve"> - 历史记录</v>
      </c>
      <c r="AD6" s="147"/>
      <c r="AE6" s="132" t="str">
        <f>_xlfn.CONCAT(设置!F20)</f>
        <v/>
      </c>
      <c r="AF6" s="145" t="str">
        <f>_xlfn.CONCAT(设置!F20," - 历史记录")</f>
        <v xml:space="preserve"> - 历史记录</v>
      </c>
      <c r="AG6" s="145"/>
      <c r="AH6" s="134" t="str">
        <f>_xlfn.CONCAT(设置!F21)</f>
        <v/>
      </c>
      <c r="AI6" s="147" t="str">
        <f>_xlfn.CONCAT(设置!F21," - 历史记录")</f>
        <v xml:space="preserve"> - 历史记录</v>
      </c>
      <c r="AJ6" s="147"/>
      <c r="AK6" s="132" t="str">
        <f>_xlfn.CONCAT(设置!F22)</f>
        <v/>
      </c>
      <c r="AL6" s="145" t="str">
        <f>_xlfn.CONCAT(设置!F22," - 历史记录")</f>
        <v xml:space="preserve"> - 历史记录</v>
      </c>
      <c r="AM6" s="145"/>
      <c r="AN6" s="134" t="str">
        <f>_xlfn.CONCAT(设置!F23)</f>
        <v/>
      </c>
      <c r="AO6" s="147" t="str">
        <f>_xlfn.CONCAT(设置!F23, " - 历史记录")</f>
        <v xml:space="preserve"> - 历史记录</v>
      </c>
      <c r="AP6" s="147"/>
      <c r="AQ6" s="132" t="str">
        <f>_xlfn.CONCAT(设置!F24)</f>
        <v/>
      </c>
      <c r="AR6" s="145" t="str">
        <f>_xlfn.CONCAT(设置!F24, " - 历史记录")</f>
        <v xml:space="preserve"> - 历史记录</v>
      </c>
      <c r="AS6" s="145"/>
      <c r="AT6" s="134" t="str">
        <f>_xlfn.CONCAT(设置!F25)</f>
        <v/>
      </c>
      <c r="AU6" s="147" t="str">
        <f>_xlfn.CONCAT(设置!F25," - 历史记录")</f>
        <v xml:space="preserve"> - 历史记录</v>
      </c>
      <c r="AV6" s="147"/>
      <c r="AW6" s="132" t="str">
        <f>_xlfn.CONCAT(设置!F26)</f>
        <v/>
      </c>
      <c r="AX6" s="145" t="str">
        <f>_xlfn.CONCAT(设置!F26," - 历史记录")</f>
        <v xml:space="preserve"> - 历史记录</v>
      </c>
      <c r="AY6" s="145"/>
      <c r="AZ6" s="134" t="str">
        <f>_xlfn.CONCAT(设置!F27)</f>
        <v/>
      </c>
      <c r="BA6" s="147" t="str">
        <f>_xlfn.CONCAT(设置!F27," - 历史记录")</f>
        <v xml:space="preserve"> - 历史记录</v>
      </c>
      <c r="BB6" s="147"/>
      <c r="BC6" s="132" t="str">
        <f>_xlfn.CONCAT(设置!F28)</f>
        <v/>
      </c>
      <c r="BD6" s="145" t="str">
        <f>_xlfn.CONCAT(设置!F28," - 历史记录")</f>
        <v xml:space="preserve"> - 历史记录</v>
      </c>
      <c r="BE6" s="145"/>
      <c r="BF6" s="134" t="str">
        <f>_xlfn.CONCAT(设置!F29)</f>
        <v/>
      </c>
      <c r="BG6" s="147" t="str">
        <f>_xlfn.CONCAT(设置!F29," - 历史记录")</f>
        <v xml:space="preserve"> - 历史记录</v>
      </c>
      <c r="BH6" s="147"/>
      <c r="BI6" s="132" t="str">
        <f>_xlfn.CONCAT(设置!F30)</f>
        <v/>
      </c>
      <c r="BJ6" s="145" t="str">
        <f>_xlfn.CONCAT(设置!F30," - 历史记录")</f>
        <v xml:space="preserve"> - 历史记录</v>
      </c>
      <c r="BK6" s="145"/>
      <c r="BL6" s="133" t="str">
        <f>_xlfn.CONCAT(设置!F31)</f>
        <v/>
      </c>
      <c r="BM6" s="146" t="str">
        <f>_xlfn.CONCAT(设置!F31," - 历史记录")</f>
        <v xml:space="preserve"> - 历史记录</v>
      </c>
      <c r="BN6" s="146"/>
      <c r="BO6" s="132" t="str">
        <f>_xlfn.CONCAT(设置!F32)</f>
        <v/>
      </c>
      <c r="BP6" s="145" t="str">
        <f>_xlfn.CONCAT(设置!F32," - 历史记录")</f>
        <v xml:space="preserve"> - 历史记录</v>
      </c>
      <c r="BQ6" s="145"/>
      <c r="BR6" s="133" t="str">
        <f>_xlfn.CONCAT(设置!F33)</f>
        <v/>
      </c>
      <c r="BS6" s="146" t="str">
        <f>_xlfn.CONCAT(设置!F33," - 历史记录")</f>
        <v xml:space="preserve"> - 历史记录</v>
      </c>
      <c r="BT6" s="146"/>
      <c r="BU6" s="132" t="str">
        <f>_xlfn.CONCAT(设置!F34)</f>
        <v/>
      </c>
      <c r="BV6" s="145" t="str">
        <f>_xlfn.CONCAT(设置!F34," - 历史记录")</f>
        <v xml:space="preserve"> - 历史记录</v>
      </c>
      <c r="BW6" s="145"/>
      <c r="BX6" s="133" t="str">
        <f>_xlfn.CONCAT(设置!F35)</f>
        <v/>
      </c>
      <c r="BY6" s="146" t="str">
        <f>_xlfn.CONCAT(设置!F35," - 历史记录")</f>
        <v xml:space="preserve"> - 历史记录</v>
      </c>
      <c r="BZ6" s="146"/>
      <c r="CA6" s="132" t="str">
        <f>_xlfn.CONCAT(设置!F36)</f>
        <v/>
      </c>
      <c r="CB6" s="145" t="str">
        <f>_xlfn.CONCAT(设置!F36," - 历史记录")</f>
        <v xml:space="preserve"> - 历史记录</v>
      </c>
      <c r="CC6" s="145"/>
      <c r="CD6" s="133" t="str">
        <f>_xlfn.CONCAT(设置!F37)</f>
        <v/>
      </c>
      <c r="CE6" s="146" t="str">
        <f>_xlfn.CONCAT(设置!F37," - 历史记录")</f>
        <v xml:space="preserve"> - 历史记录</v>
      </c>
      <c r="CF6" s="146"/>
      <c r="CG6" s="132" t="str">
        <f>_xlfn.CONCAT(设置!F38)</f>
        <v/>
      </c>
      <c r="CH6" s="145" t="str">
        <f>_xlfn.CONCAT(设置!F38," - 历史记录")</f>
        <v xml:space="preserve"> - 历史记录</v>
      </c>
      <c r="CI6" s="145"/>
      <c r="CJ6" s="133" t="str">
        <f>_xlfn.CONCAT(设置!F39)</f>
        <v/>
      </c>
      <c r="CK6" s="146" t="str">
        <f>_xlfn.CONCAT(设置!F39," - 历史记录")</f>
        <v xml:space="preserve"> - 历史记录</v>
      </c>
      <c r="CL6" s="146"/>
      <c r="CM6" s="132" t="str">
        <f>_xlfn.CONCAT(设置!F40)</f>
        <v/>
      </c>
      <c r="CN6" s="145" t="str">
        <f>_xlfn.CONCAT(设置!F40," - 历史记录")</f>
        <v xml:space="preserve"> - 历史记录</v>
      </c>
      <c r="CO6" s="145"/>
      <c r="CP6" s="133" t="str">
        <f>_xlfn.CONCAT(设置!F41)</f>
        <v/>
      </c>
      <c r="CQ6" s="146" t="str">
        <f>_xlfn.CONCAT(设置!F41," - 历史记录")</f>
        <v xml:space="preserve"> - 历史记录</v>
      </c>
      <c r="CR6" s="146"/>
      <c r="CS6" s="132" t="str">
        <f>_xlfn.CONCAT(设置!F42)</f>
        <v/>
      </c>
      <c r="CT6" s="145" t="str">
        <f>_xlfn.CONCAT(设置!F42," - 历史记录")</f>
        <v xml:space="preserve"> - 历史记录</v>
      </c>
      <c r="CU6" s="145"/>
      <c r="CV6" s="133" t="str">
        <f>_xlfn.CONCAT(设置!F43)</f>
        <v/>
      </c>
      <c r="CW6" s="146" t="str">
        <f>_xlfn.CONCAT(设置!F43," - 历史记录")</f>
        <v xml:space="preserve"> - 历史记录</v>
      </c>
      <c r="CX6" s="146"/>
      <c r="CY6" s="132" t="str">
        <f>_xlfn.CONCAT(设置!F44)</f>
        <v/>
      </c>
      <c r="CZ6" s="145" t="str">
        <f>_xlfn.CONCAT(设置!F44," - 历史记录")</f>
        <v xml:space="preserve"> - 历史记录</v>
      </c>
      <c r="DA6" s="145"/>
      <c r="DB6" s="133" t="str">
        <f>_xlfn.CONCAT(设置!F45)</f>
        <v/>
      </c>
      <c r="DC6" s="146" t="str">
        <f>_xlfn.CONCAT(设置!F45," - 历史记录")</f>
        <v xml:space="preserve"> - 历史记录</v>
      </c>
      <c r="DD6" s="146"/>
      <c r="DE6" s="132" t="str">
        <f>_xlfn.CONCAT(设置!F46)</f>
        <v/>
      </c>
      <c r="DF6" s="145" t="str">
        <f>_xlfn.CONCAT(设置!F46," - 历史记录")</f>
        <v xml:space="preserve"> - 历史记录</v>
      </c>
      <c r="DG6" s="145"/>
      <c r="DH6" s="133" t="str">
        <f>_xlfn.CONCAT(设置!F47)</f>
        <v/>
      </c>
      <c r="DI6" s="146" t="str">
        <f>_xlfn.CONCAT(设置!F47," - 历史记录")</f>
        <v xml:space="preserve"> - 历史记录</v>
      </c>
      <c r="DJ6" s="146"/>
      <c r="DK6" s="132" t="str">
        <f>_xlfn.CONCAT(设置!F48)</f>
        <v/>
      </c>
      <c r="DL6" s="145" t="str">
        <f>_xlfn.CONCAT(设置!F48," - 历史记录")</f>
        <v xml:space="preserve"> - 历史记录</v>
      </c>
      <c r="DM6" s="145"/>
      <c r="DN6" s="133" t="str">
        <f>_xlfn.CONCAT(设置!F49)</f>
        <v/>
      </c>
      <c r="DO6" s="146" t="str">
        <f>_xlfn.CONCAT(设置!F49," - 历史记录")</f>
        <v xml:space="preserve"> - 历史记录</v>
      </c>
      <c r="DP6" s="146"/>
      <c r="DQ6" s="132" t="str">
        <f>_xlfn.CONCAT(设置!F50)</f>
        <v/>
      </c>
      <c r="DR6" s="145" t="str">
        <f>_xlfn.CONCAT(设置!F50," - 历史记录")</f>
        <v xml:space="preserve"> - 历史记录</v>
      </c>
      <c r="DS6" s="145"/>
      <c r="DT6" s="147" t="s">
        <v>72</v>
      </c>
      <c r="DU6" s="147"/>
      <c r="DV6" s="147"/>
      <c r="DW6" s="147"/>
      <c r="DX6" s="147"/>
      <c r="DY6" s="147" t="s">
        <v>85</v>
      </c>
      <c r="DZ6" s="147"/>
      <c r="EA6" s="147"/>
      <c r="EB6" s="147" t="s">
        <v>241</v>
      </c>
      <c r="EC6" s="147"/>
      <c r="ED6" s="88" t="s">
        <v>419</v>
      </c>
      <c r="EE6" s="148" t="s">
        <v>265</v>
      </c>
      <c r="EF6" s="148"/>
      <c r="EG6" s="148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268</v>
      </c>
      <c r="EF8" s="86" t="s">
        <v>266</v>
      </c>
      <c r="EG8" s="86" t="s">
        <v>267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251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251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  <mergeCell ref="AO6:AP6"/>
    <mergeCell ref="AR6:AS6"/>
    <mergeCell ref="AU6:AV6"/>
    <mergeCell ref="AX6:AY6"/>
    <mergeCell ref="BA6:BB6"/>
    <mergeCell ref="BD6:BE6"/>
    <mergeCell ref="BG6:BH6"/>
    <mergeCell ref="BJ6:BK6"/>
    <mergeCell ref="BM6:BN6"/>
    <mergeCell ref="BP6:BQ6"/>
    <mergeCell ref="BS6:BT6"/>
    <mergeCell ref="BV6:BW6"/>
    <mergeCell ref="BY6:BZ6"/>
    <mergeCell ref="CB6:CC6"/>
    <mergeCell ref="CE6:CF6"/>
    <mergeCell ref="CH6:CI6"/>
    <mergeCell ref="CN6:CO6"/>
    <mergeCell ref="CK6:CL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7" t="s">
        <v>82</v>
      </c>
      <c r="AS6" s="147"/>
      <c r="AT6" s="147"/>
      <c r="AU6" s="147"/>
      <c r="AV6" s="142" t="s">
        <v>427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428</v>
      </c>
    </row>
    <row r="9" spans="2:48" ht="39.75" customHeight="1" x14ac:dyDescent="0.4">
      <c r="B9" s="45" cm="1">
        <f t="array" ref="B9">SN</f>
        <v>1</v>
      </c>
      <c r="C9" s="78" t="s">
        <v>269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251</v>
      </c>
      <c r="AV9" s="43" t="s">
        <v>429</v>
      </c>
    </row>
    <row r="10" spans="2:48" ht="40.1" customHeight="1" x14ac:dyDescent="0.4">
      <c r="B10" s="43" cm="1">
        <f t="array" ref="B10">SN</f>
        <v>2</v>
      </c>
      <c r="C10" s="96" t="s">
        <v>426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251</v>
      </c>
      <c r="AV10" s="43" t="s">
        <v>429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2024-02-27T09:03:14Z</dcterms:modified>
</cp:coreProperties>
</file>