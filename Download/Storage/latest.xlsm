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3AC313CB-2104-4917-8378-929766911D56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Keep_inventory">设置!$D$66:$E$66</definedName>
    <definedName name="Get_Staff_Member">设置!$D$53:$M$53</definedName>
    <definedName name="Get_Store_Uid">Store_Setting[唯一识别码]</definedName>
    <definedName name="Get_Type_of_Access">设置!$D$64:$E$64</definedName>
    <definedName name="Get_Work_Unit">设置!$D$61:$M$61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8" i="1" l="1"/>
  <c r="E58" i="1"/>
  <c r="I58" i="1"/>
  <c r="H58" i="1"/>
  <c r="G58" i="1"/>
  <c r="F58" i="1"/>
  <c r="G71" i="1"/>
  <c r="D71" i="1"/>
  <c r="D70" i="1"/>
  <c r="D73" i="1"/>
  <c r="D72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<sst xmlns="http://schemas.openxmlformats.org/spreadsheetml/2006/main" count="389" uniqueCount="317">
  <si>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</si>
  <si>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</si>
  <si>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</si>
  <si>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</si>
  <si>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</si>
  <si>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</si>
  <si>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</si>
  <si>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</si>
  <si>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</si>
  <si>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</si>
  <si>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</si>
  <si>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</si>
  <si>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</si>
  <si>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</si>
  <si>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</si>
  <si>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</si>
  <si>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</si>
  <si>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</si>
  <si>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</si>
  <si>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</si>
  <si>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</si>
  <si>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</si>
  <si>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</si>
  <si>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</si>
  <si>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</si>
  <si>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</si>
  <si>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</si>
  <si>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</si>
  <si>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</si>
  <si>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</si>
  <si>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</si>
  <si>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</si>
  <si>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</si>
  <si>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</si>
  <si>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</si>
  <si>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</si>
  <si>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</si>
  <si>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</si>
  <si>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</si>
  <si>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</si>
  <si>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</si>
  <si>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</si>
  <si>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</si>
  <si>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</si>
  <si>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</si>
  <si>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</si>
  <si>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</si>
  <si>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</si>
  <si>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</si>
  <si>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</si>
  <si>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</si>
  <si>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</si>
  <si>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</si>
  <si>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</si>
  <si>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</si>
  <si>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</si>
  <si>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</si>
  <si>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</si>
  <si>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</si>
  <si>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</si>
  <si>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</si>
  <si>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</si>
  <si>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</si>
  <si>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</si>
  <si>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</si>
  <si>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</si>
  <si>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</si>
  <si>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</si>
  <si>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</si>
  <si>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</si>
  <si>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</si>
  <si>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</si>
  <si>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</si>
  <si>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</si>
  <si>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</si>
  <si>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</si>
  <si>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</si>
  <si>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</si>
  <si>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</si>
  <si>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</si>
  <si>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</si>
  <si>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</si>
  <si>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</si>
  <si>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</si>
  <si>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</si>
  <si>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</si>
  <si>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</si>
  <si>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</si>
  <si>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</si>
  <si>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</si>
  <si>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</si>
  <si>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</si>
  <si>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</si>
  <si>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</si>
  <si>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</si>
  <si>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</si>
  <si>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</si>
  <si>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</si>
  <si>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</si>
  <si>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</si>
  <si>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</si>
  <si>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</si>
  <si>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</si>
  <si>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</si>
  <si>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</si>
  <si>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</si>
  <si>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</si>
  <si>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</si>
  <si>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</si>
  <si>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</si>
  <si>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</si>
  <si>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</si>
  <si>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</si>
  <si>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</si>
  <si>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</si>
  <si>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</si>
  <si>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</si>
  <si>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</si>
  <si>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</si>
  <si>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</si>
  <si>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</si>
  <si>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</si>
  <si>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</si>
  <si>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</si>
  <si>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</si>
  <si>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</si>
  <si>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</si>
  <si>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</si>
  <si>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</si>
  <si>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</si>
  <si>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</si>
  <si>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</si>
  <si>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</si>
  <si>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</si>
  <si>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</si>
  <si>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</si>
  <si>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</si>
  <si>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</si>
  <si>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</si>
  <si>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</si>
  <si>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</si>
  <si>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</si>
  <si>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</si>
  <si>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</si>
  <si>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</si>
  <si>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</si>
  <si>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</si>
  <si>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</si>
  <si>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</si>
  <si>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</si>
  <si>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</si>
  <si>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</si>
  <si>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</si>
  <si>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</si>
  <si>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</si>
  <si>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</si>
  <si>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</si>
  <si>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</si>
  <si>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</si>
  <si>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</si>
  <si>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</si>
  <si>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</si>
  <si>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</si>
  <si>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</si>
  <si>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</si>
  <si>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</si>
  <si>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</si>
  <si>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</si>
  <si>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</si>
  <si>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</si>
  <si>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</si>
  <si>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</si>
  <si>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</si>
  <si>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</si>
  <si>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</si>
  <si>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</si>
  <si>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</si>
  <si>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</si>
  <si>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</si>
  <si>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</si>
  <si>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</si>
  <si>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</si>
  <si>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</si>
  <si>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</si>
  <si>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</si>
  <si>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</si>
  <si>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</si>
  <si>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</si>
  <si>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</si>
  <si>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</si>
  <si>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</si>
  <si>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</si>
  <si>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</si>
  <si>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</si>
  <si>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</si>
  <si>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</si>
  <si>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</si>
  <si>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</si>
  <si>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</si>
  <si>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</si>
  <si>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</si>
  <si>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</si>
  <si>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</si>
  <si>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</si>
  <si>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</si>
  <si>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</si>
  <si>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</si>
  <si>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</si>
  <si>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</si>
  <si>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</si>
  <si>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</si>
  <si>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</si>
  <si>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</si>
  <si>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</si>
  <si>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</si>
  <si>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</si>
  <si>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</si>
  <si>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</si>
  <si>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</si>
  <si>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</si>
  <si>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</si>
  <si>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</si>
  <si>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</si>
  <si>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</si>
  <si>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</si>
  <si>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</si>
  <si>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</si>
  <si>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</si>
  <si>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</si>
  <si>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</si>
  <si>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</si>
  <si>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</si>
  <si>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</si>
  <si>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</si>
  <si>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</si>
  <si>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</si>
  <si>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</si>
  <si>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</si>
  <si>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</si>
  <si>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</si>
  <si>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</si>
  <si>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</si>
  <si>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</si>
  <si>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</si>
  <si>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</si>
  <si>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</si>
  <si>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</si>
  <si>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</si>
  <si>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</si>
  <si>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</si>
  <si>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</si>
  <si>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</si>
  <si>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</si>
  <si>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</si>
  <si>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</si>
  <si>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</si>
  <si>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</si>
  <si>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</si>
  <si>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</si>
  <si>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</si>
  <si>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</si>
  <si>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</si>
  <si>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</si>
  <si>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</si>
  <si>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</si>
  <si>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</si>
  <si>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</si>
  <si>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</si>
  <si>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</si>
  <si>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</si>
  <si>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</si>
  <si>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</si>
  <si>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</si>
  <si>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</si>
  <si>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</si>
  <si>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</si>
  <si>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</si>
  <si>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</si>
  <si>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</si>
  <si>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</si>
  <si>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</si>
  <si>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</si>
  <si>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</si>
  <si>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</si>
  <si>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</si>
  <si>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</si>
  <si>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</si>
  <si>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</si>
  <si>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</si>
  <si>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</si>
  <si>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</si>
  <si>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</si>
  <si>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</si>
  <si>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</si>
  <si>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</si>
  <si>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</si>
  <si>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</si>
  <si>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</si>
  <si>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</si>
  <si>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</si>
  <si>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</si>
  <si>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</si>
  <si>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</si>
  <si>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</si>
  <si>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</si>
  <si>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</si>
  <si>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</si>
  <si>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</si>
  <si>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</si>
  <si>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</si>
  <si>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</si>
  <si>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</si>
  <si>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</si>
  <si>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</si>
  <si>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</si>
  <si>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</si>
  <si>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v1.8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</si>
</sst>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16" borderId="0" xfId="0" applyNumberFormat="1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249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216</v>
      </c>
      <c r="D9" s="27"/>
      <c r="E9" s="27"/>
      <c r="F9" s="27"/>
      <c r="G9" s="111" t="s">
        <v>273</v>
      </c>
      <c r="H9" s="158" t="s">
        <v>222</v>
      </c>
      <c r="I9" s="158"/>
      <c r="J9" s="158"/>
      <c r="K9" s="159" t="s">
        <v>239</v>
      </c>
      <c r="L9" s="159"/>
      <c r="M9" s="159"/>
    </row>
    <row r="10" spans="2:13" ht="39.950000000000003" customHeight="1" x14ac:dyDescent="0.25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45" customHeight="1" x14ac:dyDescent="0.25">
      <c r="B58" s="26"/>
      <c r="C58" s="27" t="s">
        <v>273</v>
      </c>
      <c r="D58" s="164" t="str">
        <f>_xlfn.CONCAT("共有会员 ", COUNT(UserInfo[序号]), " 个")</f>
        <v>共有会员 2 个</v>
      </c>
      <c r="E58" s="164" t="str">
        <f>_xlfn.CONCAT("未填 ",  COUNT(UserInfo[序号])-COUNTA(UserInfo[性别]), " 个", "
已填 ",  COUNTA(UserInfo[性别]), " 个")</f>
        <v>未填 0 个
已填 2 个</v>
      </c>
      <c r="F58" s="164" t="str">
        <f>_xlfn.CONCAT("未填 ",  COUNT(UserInfo[序号])-COUNTA(UserInfo[身份证号码]), " 个", "
已填 ",  COUNTA(UserInfo[身份证号码]), " 个")</f>
        <v>未填 2 个
已填 0 个</v>
      </c>
      <c r="G58" s="164" t="str">
        <f>_xlfn.CONCAT("未填 ",  COUNT(UserInfo[序号])-COUNTA(UserInfo[年龄]), " 个", "
已填 ",  COUNTA(UserInfo[年龄]), " 个")</f>
        <v>未填 2 个
已填 0 个</v>
      </c>
      <c r="H58" s="164" t="str">
        <f>_xlfn.CONCAT("未填 ",  COUNT(UserInfo[序号])-COUNTA(UserInfo[Email]), " 个", "
已填 ",  COUNTA(UserInfo[Email]), " 个")</f>
        <v>未填 1 个
已填 1 个</v>
      </c>
      <c r="I58" s="164" t="str">
        <f>_xlfn.CONCAT("未填 ",  COUNT(UserInfo[序号])-COUNTA(UserInfo[家庭住址]), " 个", "
已填 ",  COUNTA(UserInfo[家庭住址]), " 个")</f>
        <v>未填 2 个
已填 0 个</v>
      </c>
      <c r="J58" s="152"/>
      <c r="K58" s="152"/>
      <c r="L58" s="152"/>
      <c r="M58" s="152"/>
    </row>
    <row r="59" spans="2:13" ht="39.950000000000003" customHeight="1" x14ac:dyDescent="0.25">
      <c r="B59" s="26"/>
      <c r="C59" s="73" t="s">
        <v>311</v>
      </c>
      <c r="D59" s="65" t="s">
        <v>127</v>
      </c>
      <c r="E59" s="153" t="s">
        <v>263</v>
      </c>
      <c r="F59" s="152"/>
      <c r="G59" s="152"/>
      <c r="H59" s="152"/>
      <c r="I59" s="152"/>
      <c r="J59" s="152"/>
      <c r="K59" s="152"/>
      <c r="L59" s="152"/>
      <c r="M59" s="152"/>
    </row>
    <row r="60" spans="2:13" ht="8.1" customHeight="1" x14ac:dyDescent="0.25">
      <c r="B60" s="109"/>
      <c r="D60" s="110"/>
      <c r="E60" s="110"/>
      <c r="F60" s="110"/>
      <c r="G60" s="110"/>
      <c r="H60" s="110"/>
      <c r="I60" s="110"/>
      <c r="J60" s="110"/>
      <c r="K60" s="110"/>
      <c r="L60" s="110"/>
      <c r="M60" s="110"/>
    </row>
    <row r="61" spans="2:13" ht="39.950000000000003" customHeight="1" x14ac:dyDescent="0.25">
      <c r="B61" s="26" t="s">
        <v>25</v>
      </c>
      <c r="C61" s="27" t="s">
        <v>224</v>
      </c>
      <c r="D61" s="125" t="s">
        <v>225</v>
      </c>
      <c r="E61" s="125" t="s">
        <v>226</v>
      </c>
      <c r="F61" s="125" t="s">
        <v>227</v>
      </c>
      <c r="G61" s="125" t="s">
        <v>259</v>
      </c>
      <c r="H61" s="125" t="s">
        <v>260</v>
      </c>
      <c r="I61" s="125" t="s">
        <v>261</v>
      </c>
      <c r="J61" s="125" t="s">
        <v>262</v>
      </c>
      <c r="K61" s="125"/>
      <c r="L61" s="125"/>
      <c r="M61" s="125"/>
    </row>
    <row r="62" spans="2:13" ht="39.950000000000003" customHeight="1" x14ac:dyDescent="0.25">
      <c r="B62" s="26"/>
      <c r="C62" s="73" t="s">
        <v>313</v>
      </c>
      <c r="D62" s="65" t="s">
        <v>126</v>
      </c>
      <c r="E62" s="153" t="s">
        <v>268</v>
      </c>
      <c r="F62" s="27"/>
      <c r="G62" s="27"/>
      <c r="H62" s="27"/>
      <c r="I62" s="27"/>
      <c r="J62" s="27"/>
      <c r="K62" s="27"/>
      <c r="L62" s="27"/>
      <c r="M62" s="27"/>
    </row>
    <row r="63" spans="2:13" ht="8.1" customHeight="1" x14ac:dyDescent="0.25"/>
    <row r="64" spans="2:13" ht="39.950000000000003" customHeight="1" x14ac:dyDescent="0.25">
      <c r="B64" s="142" t="s">
        <v>217</v>
      </c>
      <c r="C64" s="27" t="s">
        <v>5</v>
      </c>
      <c r="D64" s="150" t="s">
        <v>8</v>
      </c>
      <c r="E64" s="150" t="s">
        <v>9</v>
      </c>
      <c r="F64" s="151"/>
      <c r="G64" s="151"/>
      <c r="H64" s="151"/>
      <c r="I64" s="151"/>
      <c r="J64" s="151"/>
      <c r="K64" s="151"/>
      <c r="L64" s="151"/>
      <c r="M64" s="151"/>
    </row>
    <row r="65" spans="2:13" ht="8.1" customHeight="1" x14ac:dyDescent="0.25">
      <c r="B65" s="109"/>
      <c r="D65" s="110"/>
      <c r="E65" s="110"/>
      <c r="F65" s="110"/>
      <c r="G65" s="110"/>
      <c r="H65" s="110"/>
      <c r="I65" s="110"/>
      <c r="J65" s="110"/>
      <c r="K65" s="110"/>
      <c r="L65" s="110"/>
      <c r="M65" s="110"/>
    </row>
    <row r="66" spans="2:13" ht="39.950000000000003" customHeight="1" x14ac:dyDescent="0.25">
      <c r="B66" s="142" t="s">
        <v>258</v>
      </c>
      <c r="C66" s="27" t="s">
        <v>312</v>
      </c>
      <c r="D66" s="150" t="s">
        <v>232</v>
      </c>
      <c r="E66" s="150" t="s">
        <v>218</v>
      </c>
      <c r="F66" s="151"/>
      <c r="G66" s="151"/>
      <c r="H66" s="151"/>
      <c r="I66" s="151"/>
      <c r="J66" s="151"/>
      <c r="K66" s="151"/>
      <c r="L66" s="151"/>
      <c r="M66" s="151"/>
    </row>
    <row r="67" spans="2:13" ht="8.1" customHeight="1" x14ac:dyDescent="0.25">
      <c r="B67" s="109"/>
      <c r="D67" s="110"/>
      <c r="E67" s="110"/>
      <c r="F67" s="110"/>
      <c r="G67" s="110"/>
      <c r="H67" s="110"/>
      <c r="I67" s="110"/>
      <c r="J67" s="110"/>
      <c r="K67" s="110"/>
      <c r="L67" s="110"/>
      <c r="M67" s="110"/>
    </row>
    <row r="68" spans="2:13" ht="39.950000000000003" customHeight="1" x14ac:dyDescent="0.25">
      <c r="B68" s="142" t="s">
        <v>266</v>
      </c>
      <c r="C68" s="27" t="s">
        <v>1</v>
      </c>
      <c r="D68" s="150" t="s">
        <v>10</v>
      </c>
      <c r="E68" s="150" t="s">
        <v>11</v>
      </c>
      <c r="F68" s="151"/>
      <c r="G68" s="151"/>
      <c r="H68" s="151"/>
      <c r="I68" s="151"/>
      <c r="J68" s="151"/>
      <c r="K68" s="151"/>
      <c r="L68" s="151"/>
      <c r="M68" s="151"/>
    </row>
    <row r="69" spans="2:13" ht="8.1" customHeight="1" x14ac:dyDescent="0.25">
      <c r="B69" s="109"/>
      <c r="D69" s="110"/>
      <c r="E69" s="110"/>
      <c r="F69" s="110"/>
      <c r="G69" s="110"/>
      <c r="H69" s="110"/>
      <c r="I69" s="110"/>
      <c r="J69" s="110"/>
      <c r="K69" s="110"/>
      <c r="L69" s="110"/>
      <c r="M69" s="110"/>
    </row>
    <row r="70" spans="2:13" ht="39.950000000000003" customHeight="1" x14ac:dyDescent="0.25">
      <c r="B70" s="142" t="s">
        <v>273</v>
      </c>
      <c r="C70" s="156" t="s">
        <v>315</v>
      </c>
      <c r="D70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135</v>
      </c>
      <c r="D71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1" s="152"/>
      <c r="F71" s="27"/>
      <c r="G71" s="163">
        <f>COUNT(UserInfo[序号])-COUNTA(UserInfo[身份证号码])</f>
        <v>2</v>
      </c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26</v>
      </c>
      <c r="D72" s="157" t="str">
        <f>_xlfn.CONCAT("共有 ", COUNTA(Get_Staff_Member)," 位员工")</f>
        <v>共有 2 位员工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224</v>
      </c>
      <c r="D73" s="157" t="str">
        <f>_xlfn.CONCAT("已设置 ", COUNTA(Get_Work_Unit)," 个单位")</f>
        <v>已设置 7 个单位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17</v>
      </c>
      <c r="C75" s="44"/>
      <c r="D75" s="44"/>
      <c r="E75" s="44"/>
    </row>
    <row r="76" spans="2:13" ht="39.950000000000003" customHeight="1" x14ac:dyDescent="0.25">
      <c r="B76" s="31" t="s">
        <v>19</v>
      </c>
      <c r="C76" s="36" t="s">
        <v>130</v>
      </c>
      <c r="D76" s="45"/>
      <c r="E76" s="45"/>
    </row>
    <row r="77" spans="2:13" ht="39.950000000000003" customHeight="1" x14ac:dyDescent="0.25">
      <c r="B77" s="31" t="s">
        <v>20</v>
      </c>
      <c r="C77" s="40" t="s">
        <v>18</v>
      </c>
      <c r="D77" s="43"/>
      <c r="E77" s="43"/>
    </row>
    <row r="78" spans="2:13" ht="39.950000000000003" customHeight="1" x14ac:dyDescent="0.25">
      <c r="B78" s="31" t="s">
        <v>128</v>
      </c>
      <c r="C78" s="36" t="s">
        <v>129</v>
      </c>
      <c r="D78" s="45"/>
      <c r="E78" s="45"/>
    </row>
    <row r="79" spans="2:13" ht="39.950000000000003" customHeight="1" x14ac:dyDescent="0.25">
      <c r="B79" s="31" t="s">
        <v>123</v>
      </c>
      <c r="C79" s="36" t="s">
        <v>316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9 D62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86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219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224</v>
      </c>
      <c r="E13" s="34"/>
      <c r="F13" s="114"/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7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1</v>
      </c>
      <c r="E10" s="7"/>
      <c r="F10" s="115"/>
      <c r="G10" s="77"/>
    </row>
    <row r="11" spans="1:8" ht="35.1" customHeight="1" x14ac:dyDescent="0.25">
      <c r="B11" s="60"/>
      <c r="C11" s="60"/>
      <c r="D11" s="63" t="s">
        <v>22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21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23</v>
      </c>
      <c r="E15" s="7"/>
      <c r="F15" s="115"/>
      <c r="G15" s="77"/>
    </row>
    <row r="16" spans="1:8" ht="35.1" customHeight="1" x14ac:dyDescent="0.25">
      <c r="B16" s="60"/>
      <c r="C16" s="60"/>
      <c r="D16" s="63" t="s">
        <v>24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7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2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设置!F11</f>
        <v>1</v>
      </c>
      <c r="E6" s="160" t="str">
        <f>设置!F11 &amp;" - 历史记录"</f>
        <v>1 - 历史记录</v>
      </c>
      <c r="F6" s="160"/>
      <c r="G6" s="94">
        <f>设置!F12</f>
        <v>2</v>
      </c>
      <c r="H6" s="161" t="str">
        <f>设置!F12 &amp;" - 历史记录"</f>
        <v>2 - 历史记录</v>
      </c>
      <c r="I6" s="161"/>
      <c r="J6" s="93">
        <f>设置!F13</f>
        <v>3</v>
      </c>
      <c r="K6" s="160" t="str">
        <f>设置!F13 &amp;" - 历史记录"</f>
        <v>3 - 历史记录</v>
      </c>
      <c r="L6" s="160"/>
      <c r="M6" s="94">
        <f>设置!F14</f>
        <v>4</v>
      </c>
      <c r="N6" s="161" t="str">
        <f>设置!F14 &amp;" - 历史记录"</f>
        <v>4 - 历史记录</v>
      </c>
      <c r="O6" s="161"/>
      <c r="P6" s="93">
        <f>设置!F15</f>
        <v>5</v>
      </c>
      <c r="Q6" s="160" t="str">
        <f>设置!F15 &amp;" - 历史记录"</f>
        <v>5 - 历史记录</v>
      </c>
      <c r="R6" s="160"/>
      <c r="S6" s="94">
        <f>设置!F16</f>
        <v>6</v>
      </c>
      <c r="T6" s="161" t="str">
        <f>设置!F16 &amp;" - 历史记录"</f>
        <v>6 - 历史记录</v>
      </c>
      <c r="U6" s="161"/>
      <c r="V6" s="93">
        <f>设置!F17</f>
        <v>7</v>
      </c>
      <c r="W6" s="160" t="str">
        <f>设置!F17 &amp;" - 历史记录"</f>
        <v>7 - 历史记录</v>
      </c>
      <c r="X6" s="160"/>
      <c r="Y6" s="94">
        <f>设置!F18</f>
        <v>8</v>
      </c>
      <c r="Z6" s="161" t="str">
        <f>设置!F18 &amp;" - 历史记录"</f>
        <v>8 - 历史记录</v>
      </c>
      <c r="AA6" s="161"/>
      <c r="AB6" s="93">
        <f>设置!F19</f>
        <v>9</v>
      </c>
      <c r="AC6" s="160" t="str">
        <f>设置!F19 &amp;" - 历史记录"</f>
        <v>9 - 历史记录</v>
      </c>
      <c r="AD6" s="160"/>
      <c r="AE6" s="94">
        <f>设置!F20</f>
        <v>10</v>
      </c>
      <c r="AF6" s="161" t="str">
        <f>设置!F20 &amp;" - 历史记录"</f>
        <v>10 - 历史记录</v>
      </c>
      <c r="AG6" s="161"/>
      <c r="AH6" s="93">
        <f>设置!F21</f>
        <v>11</v>
      </c>
      <c r="AI6" s="160" t="str">
        <f>设置!F21 &amp;" - 历史记录"</f>
        <v>11 - 历史记录</v>
      </c>
      <c r="AJ6" s="160"/>
      <c r="AK6" s="94">
        <f>设置!F22</f>
        <v>12</v>
      </c>
      <c r="AL6" s="161" t="str">
        <f>设置!F22 &amp;" - 历史记录"</f>
        <v>12 - 历史记录</v>
      </c>
      <c r="AM6" s="161"/>
      <c r="AN6" s="93">
        <f>设置!F23</f>
        <v>13</v>
      </c>
      <c r="AO6" s="160" t="str">
        <f>设置!F23 &amp;" - 历史记录"</f>
        <v>13 - 历史记录</v>
      </c>
      <c r="AP6" s="160"/>
      <c r="AQ6" s="94">
        <f>设置!F24</f>
        <v>14</v>
      </c>
      <c r="AR6" s="161" t="str">
        <f>设置!F24 &amp;" - 历史记录"</f>
        <v>14 - 历史记录</v>
      </c>
      <c r="AS6" s="161"/>
      <c r="AT6" s="93">
        <f>设置!F25</f>
        <v>15</v>
      </c>
      <c r="AU6" s="160" t="str">
        <f>设置!F25 &amp;" - 历史记录"</f>
        <v>15 - 历史记录</v>
      </c>
      <c r="AV6" s="160"/>
      <c r="AW6" s="94">
        <f>设置!F26</f>
        <v>16</v>
      </c>
      <c r="AX6" s="161" t="str">
        <f>设置!F26 &amp;" - 历史记录"</f>
        <v>16 - 历史记录</v>
      </c>
      <c r="AY6" s="161"/>
      <c r="AZ6" s="93">
        <f>设置!F27</f>
        <v>17</v>
      </c>
      <c r="BA6" s="160" t="str">
        <f>设置!F27 &amp;" - 历史记录"</f>
        <v>17 - 历史记录</v>
      </c>
      <c r="BB6" s="160"/>
      <c r="BC6" s="94">
        <f>设置!F28</f>
        <v>18</v>
      </c>
      <c r="BD6" s="161" t="str">
        <f>设置!F28 &amp;" - 历史记录"</f>
        <v>18 - 历史记录</v>
      </c>
      <c r="BE6" s="161"/>
      <c r="BF6" s="93">
        <f>设置!F29</f>
        <v>19</v>
      </c>
      <c r="BG6" s="160" t="str">
        <f>设置!F29 &amp;" - 历史记录"</f>
        <v>19 - 历史记录</v>
      </c>
      <c r="BH6" s="160"/>
      <c r="BI6" s="94">
        <f>设置!F30</f>
        <v>20</v>
      </c>
      <c r="BJ6" s="161" t="str">
        <f>设置!F30 &amp;" - 历史记录"</f>
        <v>20 - 历史记录</v>
      </c>
      <c r="BK6" s="161"/>
      <c r="BL6" s="95">
        <f>设置!F31</f>
        <v>21</v>
      </c>
      <c r="BM6" s="162" t="str">
        <f>设置!F31 &amp;" - 历史记录"</f>
        <v>21 - 历史记录</v>
      </c>
      <c r="BN6" s="162"/>
      <c r="BO6" s="94">
        <f>设置!F32</f>
        <v>22</v>
      </c>
      <c r="BP6" s="161" t="str">
        <f>设置!F32 &amp;" - 历史记录"</f>
        <v>22 - 历史记录</v>
      </c>
      <c r="BQ6" s="161"/>
      <c r="BR6" s="95">
        <f>设置!F33</f>
        <v>23</v>
      </c>
      <c r="BS6" s="162" t="str">
        <f>设置!F33 &amp;" - 历史记录"</f>
        <v>23 - 历史记录</v>
      </c>
      <c r="BT6" s="162"/>
      <c r="BU6" s="94">
        <f>设置!F34</f>
        <v>24</v>
      </c>
      <c r="BV6" s="161" t="str">
        <f>设置!F34 &amp;" - 历史记录"</f>
        <v>24 - 历史记录</v>
      </c>
      <c r="BW6" s="161"/>
      <c r="BX6" s="95">
        <f>设置!F35</f>
        <v>25</v>
      </c>
      <c r="BY6" s="162" t="str">
        <f>设置!F35 &amp;" - 历史记录"</f>
        <v>25 - 历史记录</v>
      </c>
      <c r="BZ6" s="162"/>
      <c r="CA6" s="94">
        <f>设置!F36</f>
        <v>26</v>
      </c>
      <c r="CB6" s="161" t="str">
        <f>设置!F36 &amp;" - 历史记录"</f>
        <v>26 - 历史记录</v>
      </c>
      <c r="CC6" s="161"/>
      <c r="CD6" s="95">
        <f>设置!F37</f>
        <v>27</v>
      </c>
      <c r="CE6" s="162" t="str">
        <f>设置!F37 &amp;" - 历史记录"</f>
        <v>27 - 历史记录</v>
      </c>
      <c r="CF6" s="162"/>
      <c r="CG6" s="94">
        <f>设置!F38</f>
        <v>28</v>
      </c>
      <c r="CH6" s="161" t="str">
        <f>设置!F38 &amp;" - 历史记录"</f>
        <v>28 - 历史记录</v>
      </c>
      <c r="CI6" s="161"/>
      <c r="CJ6" s="95">
        <f>设置!F39</f>
        <v>29</v>
      </c>
      <c r="CK6" s="162" t="str">
        <f>设置!F39 &amp;" - 历史记录"</f>
        <v>29 - 历史记录</v>
      </c>
      <c r="CL6" s="162"/>
      <c r="CM6" s="94">
        <f>设置!F40</f>
        <v>30</v>
      </c>
      <c r="CN6" s="161" t="str">
        <f>设置!F40 &amp;" - 历史记录"</f>
        <v>30 - 历史记录</v>
      </c>
      <c r="CO6" s="161"/>
      <c r="CP6" s="95">
        <f>设置!F41</f>
        <v>31</v>
      </c>
      <c r="CQ6" s="162" t="str">
        <f>设置!F41 &amp;" - 历史记录"</f>
        <v>31 - 历史记录</v>
      </c>
      <c r="CR6" s="162"/>
      <c r="CS6" s="94">
        <f>设置!F42</f>
        <v>32</v>
      </c>
      <c r="CT6" s="161" t="str">
        <f>设置!F42 &amp;" - 历史记录"</f>
        <v>32 - 历史记录</v>
      </c>
      <c r="CU6" s="161"/>
      <c r="CV6" s="95">
        <f>设置!F43</f>
        <v>33</v>
      </c>
      <c r="CW6" s="162" t="str">
        <f>设置!F43 &amp;" - 历史记录"</f>
        <v>33 - 历史记录</v>
      </c>
      <c r="CX6" s="162"/>
      <c r="CY6" s="94">
        <f>设置!F44</f>
        <v>34</v>
      </c>
      <c r="CZ6" s="161" t="str">
        <f>设置!F44 &amp;" - 历史记录"</f>
        <v>34 - 历史记录</v>
      </c>
      <c r="DA6" s="161"/>
      <c r="DB6" s="95">
        <f>设置!F45</f>
        <v>35</v>
      </c>
      <c r="DC6" s="162" t="str">
        <f>设置!F45 &amp;" - 历史记录"</f>
        <v>35 - 历史记录</v>
      </c>
      <c r="DD6" s="162"/>
      <c r="DE6" s="94">
        <f>设置!F46</f>
        <v>36</v>
      </c>
      <c r="DF6" s="161" t="str">
        <f>设置!F46 &amp;" - 历史记录"</f>
        <v>36 - 历史记录</v>
      </c>
      <c r="DG6" s="161"/>
      <c r="DH6" s="95">
        <f>设置!F47</f>
        <v>37</v>
      </c>
      <c r="DI6" s="162" t="str">
        <f>设置!F47 &amp;" - 历史记录"</f>
        <v>37 - 历史记录</v>
      </c>
      <c r="DJ6" s="162"/>
      <c r="DK6" s="94">
        <f>设置!F48</f>
        <v>38</v>
      </c>
      <c r="DL6" s="161" t="str">
        <f>设置!F48 &amp;" - 历史记录"</f>
        <v>38 - 历史记录</v>
      </c>
      <c r="DM6" s="161"/>
      <c r="DN6" s="95">
        <f>设置!F49</f>
        <v>39</v>
      </c>
      <c r="DO6" s="162" t="str">
        <f>设置!F49 &amp;" - 历史记录"</f>
        <v>39 - 历史记录</v>
      </c>
      <c r="DP6" s="162"/>
      <c r="DQ6" s="94">
        <f>设置!F50</f>
        <v>40</v>
      </c>
      <c r="DR6" s="161" t="str">
        <f>设置!F50 &amp;" - 历史记录"</f>
        <v>40 - 历史记录</v>
      </c>
      <c r="DS6" s="161"/>
      <c r="DT6" s="160" t="s">
        <v>72</v>
      </c>
      <c r="DU6" s="160"/>
      <c r="DV6" s="160"/>
      <c r="DW6" s="160"/>
      <c r="DX6" s="160"/>
      <c r="DY6" s="160" t="s">
        <v>87</v>
      </c>
      <c r="DZ6" s="160"/>
      <c r="EA6" s="160"/>
      <c r="EB6" s="160" t="s">
        <v>270</v>
      </c>
      <c r="EC6" s="160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2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0" t="s">
        <v>82</v>
      </c>
      <c r="AS6" s="160"/>
      <c r="AT6" s="160"/>
      <c r="AU6" s="160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25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39.950000000000003" customHeight="1" x14ac:dyDescent="0.25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2023-12-20T08:46:45Z</dcterms:modified>
</cp:coreProperties>
</file>