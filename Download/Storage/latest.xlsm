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BE43094D-DAF6-4D35-A4F5-F588B9B31DE7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D7" i="4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<sst xmlns="http://schemas.openxmlformats.org/spreadsheetml/2006/main" count="379" uniqueCount="314">
  <si>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</si>
  <si>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</si>
  <si>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</si>
  <si>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</si>
  <si>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</si>
  <si>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</si>
  <si>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</si>
  <si>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</si>
  <si>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</si>
  <si>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</si>
  <si>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</si>
  <si>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</si>
  <si>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</si>
  <si>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</si>
  <si>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</si>
  <si>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</si>
  <si>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</si>
  <si>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</si>
  <si>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</si>
  <si>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</si>
  <si>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</si>
  <si>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</si>
  <si>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</si>
  <si>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</si>
  <si>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</si>
  <si>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</si>
  <si>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</si>
  <si>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</si>
  <si>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</si>
  <si>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</si>
  <si>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</si>
  <si>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</si>
  <si>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</si>
  <si>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</si>
  <si>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</si>
  <si>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</si>
  <si>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</si>
  <si>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</si>
  <si>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</si>
  <si>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</si>
  <si>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</si>
  <si>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</si>
  <si>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</si>
  <si>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</si>
  <si>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</si>
  <si>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</si>
  <si>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</si>
  <si>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</si>
  <si>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</si>
  <si>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</si>
  <si>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</si>
  <si>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</si>
  <si>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</si>
  <si>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</si>
  <si>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</si>
  <si>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</si>
  <si>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</si>
  <si>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</si>
  <si>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</si>
  <si>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</si>
  <si>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</si>
  <si>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</si>
  <si>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</si>
  <si>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</si>
  <si>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</si>
  <si>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</si>
  <si>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</si>
  <si>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</si>
  <si>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</si>
  <si>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</si>
  <si>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</si>
  <si>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</si>
  <si>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</si>
  <si>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</si>
  <si>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</si>
  <si>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</si>
  <si>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</si>
  <si>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</si>
  <si>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</si>
  <si>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</si>
  <si>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</si>
  <si>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</si>
  <si>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</si>
  <si>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</si>
  <si>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</si>
  <si>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</si>
  <si>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</si>
  <si>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</si>
  <si>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</si>
  <si>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</si>
  <si>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</si>
  <si>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</si>
  <si>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</si>
  <si>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</si>
  <si>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</si>
  <si>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</si>
  <si>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</si>
  <si>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</si>
  <si>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</si>
  <si>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</si>
  <si>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</si>
  <si>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</si>
  <si>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</si>
  <si>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</si>
  <si>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</si>
  <si>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</si>
  <si>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</si>
  <si>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</si>
  <si>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</si>
  <si>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</si>
  <si>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</si>
  <si>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</si>
  <si>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</si>
  <si>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</si>
  <si>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</si>
  <si>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</si>
  <si>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</si>
  <si>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</si>
  <si>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</si>
  <si>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</si>
  <si>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</si>
  <si>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</si>
  <si>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</si>
  <si>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</si>
  <si>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</si>
  <si>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</si>
  <si>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</si>
  <si>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</si>
  <si>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</si>
  <si>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</si>
  <si>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</si>
  <si>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</si>
  <si>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</si>
  <si>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</si>
  <si>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</si>
  <si>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</si>
  <si>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</si>
  <si>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</si>
  <si>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</si>
  <si>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</si>
  <si>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</si>
  <si>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</si>
  <si>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</si>
  <si>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</si>
  <si>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</si>
  <si>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</si>
  <si>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</si>
  <si>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</si>
  <si>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</si>
  <si>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</si>
  <si>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</si>
  <si>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</si>
  <si>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</si>
  <si>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</si>
  <si>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</si>
  <si>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</si>
  <si>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</si>
  <si>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</si>
  <si>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</si>
  <si>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</si>
  <si>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</si>
  <si>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</si>
  <si>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</si>
  <si>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</si>
  <si>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</si>
  <si>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</si>
  <si>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</si>
  <si>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</si>
  <si>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</si>
  <si>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</si>
  <si>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</si>
  <si>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</si>
  <si>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</si>
  <si>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</si>
  <si>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</si>
  <si>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</si>
  <si>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</si>
  <si>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</si>
  <si>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</si>
  <si>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</si>
  <si>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</si>
  <si>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</si>
  <si>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</si>
  <si>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</si>
  <si>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</si>
  <si>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</si>
  <si>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</si>
  <si>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</si>
  <si>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</si>
  <si>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</si>
  <si>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</si>
  <si>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</si>
  <si>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</si>
  <si>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</si>
  <si>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</si>
  <si>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</si>
  <si>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</si>
  <si>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</si>
  <si>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</si>
  <si>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</si>
  <si>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</si>
  <si>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</si>
  <si>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</si>
  <si>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</si>
  <si>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</si>
  <si>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</si>
  <si>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</si>
  <si>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</si>
  <si>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</si>
  <si>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</si>
  <si>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</si>
  <si>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</si>
  <si>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</si>
  <si>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</si>
  <si>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</si>
  <si>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</si>
  <si>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</si>
  <si>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</si>
  <si>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</si>
  <si>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</si>
  <si>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</si>
  <si>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</si>
  <si>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</si>
  <si>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</si>
  <si>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</si>
  <si>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</si>
  <si>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</si>
  <si>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</si>
  <si>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</si>
  <si>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</si>
  <si>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</si>
  <si>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</si>
  <si>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</si>
  <si>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</si>
  <si>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</si>
  <si>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</si>
  <si>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</si>
  <si>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</si>
  <si>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</si>
  <si>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</si>
  <si>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</si>
  <si>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</si>
  <si>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</si>
  <si>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</si>
  <si>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</si>
  <si>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</si>
  <si>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</si>
  <si>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</si>
  <si>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</si>
  <si>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</si>
  <si>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</si>
  <si>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</si>
  <si>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</si>
  <si>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</si>
  <si>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</si>
  <si>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</si>
  <si>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</si>
  <si>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</si>
  <si>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</si>
  <si>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</si>
  <si>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</si>
  <si>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</si>
  <si>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</si>
  <si>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</si>
  <si>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</si>
  <si>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</si>
  <si>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</si>
  <si>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</si>
  <si>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</si>
  <si>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</si>
  <si>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</si>
  <si>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</si>
  <si>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</si>
  <si>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</si>
  <si>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</si>
  <si>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</si>
  <si>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</si>
  <si>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</si>
  <si>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</si>
  <si>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</si>
  <si>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</si>
  <si>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</si>
  <si>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</si>
  <si>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</si>
  <si>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</si>
  <si>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</si>
  <si>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</si>
  <si>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</si>
  <si>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</si>
  <si>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</si>
  <si>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v1.6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</si>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</sst>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7030A0"/>
      <color rgb="FFDF4C26"/>
      <color rgb="FFF4F3EE"/>
      <color rgb="FFFFC000"/>
      <color rgb="FFFFD966"/>
      <color rgb="FFA9D08E"/>
      <color rgb="FFC6E0B4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923925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1123950</xdr:colOff>
          <xdr:row>5</xdr:row>
          <xdr:rowOff>95250</xdr:rowOff>
        </xdr:from>
        <xdr:to>
          <xdr:col>2</xdr:col>
          <xdr:colOff>1943100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/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添加会员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47" t="s">
        <v>135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48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49" t="s">
        <v>271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244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309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260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268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134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136</v>
      </c>
      <c r="E14" s="21" t="s">
        <v>137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238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301</v>
      </c>
      <c r="E18" s="21" t="s">
        <v>239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240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256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123</v>
      </c>
      <c r="E22" s="21" t="s">
        <v>299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293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89</v>
      </c>
      <c r="E24" s="90">
        <v>1</v>
      </c>
      <c r="F24" s="91" t="s">
        <v>241</v>
      </c>
      <c r="G24" s="1"/>
      <c r="H24" s="90">
        <v>1</v>
      </c>
      <c r="I24" s="91" t="s">
        <v>313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90">
        <v>0</v>
      </c>
      <c r="F25" s="91" t="s">
        <v>84</v>
      </c>
      <c r="G25" s="1"/>
      <c r="H25" s="90">
        <v>-0.01</v>
      </c>
      <c r="I25" s="91" t="s">
        <v>312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90">
        <v>-0.01</v>
      </c>
      <c r="F26" s="91" t="s">
        <v>85</v>
      </c>
      <c r="G26" s="1"/>
      <c r="H26" s="90"/>
      <c r="I26" s="122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90"/>
      <c r="F27" s="91"/>
      <c r="G27" s="1"/>
      <c r="H27" s="90"/>
      <c r="I27" s="122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310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6" t="s">
        <v>311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82</v>
      </c>
      <c r="E30" s="21" t="s">
        <v>294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295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138</v>
      </c>
      <c r="E33" s="21" t="s">
        <v>302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303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306</v>
      </c>
      <c r="E36" s="21" t="s">
        <v>307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236</v>
      </c>
      <c r="E37" s="21" t="s">
        <v>308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237</v>
      </c>
      <c r="E38" s="21" t="s">
        <v>305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292</v>
      </c>
      <c r="E39" s="21" t="s">
        <v>296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253</v>
      </c>
      <c r="E40" s="21" t="s">
        <v>254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277</v>
      </c>
      <c r="E41" s="21" t="s">
        <v>298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297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304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245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24">
        <v>1</v>
      </c>
      <c r="D46" s="46" t="s">
        <v>280</v>
      </c>
      <c r="E46" s="124"/>
      <c r="F46" s="123"/>
      <c r="G46" s="124"/>
      <c r="H46" s="124"/>
      <c r="I46" s="124"/>
      <c r="J46" s="124"/>
      <c r="K46" s="124"/>
      <c r="L46" s="124"/>
      <c r="M46" s="124"/>
      <c r="N46" s="124"/>
      <c r="O46" s="124"/>
      <c r="P46" s="1"/>
    </row>
    <row r="47" spans="2:16" ht="39.75" customHeight="1" x14ac:dyDescent="0.25">
      <c r="B47" s="1"/>
      <c r="C47" s="124">
        <v>1</v>
      </c>
      <c r="D47" s="46" t="s">
        <v>300</v>
      </c>
      <c r="E47" s="124"/>
      <c r="F47" s="123"/>
      <c r="G47" s="124"/>
      <c r="H47" s="124"/>
      <c r="I47" s="124"/>
      <c r="J47" s="124"/>
      <c r="K47" s="124"/>
      <c r="L47" s="124"/>
      <c r="M47" s="124"/>
      <c r="N47" s="124"/>
      <c r="O47" s="124"/>
      <c r="P47" s="1"/>
    </row>
    <row r="48" spans="2:16" ht="39.950000000000003" customHeight="1" x14ac:dyDescent="0.25">
      <c r="B48" s="1"/>
      <c r="C48" s="1">
        <v>0</v>
      </c>
      <c r="D48" s="46" t="s">
        <v>257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246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250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251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247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248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249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5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30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7" t="s">
        <v>279</v>
      </c>
      <c r="H9" s="152" t="s">
        <v>225</v>
      </c>
      <c r="I9" s="152"/>
      <c r="J9" s="152"/>
      <c r="K9" s="153" t="s">
        <v>242</v>
      </c>
      <c r="L9" s="153"/>
      <c r="M9" s="153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8" t="s">
        <v>278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9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9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9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9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9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9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9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9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9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9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9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9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9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9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9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9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9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9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9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9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9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9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9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9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9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9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9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9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9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9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9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9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9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9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9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9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9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9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9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9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126</v>
      </c>
      <c r="D52" s="131" t="s">
        <v>284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32" t="s">
        <v>283</v>
      </c>
      <c r="E53" s="132" t="s">
        <v>284</v>
      </c>
      <c r="F53" s="132"/>
      <c r="G53" s="133"/>
      <c r="H53" s="133"/>
      <c r="I53" s="133"/>
      <c r="J53" s="133"/>
      <c r="K53" s="133"/>
      <c r="L53" s="133"/>
      <c r="M53" s="133"/>
    </row>
    <row r="54" spans="2:13" ht="39.950000000000003" customHeight="1" x14ac:dyDescent="0.25">
      <c r="B54" s="26"/>
      <c r="C54" s="27" t="s">
        <v>30</v>
      </c>
      <c r="D54" s="132"/>
      <c r="E54" s="132"/>
      <c r="F54" s="132"/>
      <c r="G54" s="133"/>
      <c r="H54" s="133"/>
      <c r="I54" s="133"/>
      <c r="J54" s="133"/>
      <c r="K54" s="133"/>
      <c r="L54" s="133"/>
      <c r="M54" s="133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129</v>
      </c>
      <c r="E57" s="69" t="s">
        <v>130</v>
      </c>
      <c r="F57" s="69" t="s">
        <v>130</v>
      </c>
      <c r="G57" s="69" t="s">
        <v>130</v>
      </c>
      <c r="H57" s="69" t="s">
        <v>130</v>
      </c>
      <c r="I57" s="69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262</v>
      </c>
      <c r="D58" s="69" t="s">
        <v>130</v>
      </c>
      <c r="E58" s="78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5"/>
      <c r="D59" s="116"/>
      <c r="E59" s="116"/>
      <c r="F59" s="116"/>
      <c r="G59" s="116"/>
      <c r="H59" s="116"/>
      <c r="I59" s="116"/>
      <c r="J59" s="116"/>
      <c r="K59" s="116"/>
      <c r="L59" s="116"/>
      <c r="M59" s="116"/>
    </row>
    <row r="60" spans="2:13" ht="39.950000000000003" customHeight="1" x14ac:dyDescent="0.25">
      <c r="B60" s="26" t="s">
        <v>25</v>
      </c>
      <c r="C60" s="27" t="s">
        <v>227</v>
      </c>
      <c r="D60" s="131" t="s">
        <v>228</v>
      </c>
      <c r="E60" s="131" t="s">
        <v>229</v>
      </c>
      <c r="F60" s="131" t="s">
        <v>230</v>
      </c>
      <c r="G60" s="131" t="s">
        <v>263</v>
      </c>
      <c r="H60" s="131" t="s">
        <v>264</v>
      </c>
      <c r="I60" s="131" t="s">
        <v>265</v>
      </c>
      <c r="J60" s="131" t="s">
        <v>266</v>
      </c>
      <c r="K60" s="131"/>
      <c r="L60" s="131"/>
      <c r="M60" s="131"/>
    </row>
    <row r="61" spans="2:13" ht="39.950000000000003" customHeight="1" x14ac:dyDescent="0.25">
      <c r="B61" s="26"/>
      <c r="C61" s="27" t="s">
        <v>273</v>
      </c>
      <c r="D61" s="69" t="s">
        <v>129</v>
      </c>
      <c r="E61" s="78" t="s">
        <v>274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51" t="s">
        <v>220</v>
      </c>
      <c r="C63" s="27" t="s">
        <v>5</v>
      </c>
      <c r="D63" s="150" t="s">
        <v>8</v>
      </c>
      <c r="E63" s="150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5"/>
      <c r="D64" s="116"/>
      <c r="E64" s="116"/>
      <c r="F64" s="116"/>
      <c r="G64" s="116"/>
      <c r="H64" s="116"/>
      <c r="I64" s="116"/>
      <c r="J64" s="116"/>
      <c r="K64" s="116"/>
      <c r="L64" s="116"/>
      <c r="M64" s="116"/>
    </row>
    <row r="65" spans="2:13" ht="39.950000000000003" customHeight="1" x14ac:dyDescent="0.25">
      <c r="B65" s="151" t="s">
        <v>261</v>
      </c>
      <c r="C65" s="27" t="s">
        <v>272</v>
      </c>
      <c r="D65" s="150" t="s">
        <v>235</v>
      </c>
      <c r="E65" s="150" t="s">
        <v>221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151" t="s">
        <v>270</v>
      </c>
      <c r="C67" s="27" t="s">
        <v>1</v>
      </c>
      <c r="D67" s="150" t="s">
        <v>10</v>
      </c>
      <c r="E67" s="15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51"/>
      <c r="C68" s="27" t="s">
        <v>279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290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61 E57:I57 D61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5" customWidth="1"/>
    <col min="3" max="3" width="14.7109375" style="135" customWidth="1"/>
    <col min="4" max="4" width="15.7109375" style="135" customWidth="1"/>
    <col min="5" max="5" width="44.7109375" style="135" customWidth="1"/>
    <col min="6" max="6" width="5.7109375" style="136" customWidth="1"/>
    <col min="7" max="8" width="2.7109375" style="135" customWidth="1"/>
    <col min="9" max="16384" width="9.140625" style="135" hidden="1"/>
  </cols>
  <sheetData>
    <row r="1" spans="1:8" ht="6" customHeight="1" x14ac:dyDescent="0.25">
      <c r="A1" s="143"/>
      <c r="B1" s="143"/>
      <c r="C1" s="143"/>
      <c r="D1" s="143"/>
      <c r="E1" s="143"/>
      <c r="F1" s="144"/>
      <c r="G1" s="143"/>
      <c r="H1" s="143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87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222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227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275</v>
      </c>
      <c r="D17" s="11" t="s">
        <v>6</v>
      </c>
      <c r="E17" s="33" t="s">
        <v>284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35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34" customWidth="1"/>
    <col min="4" max="4" width="12.7109375" style="93" customWidth="1"/>
    <col min="5" max="5" width="12.7109375" style="96" customWidth="1"/>
    <col min="6" max="6" width="12.7109375" style="93" customWidth="1"/>
    <col min="7" max="7" width="26.7109375" style="94" customWidth="1"/>
    <col min="8" max="8" width="18.7109375" style="93" customWidth="1"/>
    <col min="9" max="9" width="44.7109375" style="140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43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7" t="s">
        <v>285</v>
      </c>
      <c r="D7" s="55" t="s">
        <v>235</v>
      </c>
      <c r="E7" s="16"/>
      <c r="F7" s="19"/>
      <c r="G7" s="92">
        <v>45268.505555555559</v>
      </c>
      <c r="H7" s="55" t="s">
        <v>284</v>
      </c>
      <c r="I7" s="137" t="s">
        <v>291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39" customWidth="1"/>
    <col min="3" max="3" width="14.7109375" style="139" customWidth="1"/>
    <col min="4" max="4" width="15.7109375" style="139" customWidth="1"/>
    <col min="5" max="5" width="44.7109375" style="139" customWidth="1"/>
    <col min="6" max="6" width="5.7109375" style="138" customWidth="1"/>
    <col min="7" max="8" width="2.7109375" style="138" customWidth="1"/>
    <col min="9" max="16384" width="9.140625" style="138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59" t="str">
        <f>设置!D7 &amp;" - 新增会员"</f>
        <v>Yi - 新增会员</v>
      </c>
      <c r="C2" s="59"/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87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86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90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275</v>
      </c>
      <c r="D21" s="67" t="s">
        <v>6</v>
      </c>
      <c r="E21" s="7" t="s">
        <v>284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41" customWidth="1"/>
    <col min="125" max="125" width="14.7109375" style="142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40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C6" s="58"/>
      <c r="D6" s="99">
        <f>设置!F11</f>
        <v>1</v>
      </c>
      <c r="E6" s="154" t="str">
        <f>设置!F11 &amp;" - 历史记录"</f>
        <v>1 - 历史记录</v>
      </c>
      <c r="F6" s="154"/>
      <c r="G6" s="100">
        <f>设置!F12</f>
        <v>2</v>
      </c>
      <c r="H6" s="155" t="str">
        <f>设置!F12 &amp;" - 历史记录"</f>
        <v>2 - 历史记录</v>
      </c>
      <c r="I6" s="155"/>
      <c r="J6" s="99">
        <f>设置!F13</f>
        <v>3</v>
      </c>
      <c r="K6" s="154" t="str">
        <f>设置!F13 &amp;" - 历史记录"</f>
        <v>3 - 历史记录</v>
      </c>
      <c r="L6" s="154"/>
      <c r="M6" s="100">
        <f>设置!F14</f>
        <v>4</v>
      </c>
      <c r="N6" s="155" t="str">
        <f>设置!F14 &amp;" - 历史记录"</f>
        <v>4 - 历史记录</v>
      </c>
      <c r="O6" s="155"/>
      <c r="P6" s="99">
        <f>设置!F15</f>
        <v>5</v>
      </c>
      <c r="Q6" s="154" t="str">
        <f>设置!F15 &amp;" - 历史记录"</f>
        <v>5 - 历史记录</v>
      </c>
      <c r="R6" s="154"/>
      <c r="S6" s="100">
        <f>设置!F16</f>
        <v>6</v>
      </c>
      <c r="T6" s="155" t="str">
        <f>设置!F16 &amp;" - 历史记录"</f>
        <v>6 - 历史记录</v>
      </c>
      <c r="U6" s="155"/>
      <c r="V6" s="99">
        <f>设置!F17</f>
        <v>7</v>
      </c>
      <c r="W6" s="154" t="str">
        <f>设置!F17 &amp;" - 历史记录"</f>
        <v>7 - 历史记录</v>
      </c>
      <c r="X6" s="154"/>
      <c r="Y6" s="100">
        <f>设置!F18</f>
        <v>8</v>
      </c>
      <c r="Z6" s="155" t="str">
        <f>设置!F18 &amp;" - 历史记录"</f>
        <v>8 - 历史记录</v>
      </c>
      <c r="AA6" s="155"/>
      <c r="AB6" s="99">
        <f>设置!F19</f>
        <v>9</v>
      </c>
      <c r="AC6" s="154" t="str">
        <f>设置!F19 &amp;" - 历史记录"</f>
        <v>9 - 历史记录</v>
      </c>
      <c r="AD6" s="154"/>
      <c r="AE6" s="100">
        <f>设置!F20</f>
        <v>10</v>
      </c>
      <c r="AF6" s="155" t="str">
        <f>设置!F20 &amp;" - 历史记录"</f>
        <v>10 - 历史记录</v>
      </c>
      <c r="AG6" s="155"/>
      <c r="AH6" s="99">
        <f>设置!F21</f>
        <v>11</v>
      </c>
      <c r="AI6" s="154" t="str">
        <f>设置!F21 &amp;" - 历史记录"</f>
        <v>11 - 历史记录</v>
      </c>
      <c r="AJ6" s="154"/>
      <c r="AK6" s="100">
        <f>设置!F22</f>
        <v>12</v>
      </c>
      <c r="AL6" s="155" t="str">
        <f>设置!F22 &amp;" - 历史记录"</f>
        <v>12 - 历史记录</v>
      </c>
      <c r="AM6" s="155"/>
      <c r="AN6" s="99">
        <f>设置!F23</f>
        <v>13</v>
      </c>
      <c r="AO6" s="154" t="str">
        <f>设置!F23 &amp;" - 历史记录"</f>
        <v>13 - 历史记录</v>
      </c>
      <c r="AP6" s="154"/>
      <c r="AQ6" s="100">
        <f>设置!F24</f>
        <v>14</v>
      </c>
      <c r="AR6" s="155" t="str">
        <f>设置!F24 &amp;" - 历史记录"</f>
        <v>14 - 历史记录</v>
      </c>
      <c r="AS6" s="155"/>
      <c r="AT6" s="99">
        <f>设置!F25</f>
        <v>15</v>
      </c>
      <c r="AU6" s="154" t="str">
        <f>设置!F25 &amp;" - 历史记录"</f>
        <v>15 - 历史记录</v>
      </c>
      <c r="AV6" s="154"/>
      <c r="AW6" s="100">
        <f>设置!F26</f>
        <v>16</v>
      </c>
      <c r="AX6" s="155" t="str">
        <f>设置!F26 &amp;" - 历史记录"</f>
        <v>16 - 历史记录</v>
      </c>
      <c r="AY6" s="155"/>
      <c r="AZ6" s="99">
        <f>设置!F27</f>
        <v>17</v>
      </c>
      <c r="BA6" s="154" t="str">
        <f>设置!F27 &amp;" - 历史记录"</f>
        <v>17 - 历史记录</v>
      </c>
      <c r="BB6" s="154"/>
      <c r="BC6" s="100">
        <f>设置!F28</f>
        <v>18</v>
      </c>
      <c r="BD6" s="155" t="str">
        <f>设置!F28 &amp;" - 历史记录"</f>
        <v>18 - 历史记录</v>
      </c>
      <c r="BE6" s="155"/>
      <c r="BF6" s="99">
        <f>设置!F29</f>
        <v>19</v>
      </c>
      <c r="BG6" s="154" t="str">
        <f>设置!F29 &amp;" - 历史记录"</f>
        <v>19 - 历史记录</v>
      </c>
      <c r="BH6" s="154"/>
      <c r="BI6" s="100">
        <f>设置!F30</f>
        <v>20</v>
      </c>
      <c r="BJ6" s="155" t="str">
        <f>设置!F30 &amp;" - 历史记录"</f>
        <v>20 - 历史记录</v>
      </c>
      <c r="BK6" s="155"/>
      <c r="BL6" s="101">
        <f>设置!F31</f>
        <v>21</v>
      </c>
      <c r="BM6" s="156" t="str">
        <f>设置!F31 &amp;" - 历史记录"</f>
        <v>21 - 历史记录</v>
      </c>
      <c r="BN6" s="156"/>
      <c r="BO6" s="100">
        <f>设置!F32</f>
        <v>22</v>
      </c>
      <c r="BP6" s="155" t="str">
        <f>设置!F32 &amp;" - 历史记录"</f>
        <v>22 - 历史记录</v>
      </c>
      <c r="BQ6" s="155"/>
      <c r="BR6" s="101">
        <f>设置!F33</f>
        <v>23</v>
      </c>
      <c r="BS6" s="156" t="str">
        <f>设置!F33 &amp;" - 历史记录"</f>
        <v>23 - 历史记录</v>
      </c>
      <c r="BT6" s="156"/>
      <c r="BU6" s="100">
        <f>设置!F34</f>
        <v>24</v>
      </c>
      <c r="BV6" s="155" t="str">
        <f>设置!F34 &amp;" - 历史记录"</f>
        <v>24 - 历史记录</v>
      </c>
      <c r="BW6" s="155"/>
      <c r="BX6" s="101">
        <f>设置!F35</f>
        <v>25</v>
      </c>
      <c r="BY6" s="156" t="str">
        <f>设置!F35 &amp;" - 历史记录"</f>
        <v>25 - 历史记录</v>
      </c>
      <c r="BZ6" s="156"/>
      <c r="CA6" s="100">
        <f>设置!F36</f>
        <v>26</v>
      </c>
      <c r="CB6" s="155" t="str">
        <f>设置!F36 &amp;" - 历史记录"</f>
        <v>26 - 历史记录</v>
      </c>
      <c r="CC6" s="155"/>
      <c r="CD6" s="101">
        <f>设置!F37</f>
        <v>27</v>
      </c>
      <c r="CE6" s="156" t="str">
        <f>设置!F37 &amp;" - 历史记录"</f>
        <v>27 - 历史记录</v>
      </c>
      <c r="CF6" s="156"/>
      <c r="CG6" s="100">
        <f>设置!F38</f>
        <v>28</v>
      </c>
      <c r="CH6" s="155" t="str">
        <f>设置!F38 &amp;" - 历史记录"</f>
        <v>28 - 历史记录</v>
      </c>
      <c r="CI6" s="155"/>
      <c r="CJ6" s="101">
        <f>设置!F39</f>
        <v>29</v>
      </c>
      <c r="CK6" s="156" t="str">
        <f>设置!F39 &amp;" - 历史记录"</f>
        <v>29 - 历史记录</v>
      </c>
      <c r="CL6" s="156"/>
      <c r="CM6" s="100">
        <f>设置!F40</f>
        <v>30</v>
      </c>
      <c r="CN6" s="155" t="str">
        <f>设置!F40 &amp;" - 历史记录"</f>
        <v>30 - 历史记录</v>
      </c>
      <c r="CO6" s="155"/>
      <c r="CP6" s="101">
        <f>设置!F41</f>
        <v>31</v>
      </c>
      <c r="CQ6" s="156" t="str">
        <f>设置!F41 &amp;" - 历史记录"</f>
        <v>31 - 历史记录</v>
      </c>
      <c r="CR6" s="156"/>
      <c r="CS6" s="100">
        <f>设置!F42</f>
        <v>32</v>
      </c>
      <c r="CT6" s="155" t="str">
        <f>设置!F42 &amp;" - 历史记录"</f>
        <v>32 - 历史记录</v>
      </c>
      <c r="CU6" s="155"/>
      <c r="CV6" s="101">
        <f>设置!F43</f>
        <v>33</v>
      </c>
      <c r="CW6" s="156" t="str">
        <f>设置!F43 &amp;" - 历史记录"</f>
        <v>33 - 历史记录</v>
      </c>
      <c r="CX6" s="156"/>
      <c r="CY6" s="100">
        <f>设置!F44</f>
        <v>34</v>
      </c>
      <c r="CZ6" s="155" t="str">
        <f>设置!F44 &amp;" - 历史记录"</f>
        <v>34 - 历史记录</v>
      </c>
      <c r="DA6" s="155"/>
      <c r="DB6" s="101">
        <f>设置!F45</f>
        <v>35</v>
      </c>
      <c r="DC6" s="156" t="str">
        <f>设置!F45 &amp;" - 历史记录"</f>
        <v>35 - 历史记录</v>
      </c>
      <c r="DD6" s="156"/>
      <c r="DE6" s="100">
        <f>设置!F46</f>
        <v>36</v>
      </c>
      <c r="DF6" s="155" t="str">
        <f>设置!F46 &amp;" - 历史记录"</f>
        <v>36 - 历史记录</v>
      </c>
      <c r="DG6" s="155"/>
      <c r="DH6" s="101">
        <f>设置!F47</f>
        <v>37</v>
      </c>
      <c r="DI6" s="156" t="str">
        <f>设置!F47 &amp;" - 历史记录"</f>
        <v>37 - 历史记录</v>
      </c>
      <c r="DJ6" s="156"/>
      <c r="DK6" s="100">
        <f>设置!F48</f>
        <v>38</v>
      </c>
      <c r="DL6" s="155" t="str">
        <f>设置!F48 &amp;" - 历史记录"</f>
        <v>38 - 历史记录</v>
      </c>
      <c r="DM6" s="155"/>
      <c r="DN6" s="101">
        <f>设置!F49</f>
        <v>39</v>
      </c>
      <c r="DO6" s="156" t="str">
        <f>设置!F49 &amp;" - 历史记录"</f>
        <v>39 - 历史记录</v>
      </c>
      <c r="DP6" s="156"/>
      <c r="DQ6" s="100">
        <f>设置!F50</f>
        <v>40</v>
      </c>
      <c r="DR6" s="155" t="str">
        <f>设置!F50 &amp;" - 历史记录"</f>
        <v>40 - 历史记录</v>
      </c>
      <c r="DS6" s="155"/>
      <c r="DT6" s="154" t="s">
        <v>72</v>
      </c>
      <c r="DU6" s="154"/>
      <c r="DV6" s="154"/>
      <c r="DW6" s="154"/>
      <c r="DX6" s="154"/>
      <c r="DY6" s="154" t="s">
        <v>88</v>
      </c>
      <c r="DZ6" s="154"/>
      <c r="EA6" s="154"/>
      <c r="EB6" s="154" t="s">
        <v>276</v>
      </c>
      <c r="EC6" s="154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125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100</v>
      </c>
      <c r="AO8" s="103" t="s">
        <v>101</v>
      </c>
      <c r="AP8" s="103" t="s">
        <v>99</v>
      </c>
      <c r="AQ8" s="103" t="s">
        <v>104</v>
      </c>
      <c r="AR8" s="103" t="s">
        <v>103</v>
      </c>
      <c r="AS8" s="103" t="s">
        <v>102</v>
      </c>
      <c r="AT8" s="103" t="s">
        <v>110</v>
      </c>
      <c r="AU8" s="103" t="s">
        <v>109</v>
      </c>
      <c r="AV8" s="103" t="s">
        <v>107</v>
      </c>
      <c r="AW8" s="103" t="s">
        <v>106</v>
      </c>
      <c r="AX8" s="103" t="s">
        <v>105</v>
      </c>
      <c r="AY8" s="103" t="s">
        <v>108</v>
      </c>
      <c r="AZ8" s="103" t="s">
        <v>113</v>
      </c>
      <c r="BA8" s="103" t="s">
        <v>112</v>
      </c>
      <c r="BB8" s="103" t="s">
        <v>111</v>
      </c>
      <c r="BC8" s="103" t="s">
        <v>114</v>
      </c>
      <c r="BD8" s="103" t="s">
        <v>115</v>
      </c>
      <c r="BE8" s="103" t="s">
        <v>116</v>
      </c>
      <c r="BF8" s="103" t="s">
        <v>117</v>
      </c>
      <c r="BG8" s="103" t="s">
        <v>118</v>
      </c>
      <c r="BH8" s="103" t="s">
        <v>119</v>
      </c>
      <c r="BI8" s="103" t="s">
        <v>120</v>
      </c>
      <c r="BJ8" s="103" t="s">
        <v>121</v>
      </c>
      <c r="BK8" s="103" t="s">
        <v>122</v>
      </c>
      <c r="BL8" s="103" t="s">
        <v>160</v>
      </c>
      <c r="BM8" s="103" t="s">
        <v>161</v>
      </c>
      <c r="BN8" s="103" t="s">
        <v>159</v>
      </c>
      <c r="BO8" s="103" t="s">
        <v>162</v>
      </c>
      <c r="BP8" s="103" t="s">
        <v>163</v>
      </c>
      <c r="BQ8" s="103" t="s">
        <v>164</v>
      </c>
      <c r="BR8" s="103" t="s">
        <v>165</v>
      </c>
      <c r="BS8" s="103" t="s">
        <v>166</v>
      </c>
      <c r="BT8" s="103" t="s">
        <v>167</v>
      </c>
      <c r="BU8" s="103" t="s">
        <v>168</v>
      </c>
      <c r="BV8" s="103" t="s">
        <v>169</v>
      </c>
      <c r="BW8" s="103" t="s">
        <v>170</v>
      </c>
      <c r="BX8" s="103" t="s">
        <v>171</v>
      </c>
      <c r="BY8" s="103" t="s">
        <v>172</v>
      </c>
      <c r="BZ8" s="103" t="s">
        <v>173</v>
      </c>
      <c r="CA8" s="103" t="s">
        <v>174</v>
      </c>
      <c r="CB8" s="103" t="s">
        <v>175</v>
      </c>
      <c r="CC8" s="103" t="s">
        <v>176</v>
      </c>
      <c r="CD8" s="103" t="s">
        <v>177</v>
      </c>
      <c r="CE8" s="103" t="s">
        <v>178</v>
      </c>
      <c r="CF8" s="103" t="s">
        <v>179</v>
      </c>
      <c r="CG8" s="103" t="s">
        <v>180</v>
      </c>
      <c r="CH8" s="103" t="s">
        <v>181</v>
      </c>
      <c r="CI8" s="103" t="s">
        <v>182</v>
      </c>
      <c r="CJ8" s="103" t="s">
        <v>183</v>
      </c>
      <c r="CK8" s="103" t="s">
        <v>184</v>
      </c>
      <c r="CL8" s="103" t="s">
        <v>185</v>
      </c>
      <c r="CM8" s="103" t="s">
        <v>186</v>
      </c>
      <c r="CN8" s="103" t="s">
        <v>187</v>
      </c>
      <c r="CO8" s="103" t="s">
        <v>188</v>
      </c>
      <c r="CP8" s="103" t="s">
        <v>189</v>
      </c>
      <c r="CQ8" s="103" t="s">
        <v>190</v>
      </c>
      <c r="CR8" s="103" t="s">
        <v>191</v>
      </c>
      <c r="CS8" s="103" t="s">
        <v>192</v>
      </c>
      <c r="CT8" s="103" t="s">
        <v>193</v>
      </c>
      <c r="CU8" s="103" t="s">
        <v>194</v>
      </c>
      <c r="CV8" s="103" t="s">
        <v>195</v>
      </c>
      <c r="CW8" s="103" t="s">
        <v>196</v>
      </c>
      <c r="CX8" s="103" t="s">
        <v>197</v>
      </c>
      <c r="CY8" s="103" t="s">
        <v>198</v>
      </c>
      <c r="CZ8" s="103" t="s">
        <v>199</v>
      </c>
      <c r="DA8" s="103" t="s">
        <v>200</v>
      </c>
      <c r="DB8" s="103" t="s">
        <v>201</v>
      </c>
      <c r="DC8" s="103" t="s">
        <v>202</v>
      </c>
      <c r="DD8" s="103" t="s">
        <v>203</v>
      </c>
      <c r="DE8" s="103" t="s">
        <v>204</v>
      </c>
      <c r="DF8" s="103" t="s">
        <v>205</v>
      </c>
      <c r="DG8" s="103" t="s">
        <v>206</v>
      </c>
      <c r="DH8" s="103" t="s">
        <v>208</v>
      </c>
      <c r="DI8" s="103" t="s">
        <v>209</v>
      </c>
      <c r="DJ8" s="103" t="s">
        <v>207</v>
      </c>
      <c r="DK8" s="103" t="s">
        <v>210</v>
      </c>
      <c r="DL8" s="103" t="s">
        <v>211</v>
      </c>
      <c r="DM8" s="103" t="s">
        <v>212</v>
      </c>
      <c r="DN8" s="103" t="s">
        <v>213</v>
      </c>
      <c r="DO8" s="103" t="s">
        <v>214</v>
      </c>
      <c r="DP8" s="103" t="s">
        <v>215</v>
      </c>
      <c r="DQ8" s="103" t="s">
        <v>216</v>
      </c>
      <c r="DR8" s="103" t="s">
        <v>217</v>
      </c>
      <c r="DS8" s="103" t="s">
        <v>218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231</v>
      </c>
      <c r="DU9" s="73" t="s">
        <v>232</v>
      </c>
      <c r="DV9" s="74" t="s">
        <v>10</v>
      </c>
      <c r="DW9" s="74" t="s">
        <v>127</v>
      </c>
      <c r="DX9" s="55"/>
      <c r="DY9" s="74" t="s">
        <v>286</v>
      </c>
      <c r="DZ9" s="74" t="s">
        <v>269</v>
      </c>
      <c r="EA9" s="74" t="s">
        <v>127</v>
      </c>
      <c r="EB9" s="92">
        <v>45268.505555555559</v>
      </c>
      <c r="EC9" s="113"/>
      <c r="ED9" s="137" t="s">
        <v>291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281</v>
      </c>
      <c r="DU10" s="73" t="s">
        <v>282</v>
      </c>
      <c r="DV10" s="74" t="s">
        <v>11</v>
      </c>
      <c r="DW10" s="74" t="s">
        <v>127</v>
      </c>
      <c r="DX10" s="55"/>
      <c r="DY10" s="74" t="s">
        <v>287</v>
      </c>
      <c r="DZ10" s="74"/>
      <c r="EA10" s="74"/>
      <c r="EB10" s="92">
        <v>45268.505555555559</v>
      </c>
      <c r="EC10" s="113"/>
      <c r="ED10" s="137" t="s">
        <v>291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923925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1123950</xdr:colOff>
                    <xdr:row>5</xdr:row>
                    <xdr:rowOff>95250</xdr:rowOff>
                  </from>
                  <to>
                    <xdr:col>2</xdr:col>
                    <xdr:colOff>1943100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8" customWidth="1"/>
    <col min="48" max="48" width="2.7109375" style="61" customWidth="1"/>
    <col min="49" max="49" width="14.7109375" style="61" hidden="1" customWidth="1"/>
    <col min="50" max="50" width="8.7109375" style="61" hidden="1" customWidth="1"/>
    <col min="51" max="51" width="20.7109375" style="61" hidden="1" customWidth="1"/>
    <col min="52" max="52" width="0" style="61" hidden="1" customWidth="1"/>
    <col min="53" max="16384" width="9.140625" style="61" hidden="1"/>
  </cols>
  <sheetData>
    <row r="1" spans="2:47" s="109" customFormat="1" ht="6" customHeight="1" x14ac:dyDescent="0.25"/>
    <row r="2" spans="2:47" s="60" customFormat="1" ht="54.95" customHeight="1" x14ac:dyDescent="0.25">
      <c r="B2" s="59" t="str">
        <f>设置!D7 &amp;" - 历史记录"</f>
        <v>Yi - 历史记录</v>
      </c>
      <c r="D2" s="110"/>
    </row>
    <row r="3" spans="2:47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</row>
    <row r="4" spans="2:47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</row>
    <row r="5" spans="2:47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</row>
    <row r="6" spans="2:47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4" t="s">
        <v>83</v>
      </c>
      <c r="AS6" s="154"/>
      <c r="AT6" s="154"/>
      <c r="AU6" s="154"/>
    </row>
    <row r="7" spans="2:47" s="102" customFormat="1" ht="8.1" customHeight="1" x14ac:dyDescent="0.2"/>
    <row r="8" spans="2:47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91</v>
      </c>
      <c r="Q8" s="103" t="s">
        <v>92</v>
      </c>
      <c r="R8" s="103" t="s">
        <v>93</v>
      </c>
      <c r="S8" s="103" t="s">
        <v>94</v>
      </c>
      <c r="T8" s="103" t="s">
        <v>95</v>
      </c>
      <c r="U8" s="103" t="s">
        <v>96</v>
      </c>
      <c r="V8" s="103" t="s">
        <v>97</v>
      </c>
      <c r="W8" s="103" t="s">
        <v>98</v>
      </c>
      <c r="X8" s="103" t="s">
        <v>140</v>
      </c>
      <c r="Y8" s="103" t="s">
        <v>141</v>
      </c>
      <c r="Z8" s="103" t="s">
        <v>142</v>
      </c>
      <c r="AA8" s="103" t="s">
        <v>143</v>
      </c>
      <c r="AB8" s="103" t="s">
        <v>144</v>
      </c>
      <c r="AC8" s="103" t="s">
        <v>145</v>
      </c>
      <c r="AD8" s="103" t="s">
        <v>146</v>
      </c>
      <c r="AE8" s="103" t="s">
        <v>147</v>
      </c>
      <c r="AF8" s="103" t="s">
        <v>148</v>
      </c>
      <c r="AG8" s="103" t="s">
        <v>149</v>
      </c>
      <c r="AH8" s="103" t="s">
        <v>139</v>
      </c>
      <c r="AI8" s="103" t="s">
        <v>150</v>
      </c>
      <c r="AJ8" s="103" t="s">
        <v>151</v>
      </c>
      <c r="AK8" s="103" t="s">
        <v>152</v>
      </c>
      <c r="AL8" s="103" t="s">
        <v>153</v>
      </c>
      <c r="AM8" s="103" t="s">
        <v>154</v>
      </c>
      <c r="AN8" s="103" t="s">
        <v>155</v>
      </c>
      <c r="AO8" s="103" t="s">
        <v>156</v>
      </c>
      <c r="AP8" s="103" t="s">
        <v>157</v>
      </c>
      <c r="AQ8" s="103" t="s">
        <v>158</v>
      </c>
      <c r="AR8" s="103" t="s">
        <v>5</v>
      </c>
      <c r="AS8" s="103" t="s">
        <v>4</v>
      </c>
      <c r="AT8" s="103" t="s">
        <v>6</v>
      </c>
      <c r="AU8" s="103" t="s">
        <v>7</v>
      </c>
    </row>
    <row r="9" spans="2:47" ht="39.75" customHeight="1" x14ac:dyDescent="0.25">
      <c r="B9" s="56" cm="1">
        <f t="array" ref="B9">SN</f>
        <v>1</v>
      </c>
      <c r="C9" s="75" t="s">
        <v>289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291</v>
      </c>
    </row>
    <row r="10" spans="2:47" ht="39.950000000000003" customHeight="1" x14ac:dyDescent="0.25">
      <c r="B10" s="54" cm="1">
        <f t="array" ref="B10">SN</f>
        <v>2</v>
      </c>
      <c r="C10" s="127" t="s">
        <v>288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291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2023-12-15T17:36:51Z</cp:lastPrinted>
  <dcterms:created xsi:type="dcterms:W3CDTF">2023-11-27T09:49:08Z</dcterms:created>
  <dcterms:modified xsi:type="dcterms:W3CDTF">2023-12-16T07:31:47Z</dcterms:modified>
</cp:coreProperties>
</file>