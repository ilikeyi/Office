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F7189924-131B-45BB-AC02-99C18307C631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<sst xmlns="http://schemas.openxmlformats.org/spreadsheetml/2006/main" count="387" uniqueCount="317">
  <si>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</si>
  <si>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</si>
  <si>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</si>
  <si>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</si>
  <si>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</si>
  <si>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</si>
  <si>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</si>
  <si>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</si>
  <si>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</si>
  <si>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</si>
  <si>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</si>
  <si>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</si>
  <si>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</si>
  <si>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</si>
  <si>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</si>
  <si>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</si>
  <si>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</si>
  <si>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</si>
  <si>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</si>
  <si>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</si>
  <si>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</si>
  <si>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</si>
  <si>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</si>
  <si>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</si>
  <si>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</si>
  <si>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</si>
  <si>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</si>
  <si>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</si>
  <si>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</si>
  <si>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</si>
  <si>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</si>
  <si>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</si>
  <si>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</si>
  <si>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</si>
  <si>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</si>
  <si>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</si>
  <si>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</si>
  <si>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</si>
  <si>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</si>
  <si>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</si>
  <si>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</si>
  <si>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</si>
  <si>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</si>
  <si>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</si>
  <si>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</si>
  <si>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</si>
  <si>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</si>
  <si>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</si>
  <si>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</si>
  <si>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</si>
  <si>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</si>
  <si>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</si>
  <si>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</si>
  <si>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</si>
  <si>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</si>
  <si>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</si>
  <si>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</si>
  <si>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</si>
  <si>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</si>
  <si>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</si>
  <si>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</si>
  <si>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</si>
  <si>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</si>
  <si>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</si>
  <si>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</si>
  <si>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</si>
  <si>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</si>
  <si>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</si>
  <si>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</si>
  <si>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</si>
  <si>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</si>
  <si>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</si>
  <si>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</si>
  <si>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</si>
  <si>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</si>
  <si>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</si>
  <si>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</si>
  <si>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</si>
  <si>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</si>
  <si>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</si>
  <si>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</si>
  <si>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</si>
  <si>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</si>
  <si>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</si>
  <si>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</si>
  <si>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</si>
  <si>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</si>
  <si>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</si>
  <si>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</si>
  <si>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</si>
  <si>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</si>
  <si>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</si>
  <si>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</si>
  <si>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</si>
  <si>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</si>
  <si>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</si>
  <si>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</si>
  <si>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</si>
  <si>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</si>
  <si>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</si>
  <si>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</si>
  <si>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</si>
  <si>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</si>
  <si>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</si>
  <si>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</si>
  <si>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</si>
  <si>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</si>
  <si>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</si>
  <si>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</si>
  <si>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</si>
  <si>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</si>
  <si>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</si>
  <si>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</si>
  <si>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</si>
  <si>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</si>
  <si>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</si>
  <si>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</si>
  <si>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</si>
  <si>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</si>
  <si>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</si>
  <si>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</si>
  <si>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</si>
  <si>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</si>
  <si>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</si>
  <si>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</si>
  <si>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</si>
  <si>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</si>
  <si>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</si>
  <si>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</si>
  <si>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</si>
  <si>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</si>
  <si>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</si>
  <si>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</si>
  <si>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</si>
  <si>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</si>
  <si>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</si>
  <si>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</si>
  <si>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</si>
  <si>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</si>
  <si>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</si>
  <si>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</si>
  <si>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</si>
  <si>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</si>
  <si>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</si>
  <si>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</si>
  <si>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</si>
  <si>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</si>
  <si>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</si>
  <si>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</si>
  <si>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</si>
  <si>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</si>
  <si>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</si>
  <si>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</si>
  <si>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</si>
  <si>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</si>
  <si>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</si>
  <si>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</si>
  <si>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</si>
  <si>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</si>
  <si>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</si>
  <si>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</si>
  <si>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</si>
  <si>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</si>
  <si>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</si>
  <si>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</si>
  <si>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</si>
  <si>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</si>
  <si>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</si>
  <si>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</si>
  <si>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</si>
  <si>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</si>
  <si>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</si>
  <si>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</si>
  <si>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</si>
  <si>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</si>
  <si>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</si>
  <si>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</si>
  <si>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</si>
  <si>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</si>
  <si>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</si>
  <si>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</si>
  <si>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</si>
  <si>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</si>
  <si>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</si>
  <si>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</si>
  <si>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</si>
  <si>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</si>
  <si>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</si>
  <si>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</si>
  <si>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</si>
  <si>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</si>
  <si>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</si>
  <si>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</si>
  <si>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</si>
  <si>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</si>
  <si>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</si>
  <si>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</si>
  <si>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</si>
  <si>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</si>
  <si>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</si>
  <si>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</si>
  <si>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</si>
  <si>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</si>
  <si>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</si>
  <si>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</si>
  <si>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</si>
  <si>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</si>
  <si>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</si>
  <si>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</si>
  <si>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</si>
  <si>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</si>
  <si>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</si>
  <si>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</si>
  <si>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</si>
  <si>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</si>
  <si>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</si>
  <si>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</si>
  <si>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</si>
  <si>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</si>
  <si>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</si>
  <si>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</si>
  <si>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</si>
  <si>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</si>
  <si>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</si>
  <si>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</si>
  <si>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</si>
  <si>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</si>
  <si>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</si>
  <si>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</si>
  <si>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</si>
  <si>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</si>
  <si>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</si>
  <si>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</si>
  <si>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</si>
  <si>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</si>
  <si>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</si>
  <si>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</si>
  <si>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</si>
  <si>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</si>
  <si>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</si>
  <si>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</si>
  <si>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</si>
  <si>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</si>
  <si>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</si>
  <si>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</si>
  <si>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</si>
  <si>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</si>
  <si>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</si>
  <si>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</si>
  <si>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</si>
  <si>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</si>
  <si>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</si>
  <si>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</si>
  <si>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</si>
  <si>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</si>
  <si>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</si>
  <si>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</si>
  <si>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</si>
  <si>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</si>
  <si>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</si>
  <si>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</si>
  <si>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</si>
  <si>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</si>
  <si>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</si>
  <si>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</si>
  <si>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</si>
  <si>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</si>
  <si>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</si>
  <si>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</si>
  <si>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</si>
  <si>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</si>
  <si>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</si>
  <si>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</si>
  <si>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</si>
  <si>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</si>
  <si>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</si>
  <si>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</si>
  <si>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</si>
  <si>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</si>
  <si>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</si>
  <si>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</si>
  <si>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</si>
  <si>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</si>
  <si>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</si>
  <si>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</si>
  <si>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</si>
  <si>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</si>
  <si>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</si>
  <si>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</si>
  <si>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</si>
  <si>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</si>
  <si>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</si>
  <si>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</si>
  <si>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</si>
  <si>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</si>
  <si>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</si>
  <si>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</si>
  <si>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</si>
  <si>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</si>
  <si>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</si>
  <si>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</si>
  <si>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</si>
  <si>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</si>
  <si>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</si>
  <si>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</si>
  <si>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</si>
  <si>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</si>
  <si>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</si>
  <si>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</si>
  <si>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</si>
  <si>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</si>
  <si>
    <t>添加后允许
新增历史记录存入</t>
  </si>
  <si>
    <t>入库取货必填单位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</si>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</sst>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7030A0"/>
      <color rgb="FFDF4C26"/>
      <color rgb="FFF4F3EE"/>
      <color rgb="FFFFC000"/>
      <color rgb="FFFFD966"/>
      <color rgb="FFA9D08E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53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25504</xdr:rowOff>
    </xdr:from>
    <xdr:to>
      <xdr:col>15</xdr:col>
      <xdr:colOff>1262</xdr:colOff>
      <xdr:row>59</xdr:row>
      <xdr:rowOff>1786682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9381554"/>
          <a:ext cx="7132320" cy="1761178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26717</xdr:rowOff>
    </xdr:from>
    <xdr:to>
      <xdr:col>15</xdr:col>
      <xdr:colOff>1262</xdr:colOff>
      <xdr:row>56</xdr:row>
      <xdr:rowOff>2079820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FEF35F0-9301-4AC7-A816-5F1930373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6115692"/>
          <a:ext cx="7132320" cy="20531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7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269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243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305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259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1</v>
      </c>
      <c r="D11" s="46" t="s">
        <v>266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-1</v>
      </c>
      <c r="D12" s="46" t="s">
        <v>306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thickBot="1" x14ac:dyDescent="0.3">
      <c r="B14" s="1"/>
      <c r="C14" s="50"/>
      <c r="D14" s="50" t="s">
        <v>133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1"/>
    </row>
    <row r="15" spans="1:17" ht="39.950000000000003" customHeight="1" thickTop="1" x14ac:dyDescent="0.25">
      <c r="B15" s="1"/>
      <c r="C15" s="1">
        <v>1</v>
      </c>
      <c r="D15" s="1" t="s">
        <v>135</v>
      </c>
      <c r="E15" s="21" t="s">
        <v>136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237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1" t="s">
        <v>254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20.100000000000001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297</v>
      </c>
      <c r="E19" s="21" t="s">
        <v>238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239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1" t="s">
        <v>255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20.100000000000001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122</v>
      </c>
      <c r="E23" s="21" t="s">
        <v>295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26</v>
      </c>
      <c r="E24" s="21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88</v>
      </c>
      <c r="E25" s="85">
        <v>1</v>
      </c>
      <c r="F25" s="86" t="s">
        <v>240</v>
      </c>
      <c r="G25" s="1"/>
      <c r="H25" s="85">
        <v>1</v>
      </c>
      <c r="I25" s="86" t="s">
        <v>309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0</v>
      </c>
      <c r="F26" s="86" t="s">
        <v>83</v>
      </c>
      <c r="G26" s="1"/>
      <c r="H26" s="85">
        <v>-0.01</v>
      </c>
      <c r="I26" s="86" t="s">
        <v>308</v>
      </c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>
        <v>-0.01</v>
      </c>
      <c r="F27" s="86" t="s">
        <v>84</v>
      </c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85"/>
      <c r="F28" s="86"/>
      <c r="G28" s="1"/>
      <c r="H28" s="85"/>
      <c r="I28" s="117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307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81</v>
      </c>
      <c r="E30" s="21" t="s">
        <v>290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291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313</v>
      </c>
      <c r="E33" s="21" t="s">
        <v>315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316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21" t="s">
        <v>314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20.100000000000001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137</v>
      </c>
      <c r="E37" s="21" t="s">
        <v>298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/>
      <c r="D38" s="1"/>
      <c r="E38" s="21" t="s">
        <v>299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20.100000000000001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5.1" customHeight="1" x14ac:dyDescent="0.25">
      <c r="B40" s="1"/>
      <c r="C40" s="1">
        <v>1</v>
      </c>
      <c r="D40" s="1" t="s">
        <v>302</v>
      </c>
      <c r="E40" s="21" t="s">
        <v>303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235</v>
      </c>
      <c r="E41" s="21" t="s">
        <v>304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>
        <v>1</v>
      </c>
      <c r="D42" s="1" t="s">
        <v>236</v>
      </c>
      <c r="E42" s="21" t="s">
        <v>301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>
        <v>1</v>
      </c>
      <c r="D43" s="1" t="s">
        <v>288</v>
      </c>
      <c r="E43" s="21" t="s">
        <v>292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>
        <v>1</v>
      </c>
      <c r="D44" s="1" t="s">
        <v>252</v>
      </c>
      <c r="E44" s="21" t="s">
        <v>253</v>
      </c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>
        <v>1</v>
      </c>
      <c r="D45" s="1" t="s">
        <v>274</v>
      </c>
      <c r="E45" s="21" t="s">
        <v>294</v>
      </c>
      <c r="F45" s="2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1"/>
      <c r="E46" s="21" t="s">
        <v>293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950000000000003" customHeight="1" x14ac:dyDescent="0.25">
      <c r="B47" s="1"/>
      <c r="C47" s="1"/>
      <c r="D47" s="1"/>
      <c r="E47" s="21" t="s">
        <v>300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950000000000003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50"/>
      <c r="D49" s="51" t="s">
        <v>244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50"/>
      <c r="P49" s="1"/>
    </row>
    <row r="50" spans="2:16" ht="39.75" customHeight="1" thickTop="1" x14ac:dyDescent="0.25">
      <c r="B50" s="1"/>
      <c r="C50" s="119">
        <v>1</v>
      </c>
      <c r="D50" s="46" t="s">
        <v>277</v>
      </c>
      <c r="E50" s="119"/>
      <c r="F50" s="118"/>
      <c r="G50" s="119"/>
      <c r="H50" s="119"/>
      <c r="I50" s="119"/>
      <c r="J50" s="119"/>
      <c r="K50" s="119"/>
      <c r="L50" s="119"/>
      <c r="M50" s="119"/>
      <c r="N50" s="119"/>
      <c r="O50" s="119"/>
      <c r="P50" s="1"/>
    </row>
    <row r="51" spans="2:16" ht="39.75" customHeight="1" x14ac:dyDescent="0.25">
      <c r="B51" s="1"/>
      <c r="C51" s="119">
        <v>1</v>
      </c>
      <c r="D51" s="46" t="s">
        <v>296</v>
      </c>
      <c r="E51" s="119"/>
      <c r="F51" s="118"/>
      <c r="G51" s="119"/>
      <c r="H51" s="119"/>
      <c r="I51" s="119"/>
      <c r="J51" s="119"/>
      <c r="K51" s="119"/>
      <c r="L51" s="119"/>
      <c r="M51" s="119"/>
      <c r="N51" s="119"/>
      <c r="O51" s="119"/>
      <c r="P51" s="1"/>
    </row>
    <row r="52" spans="2:16" ht="39.950000000000003" customHeight="1" x14ac:dyDescent="0.25">
      <c r="B52" s="1"/>
      <c r="C52" s="1">
        <v>0</v>
      </c>
      <c r="D52" s="46" t="s">
        <v>256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thickBot="1" x14ac:dyDescent="0.3">
      <c r="B53" s="1"/>
      <c r="C53" s="1"/>
      <c r="D53" s="53" t="s">
        <v>245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48"/>
      <c r="P53" s="1"/>
    </row>
    <row r="54" spans="2:16" ht="146.2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.100000000000001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thickBot="1" x14ac:dyDescent="0.3">
      <c r="B56" s="1"/>
      <c r="C56" s="1"/>
      <c r="D56" s="53" t="s">
        <v>249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48"/>
      <c r="P56" s="1"/>
    </row>
    <row r="57" spans="2:16" ht="164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20.100000000000001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39.950000000000003" customHeight="1" thickBot="1" x14ac:dyDescent="0.3">
      <c r="B59" s="1"/>
      <c r="C59" s="1"/>
      <c r="D59" s="53" t="s">
        <v>250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48"/>
      <c r="P59" s="1"/>
    </row>
    <row r="60" spans="2:16" ht="141.75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0.100000000000001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39.75" customHeight="1" thickBot="1" x14ac:dyDescent="0.3">
      <c r="B62" s="1"/>
      <c r="C62" s="1"/>
      <c r="D62" s="53" t="s">
        <v>246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48"/>
      <c r="P62" s="1"/>
    </row>
    <row r="63" spans="2:16" ht="39.950000000000003" customHeight="1" x14ac:dyDescent="0.25">
      <c r="B63" s="1"/>
      <c r="C63" s="1"/>
      <c r="D63" s="47" t="s">
        <v>247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2:16" ht="39.950000000000003" customHeight="1" x14ac:dyDescent="0.25">
      <c r="B64" s="1"/>
      <c r="C64" s="1"/>
      <c r="D64" s="47" t="s">
        <v>248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ht="216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ht="14.1" customHeight="1" x14ac:dyDescent="0.25"/>
    <row r="68" spans="2:16" ht="39.950000000000003" hidden="1" customHeight="1" x14ac:dyDescent="0.25"/>
    <row r="69" spans="2:16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251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218</v>
      </c>
      <c r="D9" s="27"/>
      <c r="E9" s="27"/>
      <c r="F9" s="27"/>
      <c r="G9" s="112" t="s">
        <v>276</v>
      </c>
      <c r="H9" s="154" t="s">
        <v>224</v>
      </c>
      <c r="I9" s="154"/>
      <c r="J9" s="154"/>
      <c r="K9" s="155" t="s">
        <v>241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223</v>
      </c>
      <c r="F10" s="28" t="s">
        <v>41</v>
      </c>
      <c r="G10" s="113" t="s">
        <v>275</v>
      </c>
      <c r="H10" s="28" t="s">
        <v>233</v>
      </c>
      <c r="I10" s="28" t="s">
        <v>257</v>
      </c>
      <c r="J10" s="28" t="s">
        <v>258</v>
      </c>
      <c r="K10" s="28" t="s">
        <v>222</v>
      </c>
      <c r="L10" s="28" t="s">
        <v>242</v>
      </c>
      <c r="M10" s="28" t="s">
        <v>225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6" t="s">
        <v>281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280</v>
      </c>
      <c r="E53" s="127" t="s">
        <v>281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127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128</v>
      </c>
      <c r="E57" s="65" t="s">
        <v>129</v>
      </c>
      <c r="F57" s="65" t="s">
        <v>129</v>
      </c>
      <c r="G57" s="65" t="s">
        <v>129</v>
      </c>
      <c r="H57" s="65" t="s">
        <v>129</v>
      </c>
      <c r="I57" s="65" t="s">
        <v>129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311</v>
      </c>
      <c r="D58" s="65" t="s">
        <v>129</v>
      </c>
      <c r="E58" s="74" t="s">
        <v>265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226</v>
      </c>
      <c r="D60" s="126" t="s">
        <v>227</v>
      </c>
      <c r="E60" s="126" t="s">
        <v>228</v>
      </c>
      <c r="F60" s="126" t="s">
        <v>229</v>
      </c>
      <c r="G60" s="126" t="s">
        <v>261</v>
      </c>
      <c r="H60" s="126" t="s">
        <v>262</v>
      </c>
      <c r="I60" s="126" t="s">
        <v>263</v>
      </c>
      <c r="J60" s="126" t="s">
        <v>264</v>
      </c>
      <c r="K60" s="126"/>
      <c r="L60" s="126"/>
      <c r="M60" s="126"/>
    </row>
    <row r="61" spans="2:13" ht="39.950000000000003" customHeight="1" x14ac:dyDescent="0.25">
      <c r="B61" s="26"/>
      <c r="C61" s="27" t="s">
        <v>312</v>
      </c>
      <c r="D61" s="65" t="s">
        <v>128</v>
      </c>
      <c r="E61" s="74" t="s">
        <v>271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219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260</v>
      </c>
      <c r="C65" s="27" t="s">
        <v>270</v>
      </c>
      <c r="D65" s="145" t="s">
        <v>234</v>
      </c>
      <c r="E65" s="145" t="s">
        <v>220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268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276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132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130</v>
      </c>
      <c r="C73" s="36" t="s">
        <v>131</v>
      </c>
      <c r="D73" s="45"/>
      <c r="E73" s="45"/>
    </row>
    <row r="74" spans="2:13" ht="39.950000000000003" customHeight="1" x14ac:dyDescent="0.25">
      <c r="B74" s="31" t="s">
        <v>123</v>
      </c>
      <c r="C74" s="36" t="s">
        <v>310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86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218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232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221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226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272</v>
      </c>
      <c r="D17" s="11" t="s">
        <v>6</v>
      </c>
      <c r="E17" s="33" t="s">
        <v>281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2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221</v>
      </c>
      <c r="F6" s="6" t="s">
        <v>226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282</v>
      </c>
      <c r="D7" s="55" t="s">
        <v>234</v>
      </c>
      <c r="E7" s="16"/>
      <c r="F7" s="19"/>
      <c r="G7" s="87">
        <v>45268.505555555559</v>
      </c>
      <c r="H7" s="55" t="s">
        <v>281</v>
      </c>
      <c r="I7" s="132" t="s">
        <v>287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85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125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272</v>
      </c>
      <c r="D20" s="63" t="s">
        <v>6</v>
      </c>
      <c r="E20" s="7" t="s">
        <v>281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2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6" t="str">
        <f>设置!F11 &amp;" - 历史记录"</f>
        <v>1 - 历史记录</v>
      </c>
      <c r="F6" s="156"/>
      <c r="G6" s="95">
        <f>设置!F12</f>
        <v>2</v>
      </c>
      <c r="H6" s="157" t="str">
        <f>设置!F12 &amp;" - 历史记录"</f>
        <v>2 - 历史记录</v>
      </c>
      <c r="I6" s="157"/>
      <c r="J6" s="94">
        <f>设置!F13</f>
        <v>3</v>
      </c>
      <c r="K6" s="156" t="str">
        <f>设置!F13 &amp;" - 历史记录"</f>
        <v>3 - 历史记录</v>
      </c>
      <c r="L6" s="156"/>
      <c r="M6" s="95">
        <f>设置!F14</f>
        <v>4</v>
      </c>
      <c r="N6" s="157" t="str">
        <f>设置!F14 &amp;" - 历史记录"</f>
        <v>4 - 历史记录</v>
      </c>
      <c r="O6" s="157"/>
      <c r="P6" s="94">
        <f>设置!F15</f>
        <v>5</v>
      </c>
      <c r="Q6" s="156" t="str">
        <f>设置!F15 &amp;" - 历史记录"</f>
        <v>5 - 历史记录</v>
      </c>
      <c r="R6" s="156"/>
      <c r="S6" s="95">
        <f>设置!F16</f>
        <v>6</v>
      </c>
      <c r="T6" s="157" t="str">
        <f>设置!F16 &amp;" - 历史记录"</f>
        <v>6 - 历史记录</v>
      </c>
      <c r="U6" s="157"/>
      <c r="V6" s="94">
        <f>设置!F17</f>
        <v>7</v>
      </c>
      <c r="W6" s="156" t="str">
        <f>设置!F17 &amp;" - 历史记录"</f>
        <v>7 - 历史记录</v>
      </c>
      <c r="X6" s="156"/>
      <c r="Y6" s="95">
        <f>设置!F18</f>
        <v>8</v>
      </c>
      <c r="Z6" s="157" t="str">
        <f>设置!F18 &amp;" - 历史记录"</f>
        <v>8 - 历史记录</v>
      </c>
      <c r="AA6" s="157"/>
      <c r="AB6" s="94">
        <f>设置!F19</f>
        <v>9</v>
      </c>
      <c r="AC6" s="156" t="str">
        <f>设置!F19 &amp;" - 历史记录"</f>
        <v>9 - 历史记录</v>
      </c>
      <c r="AD6" s="156"/>
      <c r="AE6" s="95">
        <f>设置!F20</f>
        <v>10</v>
      </c>
      <c r="AF6" s="157" t="str">
        <f>设置!F20 &amp;" - 历史记录"</f>
        <v>10 - 历史记录</v>
      </c>
      <c r="AG6" s="157"/>
      <c r="AH6" s="94">
        <f>设置!F21</f>
        <v>11</v>
      </c>
      <c r="AI6" s="156" t="str">
        <f>设置!F21 &amp;" - 历史记录"</f>
        <v>11 - 历史记录</v>
      </c>
      <c r="AJ6" s="156"/>
      <c r="AK6" s="95">
        <f>设置!F22</f>
        <v>12</v>
      </c>
      <c r="AL6" s="157" t="str">
        <f>设置!F22 &amp;" - 历史记录"</f>
        <v>12 - 历史记录</v>
      </c>
      <c r="AM6" s="157"/>
      <c r="AN6" s="94">
        <f>设置!F23</f>
        <v>13</v>
      </c>
      <c r="AO6" s="156" t="str">
        <f>设置!F23 &amp;" - 历史记录"</f>
        <v>13 - 历史记录</v>
      </c>
      <c r="AP6" s="156"/>
      <c r="AQ6" s="95">
        <f>设置!F24</f>
        <v>14</v>
      </c>
      <c r="AR6" s="157" t="str">
        <f>设置!F24 &amp;" - 历史记录"</f>
        <v>14 - 历史记录</v>
      </c>
      <c r="AS6" s="157"/>
      <c r="AT6" s="94">
        <f>设置!F25</f>
        <v>15</v>
      </c>
      <c r="AU6" s="156" t="str">
        <f>设置!F25 &amp;" - 历史记录"</f>
        <v>15 - 历史记录</v>
      </c>
      <c r="AV6" s="156"/>
      <c r="AW6" s="95">
        <f>设置!F26</f>
        <v>16</v>
      </c>
      <c r="AX6" s="157" t="str">
        <f>设置!F26 &amp;" - 历史记录"</f>
        <v>16 - 历史记录</v>
      </c>
      <c r="AY6" s="157"/>
      <c r="AZ6" s="94">
        <f>设置!F27</f>
        <v>17</v>
      </c>
      <c r="BA6" s="156" t="str">
        <f>设置!F27 &amp;" - 历史记录"</f>
        <v>17 - 历史记录</v>
      </c>
      <c r="BB6" s="156"/>
      <c r="BC6" s="95">
        <f>设置!F28</f>
        <v>18</v>
      </c>
      <c r="BD6" s="157" t="str">
        <f>设置!F28 &amp;" - 历史记录"</f>
        <v>18 - 历史记录</v>
      </c>
      <c r="BE6" s="157"/>
      <c r="BF6" s="94">
        <f>设置!F29</f>
        <v>19</v>
      </c>
      <c r="BG6" s="156" t="str">
        <f>设置!F29 &amp;" - 历史记录"</f>
        <v>19 - 历史记录</v>
      </c>
      <c r="BH6" s="156"/>
      <c r="BI6" s="95">
        <f>设置!F30</f>
        <v>20</v>
      </c>
      <c r="BJ6" s="157" t="str">
        <f>设置!F30 &amp;" - 历史记录"</f>
        <v>20 - 历史记录</v>
      </c>
      <c r="BK6" s="157"/>
      <c r="BL6" s="96">
        <f>设置!F31</f>
        <v>21</v>
      </c>
      <c r="BM6" s="158" t="str">
        <f>设置!F31 &amp;" - 历史记录"</f>
        <v>21 - 历史记录</v>
      </c>
      <c r="BN6" s="158"/>
      <c r="BO6" s="95">
        <f>设置!F32</f>
        <v>22</v>
      </c>
      <c r="BP6" s="157" t="str">
        <f>设置!F32 &amp;" - 历史记录"</f>
        <v>22 - 历史记录</v>
      </c>
      <c r="BQ6" s="157"/>
      <c r="BR6" s="96">
        <f>设置!F33</f>
        <v>23</v>
      </c>
      <c r="BS6" s="158" t="str">
        <f>设置!F33 &amp;" - 历史记录"</f>
        <v>23 - 历史记录</v>
      </c>
      <c r="BT6" s="158"/>
      <c r="BU6" s="95">
        <f>设置!F34</f>
        <v>24</v>
      </c>
      <c r="BV6" s="157" t="str">
        <f>设置!F34 &amp;" - 历史记录"</f>
        <v>24 - 历史记录</v>
      </c>
      <c r="BW6" s="157"/>
      <c r="BX6" s="96">
        <f>设置!F35</f>
        <v>25</v>
      </c>
      <c r="BY6" s="158" t="str">
        <f>设置!F35 &amp;" - 历史记录"</f>
        <v>25 - 历史记录</v>
      </c>
      <c r="BZ6" s="158"/>
      <c r="CA6" s="95">
        <f>设置!F36</f>
        <v>26</v>
      </c>
      <c r="CB6" s="157" t="str">
        <f>设置!F36 &amp;" - 历史记录"</f>
        <v>26 - 历史记录</v>
      </c>
      <c r="CC6" s="157"/>
      <c r="CD6" s="96">
        <f>设置!F37</f>
        <v>27</v>
      </c>
      <c r="CE6" s="158" t="str">
        <f>设置!F37 &amp;" - 历史记录"</f>
        <v>27 - 历史记录</v>
      </c>
      <c r="CF6" s="158"/>
      <c r="CG6" s="95">
        <f>设置!F38</f>
        <v>28</v>
      </c>
      <c r="CH6" s="157" t="str">
        <f>设置!F38 &amp;" - 历史记录"</f>
        <v>28 - 历史记录</v>
      </c>
      <c r="CI6" s="157"/>
      <c r="CJ6" s="96">
        <f>设置!F39</f>
        <v>29</v>
      </c>
      <c r="CK6" s="158" t="str">
        <f>设置!F39 &amp;" - 历史记录"</f>
        <v>29 - 历史记录</v>
      </c>
      <c r="CL6" s="158"/>
      <c r="CM6" s="95">
        <f>设置!F40</f>
        <v>30</v>
      </c>
      <c r="CN6" s="157" t="str">
        <f>设置!F40 &amp;" - 历史记录"</f>
        <v>30 - 历史记录</v>
      </c>
      <c r="CO6" s="157"/>
      <c r="CP6" s="96">
        <f>设置!F41</f>
        <v>31</v>
      </c>
      <c r="CQ6" s="158" t="str">
        <f>设置!F41 &amp;" - 历史记录"</f>
        <v>31 - 历史记录</v>
      </c>
      <c r="CR6" s="158"/>
      <c r="CS6" s="95">
        <f>设置!F42</f>
        <v>32</v>
      </c>
      <c r="CT6" s="157" t="str">
        <f>设置!F42 &amp;" - 历史记录"</f>
        <v>32 - 历史记录</v>
      </c>
      <c r="CU6" s="157"/>
      <c r="CV6" s="96">
        <f>设置!F43</f>
        <v>33</v>
      </c>
      <c r="CW6" s="158" t="str">
        <f>设置!F43 &amp;" - 历史记录"</f>
        <v>33 - 历史记录</v>
      </c>
      <c r="CX6" s="158"/>
      <c r="CY6" s="95">
        <f>设置!F44</f>
        <v>34</v>
      </c>
      <c r="CZ6" s="157" t="str">
        <f>设置!F44 &amp;" - 历史记录"</f>
        <v>34 - 历史记录</v>
      </c>
      <c r="DA6" s="157"/>
      <c r="DB6" s="96">
        <f>设置!F45</f>
        <v>35</v>
      </c>
      <c r="DC6" s="158" t="str">
        <f>设置!F45 &amp;" - 历史记录"</f>
        <v>35 - 历史记录</v>
      </c>
      <c r="DD6" s="158"/>
      <c r="DE6" s="95">
        <f>设置!F46</f>
        <v>36</v>
      </c>
      <c r="DF6" s="157" t="str">
        <f>设置!F46 &amp;" - 历史记录"</f>
        <v>36 - 历史记录</v>
      </c>
      <c r="DG6" s="157"/>
      <c r="DH6" s="96">
        <f>设置!F47</f>
        <v>37</v>
      </c>
      <c r="DI6" s="158" t="str">
        <f>设置!F47 &amp;" - 历史记录"</f>
        <v>37 - 历史记录</v>
      </c>
      <c r="DJ6" s="158"/>
      <c r="DK6" s="95">
        <f>设置!F48</f>
        <v>38</v>
      </c>
      <c r="DL6" s="157" t="str">
        <f>设置!F48 &amp;" - 历史记录"</f>
        <v>38 - 历史记录</v>
      </c>
      <c r="DM6" s="157"/>
      <c r="DN6" s="96">
        <f>设置!F49</f>
        <v>39</v>
      </c>
      <c r="DO6" s="158" t="str">
        <f>设置!F49 &amp;" - 历史记录"</f>
        <v>39 - 历史记录</v>
      </c>
      <c r="DP6" s="158"/>
      <c r="DQ6" s="95">
        <f>设置!F50</f>
        <v>40</v>
      </c>
      <c r="DR6" s="157" t="str">
        <f>设置!F50 &amp;" - 历史记录"</f>
        <v>40 - 历史记录</v>
      </c>
      <c r="DS6" s="157"/>
      <c r="DT6" s="156" t="s">
        <v>72</v>
      </c>
      <c r="DU6" s="156"/>
      <c r="DV6" s="156"/>
      <c r="DW6" s="156"/>
      <c r="DX6" s="156"/>
      <c r="DY6" s="156" t="s">
        <v>87</v>
      </c>
      <c r="DZ6" s="156"/>
      <c r="EA6" s="156"/>
      <c r="EB6" s="156" t="s">
        <v>273</v>
      </c>
      <c r="EC6" s="156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124</v>
      </c>
      <c r="E8" s="98" t="s">
        <v>80</v>
      </c>
      <c r="F8" s="98" t="s">
        <v>79</v>
      </c>
      <c r="G8" s="98" t="s">
        <v>71</v>
      </c>
      <c r="H8" s="98" t="s">
        <v>78</v>
      </c>
      <c r="I8" s="98" t="s">
        <v>77</v>
      </c>
      <c r="J8" s="98" t="s">
        <v>58</v>
      </c>
      <c r="K8" s="98" t="s">
        <v>42</v>
      </c>
      <c r="L8" s="98" t="s">
        <v>76</v>
      </c>
      <c r="M8" s="98" t="s">
        <v>59</v>
      </c>
      <c r="N8" s="98" t="s">
        <v>43</v>
      </c>
      <c r="O8" s="98" t="s">
        <v>75</v>
      </c>
      <c r="P8" s="98" t="s">
        <v>60</v>
      </c>
      <c r="Q8" s="98" t="s">
        <v>44</v>
      </c>
      <c r="R8" s="98" t="s">
        <v>74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99</v>
      </c>
      <c r="AO8" s="98" t="s">
        <v>100</v>
      </c>
      <c r="AP8" s="98" t="s">
        <v>98</v>
      </c>
      <c r="AQ8" s="98" t="s">
        <v>103</v>
      </c>
      <c r="AR8" s="98" t="s">
        <v>102</v>
      </c>
      <c r="AS8" s="98" t="s">
        <v>101</v>
      </c>
      <c r="AT8" s="98" t="s">
        <v>109</v>
      </c>
      <c r="AU8" s="98" t="s">
        <v>108</v>
      </c>
      <c r="AV8" s="98" t="s">
        <v>106</v>
      </c>
      <c r="AW8" s="98" t="s">
        <v>105</v>
      </c>
      <c r="AX8" s="98" t="s">
        <v>104</v>
      </c>
      <c r="AY8" s="98" t="s">
        <v>107</v>
      </c>
      <c r="AZ8" s="98" t="s">
        <v>112</v>
      </c>
      <c r="BA8" s="98" t="s">
        <v>111</v>
      </c>
      <c r="BB8" s="98" t="s">
        <v>110</v>
      </c>
      <c r="BC8" s="98" t="s">
        <v>113</v>
      </c>
      <c r="BD8" s="98" t="s">
        <v>114</v>
      </c>
      <c r="BE8" s="98" t="s">
        <v>115</v>
      </c>
      <c r="BF8" s="98" t="s">
        <v>116</v>
      </c>
      <c r="BG8" s="98" t="s">
        <v>117</v>
      </c>
      <c r="BH8" s="98" t="s">
        <v>118</v>
      </c>
      <c r="BI8" s="98" t="s">
        <v>119</v>
      </c>
      <c r="BJ8" s="98" t="s">
        <v>120</v>
      </c>
      <c r="BK8" s="98" t="s">
        <v>121</v>
      </c>
      <c r="BL8" s="98" t="s">
        <v>159</v>
      </c>
      <c r="BM8" s="98" t="s">
        <v>160</v>
      </c>
      <c r="BN8" s="98" t="s">
        <v>158</v>
      </c>
      <c r="BO8" s="98" t="s">
        <v>161</v>
      </c>
      <c r="BP8" s="98" t="s">
        <v>162</v>
      </c>
      <c r="BQ8" s="98" t="s">
        <v>163</v>
      </c>
      <c r="BR8" s="98" t="s">
        <v>164</v>
      </c>
      <c r="BS8" s="98" t="s">
        <v>165</v>
      </c>
      <c r="BT8" s="98" t="s">
        <v>166</v>
      </c>
      <c r="BU8" s="98" t="s">
        <v>167</v>
      </c>
      <c r="BV8" s="98" t="s">
        <v>168</v>
      </c>
      <c r="BW8" s="98" t="s">
        <v>169</v>
      </c>
      <c r="BX8" s="98" t="s">
        <v>170</v>
      </c>
      <c r="BY8" s="98" t="s">
        <v>171</v>
      </c>
      <c r="BZ8" s="98" t="s">
        <v>172</v>
      </c>
      <c r="CA8" s="98" t="s">
        <v>173</v>
      </c>
      <c r="CB8" s="98" t="s">
        <v>174</v>
      </c>
      <c r="CC8" s="98" t="s">
        <v>175</v>
      </c>
      <c r="CD8" s="98" t="s">
        <v>176</v>
      </c>
      <c r="CE8" s="98" t="s">
        <v>177</v>
      </c>
      <c r="CF8" s="98" t="s">
        <v>178</v>
      </c>
      <c r="CG8" s="98" t="s">
        <v>179</v>
      </c>
      <c r="CH8" s="98" t="s">
        <v>180</v>
      </c>
      <c r="CI8" s="98" t="s">
        <v>181</v>
      </c>
      <c r="CJ8" s="98" t="s">
        <v>182</v>
      </c>
      <c r="CK8" s="98" t="s">
        <v>183</v>
      </c>
      <c r="CL8" s="98" t="s">
        <v>184</v>
      </c>
      <c r="CM8" s="98" t="s">
        <v>185</v>
      </c>
      <c r="CN8" s="98" t="s">
        <v>186</v>
      </c>
      <c r="CO8" s="98" t="s">
        <v>187</v>
      </c>
      <c r="CP8" s="98" t="s">
        <v>188</v>
      </c>
      <c r="CQ8" s="98" t="s">
        <v>189</v>
      </c>
      <c r="CR8" s="98" t="s">
        <v>190</v>
      </c>
      <c r="CS8" s="98" t="s">
        <v>191</v>
      </c>
      <c r="CT8" s="98" t="s">
        <v>192</v>
      </c>
      <c r="CU8" s="98" t="s">
        <v>193</v>
      </c>
      <c r="CV8" s="98" t="s">
        <v>194</v>
      </c>
      <c r="CW8" s="98" t="s">
        <v>195</v>
      </c>
      <c r="CX8" s="98" t="s">
        <v>196</v>
      </c>
      <c r="CY8" s="98" t="s">
        <v>197</v>
      </c>
      <c r="CZ8" s="98" t="s">
        <v>198</v>
      </c>
      <c r="DA8" s="98" t="s">
        <v>199</v>
      </c>
      <c r="DB8" s="98" t="s">
        <v>200</v>
      </c>
      <c r="DC8" s="98" t="s">
        <v>201</v>
      </c>
      <c r="DD8" s="98" t="s">
        <v>202</v>
      </c>
      <c r="DE8" s="98" t="s">
        <v>203</v>
      </c>
      <c r="DF8" s="98" t="s">
        <v>204</v>
      </c>
      <c r="DG8" s="98" t="s">
        <v>205</v>
      </c>
      <c r="DH8" s="98" t="s">
        <v>207</v>
      </c>
      <c r="DI8" s="98" t="s">
        <v>208</v>
      </c>
      <c r="DJ8" s="98" t="s">
        <v>206</v>
      </c>
      <c r="DK8" s="98" t="s">
        <v>209</v>
      </c>
      <c r="DL8" s="98" t="s">
        <v>210</v>
      </c>
      <c r="DM8" s="98" t="s">
        <v>211</v>
      </c>
      <c r="DN8" s="98" t="s">
        <v>212</v>
      </c>
      <c r="DO8" s="98" t="s">
        <v>213</v>
      </c>
      <c r="DP8" s="98" t="s">
        <v>214</v>
      </c>
      <c r="DQ8" s="98" t="s">
        <v>215</v>
      </c>
      <c r="DR8" s="98" t="s">
        <v>216</v>
      </c>
      <c r="DS8" s="98" t="s">
        <v>217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6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230</v>
      </c>
      <c r="DU9" s="69" t="s">
        <v>231</v>
      </c>
      <c r="DV9" s="70" t="s">
        <v>10</v>
      </c>
      <c r="DW9" s="70" t="s">
        <v>126</v>
      </c>
      <c r="DX9" s="55"/>
      <c r="DY9" s="70" t="s">
        <v>283</v>
      </c>
      <c r="DZ9" s="70" t="s">
        <v>267</v>
      </c>
      <c r="EA9" s="70" t="s">
        <v>126</v>
      </c>
      <c r="EB9" s="87">
        <v>45268.505555555559</v>
      </c>
      <c r="EC9" s="108" t="s">
        <v>281</v>
      </c>
      <c r="ED9" s="132" t="s">
        <v>287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278</v>
      </c>
      <c r="DU10" s="69" t="s">
        <v>279</v>
      </c>
      <c r="DV10" s="70" t="s">
        <v>11</v>
      </c>
      <c r="DW10" s="70" t="s">
        <v>126</v>
      </c>
      <c r="DX10" s="55"/>
      <c r="DY10" s="70" t="s">
        <v>284</v>
      </c>
      <c r="DZ10" s="70"/>
      <c r="EA10" s="70"/>
      <c r="EB10" s="87">
        <v>45268.505555555559</v>
      </c>
      <c r="EC10" s="108" t="s">
        <v>281</v>
      </c>
      <c r="ED10" s="132" t="s">
        <v>287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2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6" t="s">
        <v>82</v>
      </c>
      <c r="AS6" s="156"/>
      <c r="AT6" s="156"/>
      <c r="AU6" s="156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90</v>
      </c>
      <c r="Q8" s="98" t="s">
        <v>91</v>
      </c>
      <c r="R8" s="98" t="s">
        <v>92</v>
      </c>
      <c r="S8" s="98" t="s">
        <v>93</v>
      </c>
      <c r="T8" s="98" t="s">
        <v>94</v>
      </c>
      <c r="U8" s="98" t="s">
        <v>95</v>
      </c>
      <c r="V8" s="98" t="s">
        <v>96</v>
      </c>
      <c r="W8" s="98" t="s">
        <v>97</v>
      </c>
      <c r="X8" s="98" t="s">
        <v>139</v>
      </c>
      <c r="Y8" s="98" t="s">
        <v>140</v>
      </c>
      <c r="Z8" s="98" t="s">
        <v>141</v>
      </c>
      <c r="AA8" s="98" t="s">
        <v>142</v>
      </c>
      <c r="AB8" s="98" t="s">
        <v>143</v>
      </c>
      <c r="AC8" s="98" t="s">
        <v>144</v>
      </c>
      <c r="AD8" s="98" t="s">
        <v>145</v>
      </c>
      <c r="AE8" s="98" t="s">
        <v>146</v>
      </c>
      <c r="AF8" s="98" t="s">
        <v>147</v>
      </c>
      <c r="AG8" s="98" t="s">
        <v>148</v>
      </c>
      <c r="AH8" s="98" t="s">
        <v>138</v>
      </c>
      <c r="AI8" s="98" t="s">
        <v>149</v>
      </c>
      <c r="AJ8" s="98" t="s">
        <v>150</v>
      </c>
      <c r="AK8" s="98" t="s">
        <v>151</v>
      </c>
      <c r="AL8" s="98" t="s">
        <v>152</v>
      </c>
      <c r="AM8" s="98" t="s">
        <v>153</v>
      </c>
      <c r="AN8" s="98" t="s">
        <v>154</v>
      </c>
      <c r="AO8" s="98" t="s">
        <v>155</v>
      </c>
      <c r="AP8" s="98" t="s">
        <v>156</v>
      </c>
      <c r="AQ8" s="98" t="s">
        <v>157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286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 t="s">
        <v>281</v>
      </c>
      <c r="AU9" s="92" t="s">
        <v>287</v>
      </c>
    </row>
    <row r="10" spans="2:47" ht="39.950000000000003" customHeight="1" x14ac:dyDescent="0.25">
      <c r="B10" s="54" cm="1">
        <f t="array" ref="B10">SN</f>
        <v>2</v>
      </c>
      <c r="C10" s="122" t="s">
        <v>285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 t="s">
        <v>281</v>
      </c>
      <c r="AU10" s="92" t="s">
        <v>287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2023-12-18T21:15:02Z</dcterms:modified>
</cp:coreProperties>
</file>