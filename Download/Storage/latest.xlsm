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B9B66B17-C98B-44D7-BE63-61560659683D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G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G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G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G48" i="1" s="1"/>
  <c r="H9" i="6" a="1"/>
  <c r="H9" i="6" s="1"/>
  <c r="I12" i="1" s="1"/>
  <c r="G12" i="1" s="1"/>
  <c r="AC9" i="6" a="1"/>
  <c r="AC9" i="6" s="1"/>
  <c r="I19" i="1" s="1"/>
  <c r="G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G35" i="1" s="1"/>
  <c r="CI9" i="6" a="1"/>
  <c r="CI9" i="6" s="1"/>
  <c r="J38" i="1" s="1"/>
  <c r="W9" i="6" a="1"/>
  <c r="W9" i="6" s="1"/>
  <c r="I17" i="1" s="1"/>
  <c r="G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G28" i="1" s="1"/>
  <c r="BW9" i="6" a="1"/>
  <c r="BW9" i="6" s="1"/>
  <c r="J34" i="1" s="1"/>
  <c r="CK9" i="6" a="1"/>
  <c r="CK9" i="6" s="1"/>
  <c r="I39" i="1" s="1"/>
  <c r="G42" i="1" l="1"/>
  <c r="G21" i="1"/>
  <c r="G39" i="1"/>
  <c r="G33" i="1"/>
  <c r="G50" i="1"/>
  <c r="G13" i="1"/>
  <c r="G36" i="1"/>
  <c r="G38" i="1"/>
  <c r="G47" i="1"/>
  <c r="G32" i="1"/>
  <c r="G25" i="1"/>
  <c r="G34" i="1"/>
  <c r="G18" i="1"/>
  <c r="G24" i="1"/>
  <c r="G31" i="1"/>
  <c r="G30" i="1"/>
  <c r="G22" i="1"/>
  <c r="G27" i="1"/>
  <c r="G41" i="1"/>
  <c r="G23" i="1"/>
  <c r="G45" i="1"/>
  <c r="G49" i="1"/>
  <c r="G29" i="1"/>
  <c r="G40" i="1"/>
  <c r="G14" i="1"/>
  <c r="G20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<sst xmlns="http://schemas.openxmlformats.org/spreadsheetml/2006/main" count="379" uniqueCount="314">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</sst>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030A0"/>
      <color rgb="FFDF4C26"/>
      <color rgb="FFF4F3EE"/>
      <color rgb="FFFFC000"/>
      <color rgb="FFFFD966"/>
      <color rgb="FFA9D08E"/>
      <color rgb="FFC6E0B4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923925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1123950</xdr:colOff>
          <xdr:row>5</xdr:row>
          <xdr:rowOff>95250</xdr:rowOff>
        </xdr:from>
        <xdr:to>
          <xdr:col>2</xdr:col>
          <xdr:colOff>1943100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/>
  <tableColumns count="10">
    <tableColumn id="10" xr3:uid="{E7ABD066-9CFB-4687-B84E-A1A9030FB071}" name="唯一识别码" dataDxfId="38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4"/>
    <tableColumn id="2" xr3:uid="{C28244F3-482D-4CFC-B629-A29496B98C0B}" name="商品名称" dataDxfId="383"/>
    <tableColumn id="11" xr3:uid="{71958388-9C14-426E-8457-DCEA92BC0E87}" name="负差" dataDxfId="382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1">
      <calculatedColumnFormula>SUM(UserInfo[1 - 剩余])</calculatedColumnFormula>
    </tableColumn>
    <tableColumn id="7" xr3:uid="{75829BDD-5513-4744-8184-35AE3788771C}" name="已存入" dataDxfId="380">
      <calculatedColumnFormula>SUM(UserInfo[1 - 存入])</calculatedColumnFormula>
    </tableColumn>
    <tableColumn id="6" xr3:uid="{B71F91EB-0024-4EC1-8035-3636C31B3740}" name="已支取" dataDxfId="379">
      <calculatedColumnFormula>SUM(UserInfo[1 - 支取])</calculatedColumnFormula>
    </tableColumn>
    <tableColumn id="5" xr3:uid="{6E4E3255-2204-43C6-A50C-EEAF08580A14}" name="库存负差" dataDxfId="378">
      <calculatedColumnFormula>Store_Setting[[#This Row],[入库小计]]-Store_Setting[[#This Row],[取货小计]]</calculatedColumnFormula>
    </tableColumn>
    <tableColumn id="9" xr3:uid="{7DA9A308-8441-49E3-B1B4-6AF7A14784F7}" name="入库小计" dataDxfId="37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序号" dataDxfId="371">
      <calculatedColumnFormula array="1">SNGKI</calculatedColumnFormula>
    </tableColumn>
    <tableColumn id="2" xr3:uid="{BE286F67-B0FA-40D9-BDA1-B2CFCEBCEB36}" name="唯一识别码" dataDxfId="370"/>
    <tableColumn id="4" xr3:uid="{9CF218BF-31BE-437E-9285-7CE338B0180C}" name="类型" dataDxfId="369"/>
    <tableColumn id="38" xr3:uid="{BE6B60B8-5A23-4085-9CC5-0D91831F16B6}" name="数量" dataDxfId="368"/>
    <tableColumn id="9" xr3:uid="{BCC80DB2-EF55-4BCC-9A8B-636F5A0886E8}" name="单位" dataDxfId="367"/>
    <tableColumn id="3" xr3:uid="{CCD860BE-34B0-4F57-8823-4D2C9F7985B4}" name="时间" dataDxfId="366"/>
    <tableColumn id="7" xr3:uid="{38DADDD1-29F3-4A23-B844-9D021C0D5F68}" name="工号" dataDxfId="365"/>
    <tableColumn id="8" xr3:uid="{945E147D-AEC8-4CD6-9889-CC8A2ADA4657}" name="备注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序号" totalsRowLabel="Total" dataDxfId="358" totalsRowDxfId="357">
      <calculatedColumnFormula array="1">SN</calculatedColumnFormula>
    </tableColumn>
    <tableColumn id="5" xr3:uid="{35BA10B8-A444-4F80-8F55-6146540C5A57}" name="唯一识别码" dataDxfId="356" totalsRowDxfId="355">
      <calculatedColumnFormula array="1">GUID</calculatedColumnFormula>
    </tableColumn>
    <tableColumn id="6" xr3:uid="{8A3791BE-D142-4B77-980F-0E769FF1CE0E}" name="1 - 剩余" dataDxfId="354">
      <calculatedColumnFormula array="1">Get_1_Calc</calculatedColumnFormula>
    </tableColumn>
    <tableColumn id="8" xr3:uid="{E45E7682-0361-46D3-BF20-AF1E07C3D65B}" name="1 - 存入" dataDxfId="353" totalsRowDxfId="352">
      <calculatedColumnFormula array="1">Get_1_Add</calculatedColumnFormula>
    </tableColumn>
    <tableColumn id="9" xr3:uid="{FE45F0F1-8F7A-4A14-B0E4-3EC60A580E37}" name="1 - 支取" dataDxfId="351" totalsRowDxfId="350">
      <calculatedColumnFormula array="1">Get_1_Del</calculatedColumnFormula>
    </tableColumn>
    <tableColumn id="7" xr3:uid="{B53043EA-8EAF-48CD-A1C4-F1751A029F72}" name="2 - 剩余" dataDxfId="349" totalsRowDxfId="348">
      <calculatedColumnFormula array="1">Get_2_Calc</calculatedColumnFormula>
    </tableColumn>
    <tableColumn id="10" xr3:uid="{95260041-5347-400B-AAEF-EE609D2539A1}" name="2 - 存入" dataDxfId="347" totalsRowDxfId="346">
      <calculatedColumnFormula array="1">Get_2_Add</calculatedColumnFormula>
    </tableColumn>
    <tableColumn id="11" xr3:uid="{33755691-0EB3-40CE-9B73-E91F8C102760}" name="2 - 支取" dataDxfId="345" totalsRowDxfId="344">
      <calculatedColumnFormula array="1">Get_2_Del</calculatedColumnFormula>
    </tableColumn>
    <tableColumn id="32" xr3:uid="{EC5EB628-FB36-43AE-A347-41E9ACE5D72E}" name="3 - 剩余" dataDxfId="343" totalsRowDxfId="342">
      <calculatedColumnFormula array="1">Get_3_Calc</calculatedColumnFormula>
    </tableColumn>
    <tableColumn id="33" xr3:uid="{43A56C01-D775-4C69-87D1-225F1941DB58}" name="3 - 存入" dataDxfId="341" totalsRowDxfId="340">
      <calculatedColumnFormula array="1">Get_3_Add</calculatedColumnFormula>
    </tableColumn>
    <tableColumn id="30" xr3:uid="{E3875226-6AB9-4F4B-91BF-CC71FCEAF551}" name="3 - 支取" dataDxfId="339" totalsRowDxfId="338">
      <calculatedColumnFormula array="1">Get_3_Del</calculatedColumnFormula>
    </tableColumn>
    <tableColumn id="31" xr3:uid="{B62D1E0D-5AB3-4BE3-8BC6-8442FF019A25}" name="4 - 剩余" dataDxfId="337" totalsRowDxfId="336">
      <calculatedColumnFormula array="1">Get_4_Calc</calculatedColumnFormula>
    </tableColumn>
    <tableColumn id="28" xr3:uid="{7B09D42A-E4B3-42DA-A7BC-1855D7B3276B}" name="4 - 存入" dataDxfId="335" totalsRowDxfId="334">
      <calculatedColumnFormula array="1">Get_4_Add</calculatedColumnFormula>
    </tableColumn>
    <tableColumn id="29" xr3:uid="{B7BDACF3-46DD-4203-BF1C-D95921A9EAB9}" name="4 - 支取" dataDxfId="333" totalsRowDxfId="332">
      <calculatedColumnFormula array="1">Get_4_Del</calculatedColumnFormula>
    </tableColumn>
    <tableColumn id="26" xr3:uid="{2B28D0BE-0636-4250-93AD-A6F7361B235B}" name="5 - 剩余" dataDxfId="331" totalsRowDxfId="330">
      <calculatedColumnFormula array="1">Get_5_Calc</calculatedColumnFormula>
    </tableColumn>
    <tableColumn id="27" xr3:uid="{E0E33EBF-F853-45D7-8D8D-4968D0DF550A}" name="5 - 存入" dataDxfId="329" totalsRowDxfId="328">
      <calculatedColumnFormula array="1">Get_5_Add</calculatedColumnFormula>
    </tableColumn>
    <tableColumn id="34" xr3:uid="{8BF8358E-3A1F-4FD6-A3D2-5C9ED03B66D2}" name="5 - 支取" dataDxfId="327" totalsRowDxfId="326">
      <calculatedColumnFormula array="1">Get_5_Del</calculatedColumnFormula>
    </tableColumn>
    <tableColumn id="35" xr3:uid="{BB2E7E56-CFEB-45E5-A53A-8F8601B9A6BC}" name="6 - 剩余" dataDxfId="325">
      <calculatedColumnFormula array="1">Get_6_Calc</calculatedColumnFormula>
    </tableColumn>
    <tableColumn id="36" xr3:uid="{B1C76173-BBE5-4463-A5A2-D59DF06DFEA3}" name="6 - 存入" dataDxfId="324" totalsRowDxfId="323">
      <calculatedColumnFormula array="1">Get_6_Add</calculatedColumnFormula>
    </tableColumn>
    <tableColumn id="37" xr3:uid="{252F1115-6468-4A69-A315-CC054804CD2D}" name="6 - 支取" dataDxfId="322" totalsRowDxfId="321">
      <calculatedColumnFormula array="1">Get_6_Del</calculatedColumnFormula>
    </tableColumn>
    <tableColumn id="20" xr3:uid="{A588D5D5-7793-43CD-9189-E1B0E04C4525}" name="7 - 剩余" dataDxfId="320" totalsRowDxfId="319">
      <calculatedColumnFormula array="1">Get_7_Calc</calculatedColumnFormula>
    </tableColumn>
    <tableColumn id="21" xr3:uid="{173A2F2F-7CDB-4106-BA59-7971244FD630}" name="7 - 存入" dataDxfId="318" totalsRowDxfId="317">
      <calculatedColumnFormula array="1">Get_7_Add</calculatedColumnFormula>
    </tableColumn>
    <tableColumn id="46" xr3:uid="{5DD0D315-AA29-4E95-AB07-E17D16311131}" name="7 - 支取" dataDxfId="316" totalsRowDxfId="315">
      <calculatedColumnFormula array="1">Get_7_Del</calculatedColumnFormula>
    </tableColumn>
    <tableColumn id="47" xr3:uid="{887630E9-FAB3-4BC4-AE9D-DA08EE18BEE8}" name="8 - 剩余" dataDxfId="314" totalsRowDxfId="313">
      <calculatedColumnFormula array="1">Get_8_Calc</calculatedColumnFormula>
    </tableColumn>
    <tableColumn id="44" xr3:uid="{74DD3BDF-B83E-43E2-A24B-4F5846C78DBC}" name="8 - 存入" dataDxfId="312" totalsRowDxfId="311">
      <calculatedColumnFormula array="1">Get_8_Add</calculatedColumnFormula>
    </tableColumn>
    <tableColumn id="45" xr3:uid="{F7703264-4D50-4502-8F6F-FB36B91EB021}" name="8 - 支取" dataDxfId="310" totalsRowDxfId="309">
      <calculatedColumnFormula array="1">Get_8_Del</calculatedColumnFormula>
    </tableColumn>
    <tableColumn id="42" xr3:uid="{4E67C08C-7260-499F-B198-7B6E4192E472}" name="9 - 剩余" dataDxfId="308" totalsRowDxfId="307">
      <calculatedColumnFormula array="1">Get_9_Calc</calculatedColumnFormula>
    </tableColumn>
    <tableColumn id="43" xr3:uid="{7F9B0DDB-B0CF-4F25-BEAA-5F937B25BDE0}" name="9 - 存入" dataDxfId="306" totalsRowDxfId="305">
      <calculatedColumnFormula array="1">Get_9_Add</calculatedColumnFormula>
    </tableColumn>
    <tableColumn id="40" xr3:uid="{3AA5B498-FA98-483A-A388-6B6F74476BFD}" name="9 - 支取" dataDxfId="304" totalsRowDxfId="303">
      <calculatedColumnFormula array="1">Get_9_Del</calculatedColumnFormula>
    </tableColumn>
    <tableColumn id="41" xr3:uid="{82D58ED2-A190-4823-8868-5A26D45CD476}" name="10 - 剩余" dataDxfId="302" totalsRowDxfId="301">
      <calculatedColumnFormula array="1">Get_10_Calc</calculatedColumnFormula>
    </tableColumn>
    <tableColumn id="38" xr3:uid="{800CF74D-0283-4B1A-9909-EF49C70CBE94}" name="10 - 存入" dataDxfId="300" totalsRowDxfId="299">
      <calculatedColumnFormula array="1">Get_10_Add</calculatedColumnFormula>
    </tableColumn>
    <tableColumn id="39" xr3:uid="{276FBA7A-AC3A-4E59-B8B1-B09B169E6837}" name="10 - 支取" dataDxfId="298" totalsRowDxfId="297">
      <calculatedColumnFormula array="1">Get_10_Del</calculatedColumnFormula>
    </tableColumn>
    <tableColumn id="48" xr3:uid="{A7B9D79E-F38B-48CB-AEE5-E7B7F6EF5C2C}" name="11 - 剩余" dataDxfId="296" totalsRowDxfId="295">
      <calculatedColumnFormula array="1">Get_11_Calc</calculatedColumnFormula>
    </tableColumn>
    <tableColumn id="49" xr3:uid="{01CFCCAE-6F8F-4C1E-8FF6-6275897A542E}" name="11 - 存入" dataDxfId="294" totalsRowDxfId="293">
      <calculatedColumnFormula array="1">Get_11_Add</calculatedColumnFormula>
    </tableColumn>
    <tableColumn id="14" xr3:uid="{27E31913-0377-43BF-8773-DF68330317BA}" name="11 - 支取" dataDxfId="292" totalsRowDxfId="291">
      <calculatedColumnFormula array="1">Get_11_Del</calculatedColumnFormula>
    </tableColumn>
    <tableColumn id="51" xr3:uid="{5B85F460-5E62-4025-895D-56CA23340014}" name="12 - 剩余" dataDxfId="290" totalsRowDxfId="289">
      <calculatedColumnFormula array="1">Get_12_Calc</calculatedColumnFormula>
    </tableColumn>
    <tableColumn id="52" xr3:uid="{0EC70A7E-2DCB-4261-AA03-9B9BE1BAEC8F}" name="12 - 存入" dataDxfId="288" totalsRowDxfId="287">
      <calculatedColumnFormula array="1">Get_12_Add</calculatedColumnFormula>
    </tableColumn>
    <tableColumn id="50" xr3:uid="{3EB42EAC-DC06-4CC0-A5A9-B7FE23DC5389}" name="12 - 支取" dataDxfId="286" totalsRowDxfId="285">
      <calculatedColumnFormula array="1">Get_12_Del</calculatedColumnFormula>
    </tableColumn>
    <tableColumn id="65" xr3:uid="{EDF8FCAF-50EB-44D5-B6A9-3CD2A6E9AE1E}" name="13 - 剩余" dataDxfId="284" totalsRowDxfId="283">
      <calculatedColumnFormula array="1">Get_13_Calc</calculatedColumnFormula>
    </tableColumn>
    <tableColumn id="66" xr3:uid="{F5CC81DC-58D2-4192-A82D-389419FBEF0D}" name="13 - 存入" dataDxfId="282" totalsRowDxfId="281">
      <calculatedColumnFormula array="1">Get_13_Add</calculatedColumnFormula>
    </tableColumn>
    <tableColumn id="67" xr3:uid="{CDD18276-7453-4E17-BA82-D9E26BD8811B}" name="13 - 支取" dataDxfId="280" totalsRowDxfId="279">
      <calculatedColumnFormula array="1">Get_13_Del</calculatedColumnFormula>
    </tableColumn>
    <tableColumn id="62" xr3:uid="{68ACC17D-E3C3-4466-88A6-F2F14F757F76}" name="14 - 剩余" dataDxfId="278" totalsRowDxfId="277">
      <calculatedColumnFormula array="1">Get_14_Calc</calculatedColumnFormula>
    </tableColumn>
    <tableColumn id="63" xr3:uid="{0E0EE3C5-8F3C-4968-B0E6-50B1C2B616A8}" name="14 - 存入" dataDxfId="276" totalsRowDxfId="275">
      <calculatedColumnFormula array="1">Get_14_Add</calculatedColumnFormula>
    </tableColumn>
    <tableColumn id="64" xr3:uid="{AD67C543-6A27-4C51-906F-D522151C0D92}" name="14 - 支取" dataDxfId="274" totalsRowDxfId="273">
      <calculatedColumnFormula array="1">Get_14_Del</calculatedColumnFormula>
    </tableColumn>
    <tableColumn id="59" xr3:uid="{7CAE30DB-B183-4017-8A77-F435FA507A01}" name="15 - 剩余" dataDxfId="272" totalsRowDxfId="271">
      <calculatedColumnFormula array="1">Get_15_Calc</calculatedColumnFormula>
    </tableColumn>
    <tableColumn id="60" xr3:uid="{10EF06B0-FD95-42A9-BFCC-64BBC565CA14}" name="15 - 存入" dataDxfId="270" totalsRowDxfId="269">
      <calculatedColumnFormula array="1">Get_15_Add</calculatedColumnFormula>
    </tableColumn>
    <tableColumn id="61" xr3:uid="{6301F8B4-4D01-4FDA-8D32-75921B15A2D9}" name="15 - 支取" dataDxfId="268" totalsRowDxfId="267">
      <calculatedColumnFormula array="1">Get_15_Del</calculatedColumnFormula>
    </tableColumn>
    <tableColumn id="56" xr3:uid="{05F125DE-5AE7-4786-ACBC-DAF9D7222A62}" name="16 - 剩余" dataDxfId="266" totalsRowDxfId="265">
      <calculatedColumnFormula array="1">Get_16_Calc</calculatedColumnFormula>
    </tableColumn>
    <tableColumn id="57" xr3:uid="{7E6969DC-E3FC-4DA8-BB9D-6B36E075458F}" name="16 - 存入" dataDxfId="264" totalsRowDxfId="263">
      <calculatedColumnFormula array="1">Get_16_Add</calculatedColumnFormula>
    </tableColumn>
    <tableColumn id="58" xr3:uid="{84C80CB2-57F5-4B66-8756-5573CD699D16}" name="16 - 支取" dataDxfId="262" totalsRowDxfId="261">
      <calculatedColumnFormula array="1">Get_16_Del</calculatedColumnFormula>
    </tableColumn>
    <tableColumn id="53" xr3:uid="{65516705-AD27-4ECA-AF09-D132C51E08CE}" name="17 - 剩余" dataDxfId="260" totalsRowDxfId="259">
      <calculatedColumnFormula array="1">Get_17_Calc</calculatedColumnFormula>
    </tableColumn>
    <tableColumn id="54" xr3:uid="{0756DBD3-FDA1-4E71-849C-F20BBD0A5182}" name="17 - 存入" dataDxfId="258" totalsRowDxfId="257">
      <calculatedColumnFormula array="1">Get_17_Add</calculatedColumnFormula>
    </tableColumn>
    <tableColumn id="55" xr3:uid="{51CB254C-5F29-4215-8FE0-F8B8B7B32759}" name="17 - 支取" dataDxfId="256" totalsRowDxfId="255">
      <calculatedColumnFormula array="1">Get_17_Del</calculatedColumnFormula>
    </tableColumn>
    <tableColumn id="68" xr3:uid="{9C2EC294-A2C3-40B0-9E15-FFA1DA6DE0E7}" name="18 - 剩余" dataDxfId="254" totalsRowDxfId="253">
      <calculatedColumnFormula array="1">Get_18_Calc</calculatedColumnFormula>
    </tableColumn>
    <tableColumn id="69" xr3:uid="{A371F69D-1236-4AAC-B5F1-72D518D6FC69}" name="18 - 存入" dataDxfId="252" totalsRowDxfId="251">
      <calculatedColumnFormula array="1">Get_18_Add</calculatedColumnFormula>
    </tableColumn>
    <tableColumn id="70" xr3:uid="{7B3C5D9B-BC0C-404F-9490-CDADC350F1D7}" name="18 - 支取" dataDxfId="250" totalsRowDxfId="249">
      <calculatedColumnFormula array="1">Get_18_Del</calculatedColumnFormula>
    </tableColumn>
    <tableColumn id="19" xr3:uid="{91B42855-55D1-4A6A-B9A8-5EE011ADEB10}" name="19 - 剩余" dataDxfId="248" totalsRowDxfId="247">
      <calculatedColumnFormula array="1">Get_19_Calc</calculatedColumnFormula>
    </tableColumn>
    <tableColumn id="18" xr3:uid="{98EE3A39-A8AB-42CF-AEB5-291E8B95D8CA}" name="19 - 存入" dataDxfId="246" totalsRowDxfId="245">
      <calculatedColumnFormula array="1">Get_19_Add</calculatedColumnFormula>
    </tableColumn>
    <tableColumn id="73" xr3:uid="{DB40D44F-8801-4D50-BA48-8323E05D2E13}" name="19 - 支取" dataDxfId="244" totalsRowDxfId="243">
      <calculatedColumnFormula array="1">Get_19_Del</calculatedColumnFormula>
    </tableColumn>
    <tableColumn id="72" xr3:uid="{470D5EC3-31A6-4851-B48C-D6DDADACC807}" name="20 - 剩余" dataDxfId="242" totalsRowDxfId="241">
      <calculatedColumnFormula array="1">Get_20_Calc</calculatedColumnFormula>
    </tableColumn>
    <tableColumn id="71" xr3:uid="{39143051-B360-4CEF-883D-35BFEEAE3BA0}" name="20 - 存入" dataDxfId="240" totalsRowDxfId="239">
      <calculatedColumnFormula array="1">Get_20_Add</calculatedColumnFormula>
    </tableColumn>
    <tableColumn id="15" xr3:uid="{8C1BB1E7-B23F-46EC-AE4E-28A3C394FD55}" name="20 - 支取" dataDxfId="238" totalsRowDxfId="237">
      <calculatedColumnFormula array="1">Get_20_Del</calculatedColumnFormula>
    </tableColumn>
    <tableColumn id="102" xr3:uid="{F21D4D43-73EE-4C8A-8AEF-E424CE485010}" name="21 - 剩余" dataDxfId="236" totalsRowDxfId="235">
      <calculatedColumnFormula array="1">Get_21_Calc</calculatedColumnFormula>
    </tableColumn>
    <tableColumn id="103" xr3:uid="{4486E59C-66B0-413C-AFFC-A8A336BC25D8}" name="21 - 存入" dataDxfId="234" totalsRowDxfId="233">
      <calculatedColumnFormula array="1">Get_21_Add</calculatedColumnFormula>
    </tableColumn>
    <tableColumn id="104" xr3:uid="{564EC857-6030-490D-A2E5-16F4F8221C23}" name="21 - 支取" dataDxfId="232" totalsRowDxfId="231">
      <calculatedColumnFormula array="1">Get_21_Del</calculatedColumnFormula>
    </tableColumn>
    <tableColumn id="105" xr3:uid="{31132AB1-247A-4EB9-8A8A-871FED0D5AA1}" name="22 - 剩余" dataDxfId="230" totalsRowDxfId="229">
      <calculatedColumnFormula array="1">Get_22_Calc</calculatedColumnFormula>
    </tableColumn>
    <tableColumn id="98" xr3:uid="{CF6220B5-7B80-445C-A013-845D35543916}" name="22 - 存入" dataDxfId="228" totalsRowDxfId="227">
      <calculatedColumnFormula array="1">Get_22_Add</calculatedColumnFormula>
    </tableColumn>
    <tableColumn id="99" xr3:uid="{98BD4691-C847-4F41-8E6C-BEC01B8FAEB3}" name="22 - 支取" dataDxfId="226" totalsRowDxfId="225">
      <calculatedColumnFormula array="1">Get_22_Del</calculatedColumnFormula>
    </tableColumn>
    <tableColumn id="100" xr3:uid="{66330D4E-ED0D-41A7-921D-E622CA8068A4}" name="23 - 剩余" dataDxfId="224" totalsRowDxfId="223">
      <calculatedColumnFormula array="1">Get_23_Calc</calculatedColumnFormula>
    </tableColumn>
    <tableColumn id="101" xr3:uid="{3345E086-C2E9-453D-A0EB-A7471CF2ACB2}" name="23 - 存入" dataDxfId="222" totalsRowDxfId="221">
      <calculatedColumnFormula array="1">Get_23_Add</calculatedColumnFormula>
    </tableColumn>
    <tableColumn id="94" xr3:uid="{8EF3E108-22A5-4CBC-9928-BC115EFE882A}" name="23 - 支取" dataDxfId="220" totalsRowDxfId="219">
      <calculatedColumnFormula array="1">Get_23_Del</calculatedColumnFormula>
    </tableColumn>
    <tableColumn id="95" xr3:uid="{C6AA287C-2EA3-4286-A71D-29E22D519C41}" name="24 - 剩余" dataDxfId="218" totalsRowDxfId="217">
      <calculatedColumnFormula array="1">Get_24_Calc</calculatedColumnFormula>
    </tableColumn>
    <tableColumn id="96" xr3:uid="{1FDAF720-4143-496A-91C3-D65BD5CBA18F}" name="24 - 存入" dataDxfId="216" totalsRowDxfId="215">
      <calculatedColumnFormula array="1">Get_24_Add</calculatedColumnFormula>
    </tableColumn>
    <tableColumn id="97" xr3:uid="{0CACBF11-449C-4C06-A249-904EB5517854}" name="24 - 支取" dataDxfId="214" totalsRowDxfId="213">
      <calculatedColumnFormula array="1">Get_24_Del</calculatedColumnFormula>
    </tableColumn>
    <tableColumn id="90" xr3:uid="{11D36A45-02CB-476F-A2D2-734F76A2D1A6}" name="25 - 剩余" dataDxfId="212" totalsRowDxfId="211">
      <calculatedColumnFormula array="1">Get_25_Calc</calculatedColumnFormula>
    </tableColumn>
    <tableColumn id="91" xr3:uid="{8B60EC99-F04A-45EF-8F17-680319744A85}" name="25 - 存入" dataDxfId="210" totalsRowDxfId="209">
      <calculatedColumnFormula array="1">Get_25_Add</calculatedColumnFormula>
    </tableColumn>
    <tableColumn id="92" xr3:uid="{AD05D88D-F2C1-4505-9BBD-FDC0B2D388F3}" name="25 - 支取" dataDxfId="208" totalsRowDxfId="207">
      <calculatedColumnFormula array="1">Get_25_Del</calculatedColumnFormula>
    </tableColumn>
    <tableColumn id="93" xr3:uid="{F7CB76E9-97CE-4CC8-AEDA-CB574593A924}" name="26 - 剩余" dataDxfId="206" totalsRowDxfId="205">
      <calculatedColumnFormula array="1">Get_26_Calc</calculatedColumnFormula>
    </tableColumn>
    <tableColumn id="86" xr3:uid="{6D74E673-FBC5-435E-9229-8C187E67EA3F}" name="26 - 存入" dataDxfId="204" totalsRowDxfId="203">
      <calculatedColumnFormula array="1">Get_26_Add</calculatedColumnFormula>
    </tableColumn>
    <tableColumn id="87" xr3:uid="{C2C28027-A1CD-440D-BB33-3A80FCC5A8C1}" name="26 - 支取" dataDxfId="202" totalsRowDxfId="201">
      <calculatedColumnFormula array="1">Get_26_Del</calculatedColumnFormula>
    </tableColumn>
    <tableColumn id="88" xr3:uid="{070B4F15-D610-4FCF-B681-42E984B3F85F}" name="27 - 剩余" dataDxfId="200" totalsRowDxfId="199">
      <calculatedColumnFormula array="1">Get_27_Calc</calculatedColumnFormula>
    </tableColumn>
    <tableColumn id="89" xr3:uid="{04BA09B0-47DA-4E80-BEEC-AB8498C074D5}" name="27 - 存入" dataDxfId="198" totalsRowDxfId="197">
      <calculatedColumnFormula array="1">Get_27_Add</calculatedColumnFormula>
    </tableColumn>
    <tableColumn id="82" xr3:uid="{17B1B927-AD09-4E4A-B7FC-33ED76279CBC}" name="27 - 支取" dataDxfId="196" totalsRowDxfId="195">
      <calculatedColumnFormula array="1">Get_27_Del</calculatedColumnFormula>
    </tableColumn>
    <tableColumn id="83" xr3:uid="{2F4ED0A5-EE6B-4248-832C-F478A57FA0D5}" name="28 - 剩余" dataDxfId="194" totalsRowDxfId="193">
      <calculatedColumnFormula array="1">Get_28_Calc</calculatedColumnFormula>
    </tableColumn>
    <tableColumn id="84" xr3:uid="{D1140375-114D-49D9-A424-519A4250A622}" name="28 - 存入" dataDxfId="192" totalsRowDxfId="191">
      <calculatedColumnFormula array="1">Get_28_Add</calculatedColumnFormula>
    </tableColumn>
    <tableColumn id="85" xr3:uid="{53209986-74FA-491C-8499-CAD58386B246}" name="28 - 支取" dataDxfId="190" totalsRowDxfId="189">
      <calculatedColumnFormula array="1">Get_28_Del</calculatedColumnFormula>
    </tableColumn>
    <tableColumn id="78" xr3:uid="{9B1695E1-88D0-4B66-86DA-6328CEFA236B}" name="29 - 剩余" dataDxfId="188" totalsRowDxfId="187">
      <calculatedColumnFormula array="1">Get_29_Calc</calculatedColumnFormula>
    </tableColumn>
    <tableColumn id="79" xr3:uid="{AD5F07E7-774D-47C8-B9B7-0278E35D62E4}" name="29 - 存入" dataDxfId="186" totalsRowDxfId="185">
      <calculatedColumnFormula array="1">Get_29_Add</calculatedColumnFormula>
    </tableColumn>
    <tableColumn id="80" xr3:uid="{60613223-E2AD-4FE8-AB22-74D7D70E9EC2}" name="29 - 支取" dataDxfId="184" totalsRowDxfId="183">
      <calculatedColumnFormula array="1">Get_29_Del</calculatedColumnFormula>
    </tableColumn>
    <tableColumn id="81" xr3:uid="{598D87C2-40FF-4EB0-A568-2DE01DFD9C9A}" name="30 - 剩余" dataDxfId="182" totalsRowDxfId="181">
      <calculatedColumnFormula array="1">Get_30_Calc</calculatedColumnFormula>
    </tableColumn>
    <tableColumn id="112" xr3:uid="{A33BC1F0-D006-4639-92C6-0E411B6CA96D}" name="30 - 存入" dataDxfId="180" totalsRowDxfId="179">
      <calculatedColumnFormula array="1">Get_30_Add</calculatedColumnFormula>
    </tableColumn>
    <tableColumn id="113" xr3:uid="{AF7F8313-8446-4886-AE41-FE26C24E6965}" name="30 - 支取" dataDxfId="178" totalsRowDxfId="177">
      <calculatedColumnFormula array="1">Get_30_Del</calculatedColumnFormula>
    </tableColumn>
    <tableColumn id="114" xr3:uid="{32AC448A-1D9F-45C6-ADF0-484483D61305}" name="31 - 剩余" dataDxfId="176" totalsRowDxfId="175">
      <calculatedColumnFormula array="1">Get_31_Calc</calculatedColumnFormula>
    </tableColumn>
    <tableColumn id="109" xr3:uid="{6656E887-BCA1-45C6-9018-4F892EDCD6BD}" name="31 - 存入" dataDxfId="174" totalsRowDxfId="173">
      <calculatedColumnFormula array="1">Get_31_Add</calculatedColumnFormula>
    </tableColumn>
    <tableColumn id="110" xr3:uid="{19143AD3-AFEC-4767-B097-6EFED19C1D5F}" name="31 - 支取" dataDxfId="172" totalsRowDxfId="171">
      <calculatedColumnFormula array="1">Get_31_Del</calculatedColumnFormula>
    </tableColumn>
    <tableColumn id="111" xr3:uid="{A73390AD-84AD-4B11-962F-A0DD77AF79DB}" name="32 - 剩余" dataDxfId="170" totalsRowDxfId="169">
      <calculatedColumnFormula array="1">Get_32_Calc</calculatedColumnFormula>
    </tableColumn>
    <tableColumn id="106" xr3:uid="{CD563433-AB70-48C2-B28C-D63B8FE4231B}" name="32 - 存入" dataDxfId="168" totalsRowDxfId="167">
      <calculatedColumnFormula array="1">Get_32_Add</calculatedColumnFormula>
    </tableColumn>
    <tableColumn id="107" xr3:uid="{8C2B9726-7B44-4012-849B-90C10E42CC75}" name="32 - 支取" dataDxfId="166" totalsRowDxfId="165">
      <calculatedColumnFormula array="1">Get_32_Del</calculatedColumnFormula>
    </tableColumn>
    <tableColumn id="108" xr3:uid="{E5AF4544-102C-474F-A246-CC7171B33738}" name="33 - 剩余" dataDxfId="164" totalsRowDxfId="163">
      <calculatedColumnFormula array="1">Get_33_Calc</calculatedColumnFormula>
    </tableColumn>
    <tableColumn id="121" xr3:uid="{C1F5D498-1262-44DF-B066-1A676148E301}" name="33 - 存入" dataDxfId="162" totalsRowDxfId="161">
      <calculatedColumnFormula array="1">Get_33_Add</calculatedColumnFormula>
    </tableColumn>
    <tableColumn id="122" xr3:uid="{2F6821D0-F42C-4DED-A045-B1C398C90F61}" name="33 - 支取" dataDxfId="160" totalsRowDxfId="159">
      <calculatedColumnFormula array="1">Get_33_Del</calculatedColumnFormula>
    </tableColumn>
    <tableColumn id="123" xr3:uid="{DDEBD9FE-7A2F-41FF-9BD6-93F0E3570136}" name="34 - 剩余" dataDxfId="158" totalsRowDxfId="157">
      <calculatedColumnFormula array="1">Get_34_Calc</calculatedColumnFormula>
    </tableColumn>
    <tableColumn id="118" xr3:uid="{DEAF0FA5-8ADE-45D7-B112-EA03FAA0D896}" name="34 - 存入" dataDxfId="156" totalsRowDxfId="155">
      <calculatedColumnFormula array="1">Get_34_Add</calculatedColumnFormula>
    </tableColumn>
    <tableColumn id="119" xr3:uid="{C95831F4-24FC-40B7-A0D8-FEBAAA6EAD80}" name="34 - 支取" dataDxfId="154" totalsRowDxfId="153">
      <calculatedColumnFormula array="1">Get_34_Del</calculatedColumnFormula>
    </tableColumn>
    <tableColumn id="120" xr3:uid="{8C22D30B-320F-49E4-B37A-57A3D5DEE429}" name="35 - 剩余" dataDxfId="152" totalsRowDxfId="151">
      <calculatedColumnFormula array="1">Get_35_Calc</calculatedColumnFormula>
    </tableColumn>
    <tableColumn id="115" xr3:uid="{DC9FF648-80A3-480C-8295-816AE96549F0}" name="35 - 存入" dataDxfId="150" totalsRowDxfId="149">
      <calculatedColumnFormula array="1">Get_35_Add</calculatedColumnFormula>
    </tableColumn>
    <tableColumn id="116" xr3:uid="{19FD796A-C39B-4913-B2F4-CF8C8A6E2355}" name="35 - 支取" dataDxfId="148" totalsRowDxfId="147">
      <calculatedColumnFormula array="1">Get_35_Del</calculatedColumnFormula>
    </tableColumn>
    <tableColumn id="117" xr3:uid="{329AC6EB-CF46-4F1E-A1D1-49A8B17CACCD}" name="36 - 剩余" dataDxfId="146" totalsRowDxfId="145">
      <calculatedColumnFormula array="1">Get_36_Calc</calculatedColumnFormula>
    </tableColumn>
    <tableColumn id="77" xr3:uid="{D18373BA-DB75-470C-9939-60206C36267B}" name="36 - 存入" dataDxfId="144" totalsRowDxfId="143">
      <calculatedColumnFormula array="1">Get_36_Add</calculatedColumnFormula>
    </tableColumn>
    <tableColumn id="76" xr3:uid="{8C923C1F-8AAD-4F00-B3ED-8C81417C548A}" name="36 - 支取" dataDxfId="142" totalsRowDxfId="141">
      <calculatedColumnFormula array="1">Get_36_Del</calculatedColumnFormula>
    </tableColumn>
    <tableColumn id="132" xr3:uid="{F6203D74-C033-4FEA-B4CE-F892F2B07270}" name="37 - 剩余" dataDxfId="140" totalsRowDxfId="139">
      <calculatedColumnFormula array="1">Get_37_Calc</calculatedColumnFormula>
    </tableColumn>
    <tableColumn id="133" xr3:uid="{BA7DE93C-8EE4-4DDC-BC04-EC21986490A7}" name="37 - 存入" dataDxfId="138" totalsRowDxfId="137">
      <calculatedColumnFormula array="1">Get_37_Add</calculatedColumnFormula>
    </tableColumn>
    <tableColumn id="128" xr3:uid="{A2AB67E7-67E5-4957-9EB1-A4A37B61C71A}" name="37 - 支取" dataDxfId="136" totalsRowDxfId="135">
      <calculatedColumnFormula array="1">Get_37_Del</calculatedColumnFormula>
    </tableColumn>
    <tableColumn id="129" xr3:uid="{15573BDA-20F9-4C2F-9D6F-18F743FC6E25}" name="38 - 剩余" dataDxfId="134" totalsRowDxfId="133">
      <calculatedColumnFormula array="1">Get_38_Calc</calculatedColumnFormula>
    </tableColumn>
    <tableColumn id="130" xr3:uid="{C0F229CF-C5D6-4F11-8F55-7692B00DC0E3}" name="38 - 存入" dataDxfId="132" totalsRowDxfId="131">
      <calculatedColumnFormula array="1">Get_38_Add</calculatedColumnFormula>
    </tableColumn>
    <tableColumn id="125" xr3:uid="{24A0AFA6-873B-40D0-95AA-269E0E8A05E1}" name="38 - 支取" dataDxfId="130" totalsRowDxfId="129">
      <calculatedColumnFormula array="1">Get_38_Del</calculatedColumnFormula>
    </tableColumn>
    <tableColumn id="126" xr3:uid="{20897FAE-D3FE-48DD-961E-6A6443173FA9}" name="39 - 剩余" dataDxfId="128" totalsRowDxfId="127">
      <calculatedColumnFormula array="1">Get_39_Calc</calculatedColumnFormula>
    </tableColumn>
    <tableColumn id="127" xr3:uid="{35F30295-EDB2-4D7F-939D-DFAC52BB2A9F}" name="39 - 存入" dataDxfId="126" totalsRowDxfId="125">
      <calculatedColumnFormula array="1">Get_39_Add</calculatedColumnFormula>
    </tableColumn>
    <tableColumn id="124" xr3:uid="{AF953A41-E1B0-4337-8A8E-F951C493EDE8}" name="39 - 支取" dataDxfId="124" totalsRowDxfId="123">
      <calculatedColumnFormula array="1">Get_39_Del</calculatedColumnFormula>
    </tableColumn>
    <tableColumn id="75" xr3:uid="{07F02D24-5D96-40AE-BCE0-590F79C6D5DF}" name="40 - 剩余" dataDxfId="122" totalsRowDxfId="121">
      <calculatedColumnFormula array="1">Get_40_Calc</calculatedColumnFormula>
    </tableColumn>
    <tableColumn id="134" xr3:uid="{1075256E-BEBC-4E72-B0F5-766EF175AB4B}" name="40 - 存入" dataDxfId="120" totalsRowDxfId="119">
      <calculatedColumnFormula array="1">Get_40_Add</calculatedColumnFormula>
    </tableColumn>
    <tableColumn id="74" xr3:uid="{DAFDE2C6-F321-4651-AA25-F4B29B9F690B}" name="40 - 支取" dataDxfId="118" totalsRowDxfId="117">
      <calculatedColumnFormula array="1">Get_40_Del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添加会员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135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271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244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308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260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268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134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136</v>
      </c>
      <c r="E14" s="21" t="s">
        <v>137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300</v>
      </c>
      <c r="E18" s="21" t="s">
        <v>239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240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256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123</v>
      </c>
      <c r="E22" s="21" t="s">
        <v>298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89</v>
      </c>
      <c r="E24" s="85">
        <v>1</v>
      </c>
      <c r="F24" s="86" t="s">
        <v>241</v>
      </c>
      <c r="G24" s="1"/>
      <c r="H24" s="85">
        <v>1</v>
      </c>
      <c r="I24" s="86" t="s">
        <v>312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85">
        <v>0</v>
      </c>
      <c r="F25" s="86" t="s">
        <v>84</v>
      </c>
      <c r="G25" s="1"/>
      <c r="H25" s="85">
        <v>-0.01</v>
      </c>
      <c r="I25" s="86" t="s">
        <v>311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-0.01</v>
      </c>
      <c r="F26" s="86" t="s">
        <v>85</v>
      </c>
      <c r="G26" s="1"/>
      <c r="H26" s="85"/>
      <c r="I26" s="117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/>
      <c r="F27" s="86"/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309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310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82</v>
      </c>
      <c r="E30" s="21" t="s">
        <v>293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294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138</v>
      </c>
      <c r="E33" s="21" t="s">
        <v>301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305</v>
      </c>
      <c r="E36" s="21" t="s">
        <v>306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236</v>
      </c>
      <c r="E37" s="21" t="s">
        <v>307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237</v>
      </c>
      <c r="E38" s="21" t="s">
        <v>304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291</v>
      </c>
      <c r="E39" s="21" t="s">
        <v>295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253</v>
      </c>
      <c r="E40" s="21" t="s">
        <v>254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277</v>
      </c>
      <c r="E41" s="21" t="s">
        <v>297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303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245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19">
        <v>1</v>
      </c>
      <c r="D46" s="46" t="s">
        <v>280</v>
      </c>
      <c r="E46" s="119"/>
      <c r="F46" s="118"/>
      <c r="G46" s="119"/>
      <c r="H46" s="119"/>
      <c r="I46" s="119"/>
      <c r="J46" s="119"/>
      <c r="K46" s="119"/>
      <c r="L46" s="119"/>
      <c r="M46" s="119"/>
      <c r="N46" s="119"/>
      <c r="O46" s="119"/>
      <c r="P46" s="1"/>
    </row>
    <row r="47" spans="2:16" ht="39.75" customHeight="1" x14ac:dyDescent="0.25">
      <c r="B47" s="1"/>
      <c r="C47" s="119">
        <v>1</v>
      </c>
      <c r="D47" s="46" t="s">
        <v>299</v>
      </c>
      <c r="E47" s="119"/>
      <c r="F47" s="118"/>
      <c r="G47" s="119"/>
      <c r="H47" s="119"/>
      <c r="I47" s="119"/>
      <c r="J47" s="119"/>
      <c r="K47" s="119"/>
      <c r="L47" s="119"/>
      <c r="M47" s="119"/>
      <c r="N47" s="119"/>
      <c r="O47" s="119"/>
      <c r="P47" s="1"/>
    </row>
    <row r="48" spans="2:16" ht="39.950000000000003" customHeight="1" x14ac:dyDescent="0.25">
      <c r="B48" s="1"/>
      <c r="C48" s="1">
        <v>0</v>
      </c>
      <c r="D48" s="46" t="s">
        <v>257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246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250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251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247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248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249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2" t="s">
        <v>279</v>
      </c>
      <c r="H9" s="154" t="s">
        <v>225</v>
      </c>
      <c r="I9" s="154"/>
      <c r="J9" s="154"/>
      <c r="K9" s="155" t="s">
        <v>242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3" t="s">
        <v>278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126</v>
      </c>
      <c r="D52" s="126" t="s">
        <v>284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283</v>
      </c>
      <c r="E53" s="127" t="s">
        <v>284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129</v>
      </c>
      <c r="E57" s="65" t="s">
        <v>130</v>
      </c>
      <c r="F57" s="65" t="s">
        <v>130</v>
      </c>
      <c r="G57" s="65" t="s">
        <v>130</v>
      </c>
      <c r="H57" s="65" t="s">
        <v>130</v>
      </c>
      <c r="I57" s="65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262</v>
      </c>
      <c r="D58" s="65" t="s">
        <v>130</v>
      </c>
      <c r="E58" s="74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227</v>
      </c>
      <c r="D60" s="126" t="s">
        <v>228</v>
      </c>
      <c r="E60" s="126" t="s">
        <v>229</v>
      </c>
      <c r="F60" s="126" t="s">
        <v>230</v>
      </c>
      <c r="G60" s="126" t="s">
        <v>263</v>
      </c>
      <c r="H60" s="126" t="s">
        <v>264</v>
      </c>
      <c r="I60" s="126" t="s">
        <v>265</v>
      </c>
      <c r="J60" s="126" t="s">
        <v>266</v>
      </c>
      <c r="K60" s="126"/>
      <c r="L60" s="126"/>
      <c r="M60" s="126"/>
    </row>
    <row r="61" spans="2:13" ht="39.950000000000003" customHeight="1" x14ac:dyDescent="0.25">
      <c r="B61" s="26"/>
      <c r="C61" s="27" t="s">
        <v>273</v>
      </c>
      <c r="D61" s="65" t="s">
        <v>129</v>
      </c>
      <c r="E61" s="74" t="s">
        <v>274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220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261</v>
      </c>
      <c r="C65" s="27" t="s">
        <v>272</v>
      </c>
      <c r="D65" s="145" t="s">
        <v>235</v>
      </c>
      <c r="E65" s="145" t="s">
        <v>221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270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279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313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87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222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227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275</v>
      </c>
      <c r="D17" s="11" t="s">
        <v>6</v>
      </c>
      <c r="E17" s="33" t="s">
        <v>284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8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285</v>
      </c>
      <c r="D7" s="55" t="s">
        <v>235</v>
      </c>
      <c r="E7" s="16"/>
      <c r="F7" s="19"/>
      <c r="G7" s="87">
        <v>45268.505555555559</v>
      </c>
      <c r="H7" s="55" t="s">
        <v>284</v>
      </c>
      <c r="I7" s="132" t="s">
        <v>290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87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86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7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90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275</v>
      </c>
      <c r="D20" s="63" t="s">
        <v>6</v>
      </c>
      <c r="E20" s="7" t="s">
        <v>284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8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6" t="str">
        <f>设置!F11 &amp;" - 历史记录"</f>
        <v>1 - 历史记录</v>
      </c>
      <c r="F6" s="156"/>
      <c r="G6" s="95">
        <f>设置!F12</f>
        <v>2</v>
      </c>
      <c r="H6" s="157" t="str">
        <f>设置!F12 &amp;" - 历史记录"</f>
        <v>2 - 历史记录</v>
      </c>
      <c r="I6" s="157"/>
      <c r="J6" s="94">
        <f>设置!F13</f>
        <v>3</v>
      </c>
      <c r="K6" s="156" t="str">
        <f>设置!F13 &amp;" - 历史记录"</f>
        <v>3 - 历史记录</v>
      </c>
      <c r="L6" s="156"/>
      <c r="M6" s="95">
        <f>设置!F14</f>
        <v>4</v>
      </c>
      <c r="N6" s="157" t="str">
        <f>设置!F14 &amp;" - 历史记录"</f>
        <v>4 - 历史记录</v>
      </c>
      <c r="O6" s="157"/>
      <c r="P6" s="94">
        <f>设置!F15</f>
        <v>5</v>
      </c>
      <c r="Q6" s="156" t="str">
        <f>设置!F15 &amp;" - 历史记录"</f>
        <v>5 - 历史记录</v>
      </c>
      <c r="R6" s="156"/>
      <c r="S6" s="95">
        <f>设置!F16</f>
        <v>6</v>
      </c>
      <c r="T6" s="157" t="str">
        <f>设置!F16 &amp;" - 历史记录"</f>
        <v>6 - 历史记录</v>
      </c>
      <c r="U6" s="157"/>
      <c r="V6" s="94">
        <f>设置!F17</f>
        <v>7</v>
      </c>
      <c r="W6" s="156" t="str">
        <f>设置!F17 &amp;" - 历史记录"</f>
        <v>7 - 历史记录</v>
      </c>
      <c r="X6" s="156"/>
      <c r="Y6" s="95">
        <f>设置!F18</f>
        <v>8</v>
      </c>
      <c r="Z6" s="157" t="str">
        <f>设置!F18 &amp;" - 历史记录"</f>
        <v>8 - 历史记录</v>
      </c>
      <c r="AA6" s="157"/>
      <c r="AB6" s="94">
        <f>设置!F19</f>
        <v>9</v>
      </c>
      <c r="AC6" s="156" t="str">
        <f>设置!F19 &amp;" - 历史记录"</f>
        <v>9 - 历史记录</v>
      </c>
      <c r="AD6" s="156"/>
      <c r="AE6" s="95">
        <f>设置!F20</f>
        <v>10</v>
      </c>
      <c r="AF6" s="157" t="str">
        <f>设置!F20 &amp;" - 历史记录"</f>
        <v>10 - 历史记录</v>
      </c>
      <c r="AG6" s="157"/>
      <c r="AH6" s="94">
        <f>设置!F21</f>
        <v>11</v>
      </c>
      <c r="AI6" s="156" t="str">
        <f>设置!F21 &amp;" - 历史记录"</f>
        <v>11 - 历史记录</v>
      </c>
      <c r="AJ6" s="156"/>
      <c r="AK6" s="95">
        <f>设置!F22</f>
        <v>12</v>
      </c>
      <c r="AL6" s="157" t="str">
        <f>设置!F22 &amp;" - 历史记录"</f>
        <v>12 - 历史记录</v>
      </c>
      <c r="AM6" s="157"/>
      <c r="AN6" s="94">
        <f>设置!F23</f>
        <v>13</v>
      </c>
      <c r="AO6" s="156" t="str">
        <f>设置!F23 &amp;" - 历史记录"</f>
        <v>13 - 历史记录</v>
      </c>
      <c r="AP6" s="156"/>
      <c r="AQ6" s="95">
        <f>设置!F24</f>
        <v>14</v>
      </c>
      <c r="AR6" s="157" t="str">
        <f>设置!F24 &amp;" - 历史记录"</f>
        <v>14 - 历史记录</v>
      </c>
      <c r="AS6" s="157"/>
      <c r="AT6" s="94">
        <f>设置!F25</f>
        <v>15</v>
      </c>
      <c r="AU6" s="156" t="str">
        <f>设置!F25 &amp;" - 历史记录"</f>
        <v>15 - 历史记录</v>
      </c>
      <c r="AV6" s="156"/>
      <c r="AW6" s="95">
        <f>设置!F26</f>
        <v>16</v>
      </c>
      <c r="AX6" s="157" t="str">
        <f>设置!F26 &amp;" - 历史记录"</f>
        <v>16 - 历史记录</v>
      </c>
      <c r="AY6" s="157"/>
      <c r="AZ6" s="94">
        <f>设置!F27</f>
        <v>17</v>
      </c>
      <c r="BA6" s="156" t="str">
        <f>设置!F27 &amp;" - 历史记录"</f>
        <v>17 - 历史记录</v>
      </c>
      <c r="BB6" s="156"/>
      <c r="BC6" s="95">
        <f>设置!F28</f>
        <v>18</v>
      </c>
      <c r="BD6" s="157" t="str">
        <f>设置!F28 &amp;" - 历史记录"</f>
        <v>18 - 历史记录</v>
      </c>
      <c r="BE6" s="157"/>
      <c r="BF6" s="94">
        <f>设置!F29</f>
        <v>19</v>
      </c>
      <c r="BG6" s="156" t="str">
        <f>设置!F29 &amp;" - 历史记录"</f>
        <v>19 - 历史记录</v>
      </c>
      <c r="BH6" s="156"/>
      <c r="BI6" s="95">
        <f>设置!F30</f>
        <v>20</v>
      </c>
      <c r="BJ6" s="157" t="str">
        <f>设置!F30 &amp;" - 历史记录"</f>
        <v>20 - 历史记录</v>
      </c>
      <c r="BK6" s="157"/>
      <c r="BL6" s="96">
        <f>设置!F31</f>
        <v>21</v>
      </c>
      <c r="BM6" s="158" t="str">
        <f>设置!F31 &amp;" - 历史记录"</f>
        <v>21 - 历史记录</v>
      </c>
      <c r="BN6" s="158"/>
      <c r="BO6" s="95">
        <f>设置!F32</f>
        <v>22</v>
      </c>
      <c r="BP6" s="157" t="str">
        <f>设置!F32 &amp;" - 历史记录"</f>
        <v>22 - 历史记录</v>
      </c>
      <c r="BQ6" s="157"/>
      <c r="BR6" s="96">
        <f>设置!F33</f>
        <v>23</v>
      </c>
      <c r="BS6" s="158" t="str">
        <f>设置!F33 &amp;" - 历史记录"</f>
        <v>23 - 历史记录</v>
      </c>
      <c r="BT6" s="158"/>
      <c r="BU6" s="95">
        <f>设置!F34</f>
        <v>24</v>
      </c>
      <c r="BV6" s="157" t="str">
        <f>设置!F34 &amp;" - 历史记录"</f>
        <v>24 - 历史记录</v>
      </c>
      <c r="BW6" s="157"/>
      <c r="BX6" s="96">
        <f>设置!F35</f>
        <v>25</v>
      </c>
      <c r="BY6" s="158" t="str">
        <f>设置!F35 &amp;" - 历史记录"</f>
        <v>25 - 历史记录</v>
      </c>
      <c r="BZ6" s="158"/>
      <c r="CA6" s="95">
        <f>设置!F36</f>
        <v>26</v>
      </c>
      <c r="CB6" s="157" t="str">
        <f>设置!F36 &amp;" - 历史记录"</f>
        <v>26 - 历史记录</v>
      </c>
      <c r="CC6" s="157"/>
      <c r="CD6" s="96">
        <f>设置!F37</f>
        <v>27</v>
      </c>
      <c r="CE6" s="158" t="str">
        <f>设置!F37 &amp;" - 历史记录"</f>
        <v>27 - 历史记录</v>
      </c>
      <c r="CF6" s="158"/>
      <c r="CG6" s="95">
        <f>设置!F38</f>
        <v>28</v>
      </c>
      <c r="CH6" s="157" t="str">
        <f>设置!F38 &amp;" - 历史记录"</f>
        <v>28 - 历史记录</v>
      </c>
      <c r="CI6" s="157"/>
      <c r="CJ6" s="96">
        <f>设置!F39</f>
        <v>29</v>
      </c>
      <c r="CK6" s="158" t="str">
        <f>设置!F39 &amp;" - 历史记录"</f>
        <v>29 - 历史记录</v>
      </c>
      <c r="CL6" s="158"/>
      <c r="CM6" s="95">
        <f>设置!F40</f>
        <v>30</v>
      </c>
      <c r="CN6" s="157" t="str">
        <f>设置!F40 &amp;" - 历史记录"</f>
        <v>30 - 历史记录</v>
      </c>
      <c r="CO6" s="157"/>
      <c r="CP6" s="96">
        <f>设置!F41</f>
        <v>31</v>
      </c>
      <c r="CQ6" s="158" t="str">
        <f>设置!F41 &amp;" - 历史记录"</f>
        <v>31 - 历史记录</v>
      </c>
      <c r="CR6" s="158"/>
      <c r="CS6" s="95">
        <f>设置!F42</f>
        <v>32</v>
      </c>
      <c r="CT6" s="157" t="str">
        <f>设置!F42 &amp;" - 历史记录"</f>
        <v>32 - 历史记录</v>
      </c>
      <c r="CU6" s="157"/>
      <c r="CV6" s="96">
        <f>设置!F43</f>
        <v>33</v>
      </c>
      <c r="CW6" s="158" t="str">
        <f>设置!F43 &amp;" - 历史记录"</f>
        <v>33 - 历史记录</v>
      </c>
      <c r="CX6" s="158"/>
      <c r="CY6" s="95">
        <f>设置!F44</f>
        <v>34</v>
      </c>
      <c r="CZ6" s="157" t="str">
        <f>设置!F44 &amp;" - 历史记录"</f>
        <v>34 - 历史记录</v>
      </c>
      <c r="DA6" s="157"/>
      <c r="DB6" s="96">
        <f>设置!F45</f>
        <v>35</v>
      </c>
      <c r="DC6" s="158" t="str">
        <f>设置!F45 &amp;" - 历史记录"</f>
        <v>35 - 历史记录</v>
      </c>
      <c r="DD6" s="158"/>
      <c r="DE6" s="95">
        <f>设置!F46</f>
        <v>36</v>
      </c>
      <c r="DF6" s="157" t="str">
        <f>设置!F46 &amp;" - 历史记录"</f>
        <v>36 - 历史记录</v>
      </c>
      <c r="DG6" s="157"/>
      <c r="DH6" s="96">
        <f>设置!F47</f>
        <v>37</v>
      </c>
      <c r="DI6" s="158" t="str">
        <f>设置!F47 &amp;" - 历史记录"</f>
        <v>37 - 历史记录</v>
      </c>
      <c r="DJ6" s="158"/>
      <c r="DK6" s="95">
        <f>设置!F48</f>
        <v>38</v>
      </c>
      <c r="DL6" s="157" t="str">
        <f>设置!F48 &amp;" - 历史记录"</f>
        <v>38 - 历史记录</v>
      </c>
      <c r="DM6" s="157"/>
      <c r="DN6" s="96">
        <f>设置!F49</f>
        <v>39</v>
      </c>
      <c r="DO6" s="158" t="str">
        <f>设置!F49 &amp;" - 历史记录"</f>
        <v>39 - 历史记录</v>
      </c>
      <c r="DP6" s="158"/>
      <c r="DQ6" s="95">
        <f>设置!F50</f>
        <v>40</v>
      </c>
      <c r="DR6" s="157" t="str">
        <f>设置!F50 &amp;" - 历史记录"</f>
        <v>40 - 历史记录</v>
      </c>
      <c r="DS6" s="157"/>
      <c r="DT6" s="156" t="s">
        <v>72</v>
      </c>
      <c r="DU6" s="156"/>
      <c r="DV6" s="156"/>
      <c r="DW6" s="156"/>
      <c r="DX6" s="156"/>
      <c r="DY6" s="156" t="s">
        <v>88</v>
      </c>
      <c r="DZ6" s="156"/>
      <c r="EA6" s="156"/>
      <c r="EB6" s="156" t="s">
        <v>276</v>
      </c>
      <c r="EC6" s="156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125</v>
      </c>
      <c r="E8" s="98" t="s">
        <v>81</v>
      </c>
      <c r="F8" s="98" t="s">
        <v>80</v>
      </c>
      <c r="G8" s="98" t="s">
        <v>71</v>
      </c>
      <c r="H8" s="98" t="s">
        <v>79</v>
      </c>
      <c r="I8" s="98" t="s">
        <v>78</v>
      </c>
      <c r="J8" s="98" t="s">
        <v>58</v>
      </c>
      <c r="K8" s="98" t="s">
        <v>42</v>
      </c>
      <c r="L8" s="98" t="s">
        <v>77</v>
      </c>
      <c r="M8" s="98" t="s">
        <v>59</v>
      </c>
      <c r="N8" s="98" t="s">
        <v>43</v>
      </c>
      <c r="O8" s="98" t="s">
        <v>76</v>
      </c>
      <c r="P8" s="98" t="s">
        <v>60</v>
      </c>
      <c r="Q8" s="98" t="s">
        <v>44</v>
      </c>
      <c r="R8" s="98" t="s">
        <v>75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100</v>
      </c>
      <c r="AO8" s="98" t="s">
        <v>101</v>
      </c>
      <c r="AP8" s="98" t="s">
        <v>99</v>
      </c>
      <c r="AQ8" s="98" t="s">
        <v>104</v>
      </c>
      <c r="AR8" s="98" t="s">
        <v>103</v>
      </c>
      <c r="AS8" s="98" t="s">
        <v>102</v>
      </c>
      <c r="AT8" s="98" t="s">
        <v>110</v>
      </c>
      <c r="AU8" s="98" t="s">
        <v>109</v>
      </c>
      <c r="AV8" s="98" t="s">
        <v>107</v>
      </c>
      <c r="AW8" s="98" t="s">
        <v>106</v>
      </c>
      <c r="AX8" s="98" t="s">
        <v>105</v>
      </c>
      <c r="AY8" s="98" t="s">
        <v>108</v>
      </c>
      <c r="AZ8" s="98" t="s">
        <v>113</v>
      </c>
      <c r="BA8" s="98" t="s">
        <v>112</v>
      </c>
      <c r="BB8" s="98" t="s">
        <v>111</v>
      </c>
      <c r="BC8" s="98" t="s">
        <v>114</v>
      </c>
      <c r="BD8" s="98" t="s">
        <v>115</v>
      </c>
      <c r="BE8" s="98" t="s">
        <v>116</v>
      </c>
      <c r="BF8" s="98" t="s">
        <v>117</v>
      </c>
      <c r="BG8" s="98" t="s">
        <v>118</v>
      </c>
      <c r="BH8" s="98" t="s">
        <v>119</v>
      </c>
      <c r="BI8" s="98" t="s">
        <v>120</v>
      </c>
      <c r="BJ8" s="98" t="s">
        <v>121</v>
      </c>
      <c r="BK8" s="98" t="s">
        <v>122</v>
      </c>
      <c r="BL8" s="98" t="s">
        <v>160</v>
      </c>
      <c r="BM8" s="98" t="s">
        <v>161</v>
      </c>
      <c r="BN8" s="98" t="s">
        <v>159</v>
      </c>
      <c r="BO8" s="98" t="s">
        <v>162</v>
      </c>
      <c r="BP8" s="98" t="s">
        <v>163</v>
      </c>
      <c r="BQ8" s="98" t="s">
        <v>164</v>
      </c>
      <c r="BR8" s="98" t="s">
        <v>165</v>
      </c>
      <c r="BS8" s="98" t="s">
        <v>166</v>
      </c>
      <c r="BT8" s="98" t="s">
        <v>167</v>
      </c>
      <c r="BU8" s="98" t="s">
        <v>168</v>
      </c>
      <c r="BV8" s="98" t="s">
        <v>169</v>
      </c>
      <c r="BW8" s="98" t="s">
        <v>170</v>
      </c>
      <c r="BX8" s="98" t="s">
        <v>171</v>
      </c>
      <c r="BY8" s="98" t="s">
        <v>172</v>
      </c>
      <c r="BZ8" s="98" t="s">
        <v>173</v>
      </c>
      <c r="CA8" s="98" t="s">
        <v>174</v>
      </c>
      <c r="CB8" s="98" t="s">
        <v>175</v>
      </c>
      <c r="CC8" s="98" t="s">
        <v>176</v>
      </c>
      <c r="CD8" s="98" t="s">
        <v>177</v>
      </c>
      <c r="CE8" s="98" t="s">
        <v>178</v>
      </c>
      <c r="CF8" s="98" t="s">
        <v>179</v>
      </c>
      <c r="CG8" s="98" t="s">
        <v>180</v>
      </c>
      <c r="CH8" s="98" t="s">
        <v>181</v>
      </c>
      <c r="CI8" s="98" t="s">
        <v>182</v>
      </c>
      <c r="CJ8" s="98" t="s">
        <v>183</v>
      </c>
      <c r="CK8" s="98" t="s">
        <v>184</v>
      </c>
      <c r="CL8" s="98" t="s">
        <v>185</v>
      </c>
      <c r="CM8" s="98" t="s">
        <v>186</v>
      </c>
      <c r="CN8" s="98" t="s">
        <v>187</v>
      </c>
      <c r="CO8" s="98" t="s">
        <v>188</v>
      </c>
      <c r="CP8" s="98" t="s">
        <v>189</v>
      </c>
      <c r="CQ8" s="98" t="s">
        <v>190</v>
      </c>
      <c r="CR8" s="98" t="s">
        <v>191</v>
      </c>
      <c r="CS8" s="98" t="s">
        <v>192</v>
      </c>
      <c r="CT8" s="98" t="s">
        <v>193</v>
      </c>
      <c r="CU8" s="98" t="s">
        <v>194</v>
      </c>
      <c r="CV8" s="98" t="s">
        <v>195</v>
      </c>
      <c r="CW8" s="98" t="s">
        <v>196</v>
      </c>
      <c r="CX8" s="98" t="s">
        <v>197</v>
      </c>
      <c r="CY8" s="98" t="s">
        <v>198</v>
      </c>
      <c r="CZ8" s="98" t="s">
        <v>199</v>
      </c>
      <c r="DA8" s="98" t="s">
        <v>200</v>
      </c>
      <c r="DB8" s="98" t="s">
        <v>201</v>
      </c>
      <c r="DC8" s="98" t="s">
        <v>202</v>
      </c>
      <c r="DD8" s="98" t="s">
        <v>203</v>
      </c>
      <c r="DE8" s="98" t="s">
        <v>204</v>
      </c>
      <c r="DF8" s="98" t="s">
        <v>205</v>
      </c>
      <c r="DG8" s="98" t="s">
        <v>206</v>
      </c>
      <c r="DH8" s="98" t="s">
        <v>208</v>
      </c>
      <c r="DI8" s="98" t="s">
        <v>209</v>
      </c>
      <c r="DJ8" s="98" t="s">
        <v>207</v>
      </c>
      <c r="DK8" s="98" t="s">
        <v>210</v>
      </c>
      <c r="DL8" s="98" t="s">
        <v>211</v>
      </c>
      <c r="DM8" s="98" t="s">
        <v>212</v>
      </c>
      <c r="DN8" s="98" t="s">
        <v>213</v>
      </c>
      <c r="DO8" s="98" t="s">
        <v>214</v>
      </c>
      <c r="DP8" s="98" t="s">
        <v>215</v>
      </c>
      <c r="DQ8" s="98" t="s">
        <v>216</v>
      </c>
      <c r="DR8" s="98" t="s">
        <v>217</v>
      </c>
      <c r="DS8" s="98" t="s">
        <v>218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74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231</v>
      </c>
      <c r="DU9" s="69" t="s">
        <v>232</v>
      </c>
      <c r="DV9" s="70" t="s">
        <v>10</v>
      </c>
      <c r="DW9" s="70" t="s">
        <v>127</v>
      </c>
      <c r="DX9" s="55"/>
      <c r="DY9" s="70" t="s">
        <v>286</v>
      </c>
      <c r="DZ9" s="70" t="s">
        <v>269</v>
      </c>
      <c r="EA9" s="70" t="s">
        <v>127</v>
      </c>
      <c r="EB9" s="87">
        <v>45268.505555555559</v>
      </c>
      <c r="EC9" s="108"/>
      <c r="ED9" s="132" t="s">
        <v>290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281</v>
      </c>
      <c r="DU10" s="69" t="s">
        <v>282</v>
      </c>
      <c r="DV10" s="70" t="s">
        <v>11</v>
      </c>
      <c r="DW10" s="70" t="s">
        <v>127</v>
      </c>
      <c r="DX10" s="55"/>
      <c r="DY10" s="70" t="s">
        <v>287</v>
      </c>
      <c r="DZ10" s="70"/>
      <c r="EA10" s="70"/>
      <c r="EB10" s="87">
        <v>45268.505555555559</v>
      </c>
      <c r="EC10" s="108"/>
      <c r="ED10" s="132" t="s">
        <v>290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923925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1123950</xdr:colOff>
                    <xdr:row>5</xdr:row>
                    <xdr:rowOff>95250</xdr:rowOff>
                  </from>
                  <to>
                    <xdr:col>2</xdr:col>
                    <xdr:colOff>1943100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8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6" t="s">
        <v>83</v>
      </c>
      <c r="AS6" s="156"/>
      <c r="AT6" s="156"/>
      <c r="AU6" s="156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91</v>
      </c>
      <c r="Q8" s="98" t="s">
        <v>92</v>
      </c>
      <c r="R8" s="98" t="s">
        <v>93</v>
      </c>
      <c r="S8" s="98" t="s">
        <v>94</v>
      </c>
      <c r="T8" s="98" t="s">
        <v>95</v>
      </c>
      <c r="U8" s="98" t="s">
        <v>96</v>
      </c>
      <c r="V8" s="98" t="s">
        <v>97</v>
      </c>
      <c r="W8" s="98" t="s">
        <v>98</v>
      </c>
      <c r="X8" s="98" t="s">
        <v>140</v>
      </c>
      <c r="Y8" s="98" t="s">
        <v>141</v>
      </c>
      <c r="Z8" s="98" t="s">
        <v>142</v>
      </c>
      <c r="AA8" s="98" t="s">
        <v>143</v>
      </c>
      <c r="AB8" s="98" t="s">
        <v>144</v>
      </c>
      <c r="AC8" s="98" t="s">
        <v>145</v>
      </c>
      <c r="AD8" s="98" t="s">
        <v>146</v>
      </c>
      <c r="AE8" s="98" t="s">
        <v>147</v>
      </c>
      <c r="AF8" s="98" t="s">
        <v>148</v>
      </c>
      <c r="AG8" s="98" t="s">
        <v>149</v>
      </c>
      <c r="AH8" s="98" t="s">
        <v>139</v>
      </c>
      <c r="AI8" s="98" t="s">
        <v>150</v>
      </c>
      <c r="AJ8" s="98" t="s">
        <v>151</v>
      </c>
      <c r="AK8" s="98" t="s">
        <v>152</v>
      </c>
      <c r="AL8" s="98" t="s">
        <v>153</v>
      </c>
      <c r="AM8" s="98" t="s">
        <v>154</v>
      </c>
      <c r="AN8" s="98" t="s">
        <v>155</v>
      </c>
      <c r="AO8" s="98" t="s">
        <v>156</v>
      </c>
      <c r="AP8" s="98" t="s">
        <v>157</v>
      </c>
      <c r="AQ8" s="98" t="s">
        <v>158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289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/>
      <c r="AU9" s="92" t="s">
        <v>290</v>
      </c>
    </row>
    <row r="10" spans="2:47" ht="39.950000000000003" customHeight="1" x14ac:dyDescent="0.25">
      <c r="B10" s="54" cm="1">
        <f t="array" ref="B10">SN</f>
        <v>2</v>
      </c>
      <c r="C10" s="122" t="s">
        <v>288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/>
      <c r="AU10" s="92" t="s">
        <v>290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2023-12-15T17:36:51Z</cp:lastPrinted>
  <dcterms:created xsi:type="dcterms:W3CDTF">2023-11-27T09:49:08Z</dcterms:created>
  <dcterms:modified xsi:type="dcterms:W3CDTF">2023-12-16T17:00:26Z</dcterms:modified>
</cp:coreProperties>
</file>