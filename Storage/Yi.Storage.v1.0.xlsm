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1.xml" ContentType="application/vnd.ms-excel.person+xml"/>
  <Override PartName="/xl/persons/person6.xml" ContentType="application/vnd.ms-excel.person+xml"/>
  <Override PartName="/xl/persons/person14.xml" ContentType="application/vnd.ms-excel.person+xml"/>
  <Override PartName="/xl/persons/person27.xml" ContentType="application/vnd.ms-excel.person+xml"/>
  <Override PartName="/xl/persons/person9.xml" ContentType="application/vnd.ms-excel.person+xml"/>
  <Override PartName="/xl/persons/person22.xml" ContentType="application/vnd.ms-excel.person+xml"/>
  <Override PartName="/xl/persons/person21.xml" ContentType="application/vnd.ms-excel.person+xml"/>
  <Override PartName="/xl/persons/person5.xml" ContentType="application/vnd.ms-excel.person+xml"/>
  <Override PartName="/xl/persons/person13.xml" ContentType="application/vnd.ms-excel.person+xml"/>
  <Override PartName="/xl/persons/person16.xml" ContentType="application/vnd.ms-excel.person+xml"/>
  <Override PartName="/xl/persons/person26.xml" ContentType="application/vnd.ms-excel.person+xml"/>
  <Override PartName="/xl/persons/person4.xml" ContentType="application/vnd.ms-excel.person+xml"/>
  <Override PartName="/xl/persons/person8.xml" ContentType="application/vnd.ms-excel.person+xml"/>
  <Override PartName="/xl/persons/person17.xml" ContentType="application/vnd.ms-excel.person+xml"/>
  <Override PartName="/xl/persons/person12.xml" ContentType="application/vnd.ms-excel.person+xml"/>
  <Override PartName="/xl/persons/person19.xml" ContentType="application/vnd.ms-excel.person+xml"/>
  <Override PartName="/xl/persons/person25.xml" ContentType="application/vnd.ms-excel.person+xml"/>
  <Override PartName="/xl/persons/person2.xml" ContentType="application/vnd.ms-excel.person+xml"/>
  <Override PartName="/xl/persons/person10.xml" ContentType="application/vnd.ms-excel.person+xml"/>
  <Override PartName="/xl/persons/person15.xml" ContentType="application/vnd.ms-excel.person+xml"/>
  <Override PartName="/xl/persons/person23.xml" ContentType="application/vnd.ms-excel.person+xml"/>
  <Override PartName="/xl/persons/person7.xml" ContentType="application/vnd.ms-excel.person+xml"/>
  <Override PartName="/xl/persons/person18.xml" ContentType="application/vnd.ms-excel.person+xml"/>
  <Override PartName="/xl/persons/person28.xml" ContentType="application/vnd.ms-excel.person+xml"/>
  <Override PartName="/xl/persons/person24.xml" ContentType="application/vnd.ms-excel.person+xml"/>
  <Override PartName="/xl/persons/person0.xml" ContentType="application/vnd.ms-excel.person+xml"/>
  <Override PartName="/xl/persons/person20.xml" ContentType="application/vnd.ms-excel.person+xml"/>
  <Override PartName="/xl/persons/person11.xml" ContentType="application/vnd.ms-excel.person+xml"/>
  <Override PartName="/xl/persons/person3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924f5d6bcb7c7fc/"/>
    </mc:Choice>
  </mc:AlternateContent>
  <xr:revisionPtr revIDLastSave="3538" documentId="13_ncr:1_{3A56186B-04F0-4837-85DC-40D39BF5C763}" xr6:coauthVersionLast="47" xr6:coauthVersionMax="47" xr10:uidLastSave="{3A1FF8B1-4EFE-42A0-A6FA-FF6A0E9F62A8}"/>
  <bookViews>
    <workbookView xWindow="-120" yWindow="-120" windowWidth="29040" windowHeight="17520" tabRatio="624" xr2:uid="{D0F6325B-3B8F-4BA5-9699-07D322DED1F7}"/>
  </bookViews>
  <sheets>
    <sheet name="设置" sheetId="1" r:id="rId1"/>
    <sheet name="添加" sheetId="4" r:id="rId2"/>
    <sheet name="会员" sheetId="6" r:id="rId3"/>
    <sheet name="历史记录" sheetId="5" r:id="rId4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设置!$D$25:$E$25</definedName>
    <definedName name="Get_GUID">UserInfo[唯一识别码]</definedName>
    <definedName name="Get_GUID_FirstName">IFERROR(VLOOKUP(History[[#This Row],[唯一识别码]],UserInfo[[唯一识别码]:[备注]],63,0)&amp;"","")</definedName>
    <definedName name="Get_GUID_Sex">IFERROR(VLOOKUP(History[[#This Row],[唯一识别码]],UserInfo[[唯一识别码]:[备注]],64,0)&amp;"","")</definedName>
    <definedName name="Get_GUID_Surname">IFERROR(VLOOKUP(History[[#This Row],[唯一识别码]],UserInfo[[唯一识别码]:[备注]],62,0)&amp;"","")</definedName>
    <definedName name="Get_GUID_Tel">IFERROR(VLOOKUP(History[[#This Row],[唯一识别码]],UserInfo[[唯一识别码]:[备注]],67,0)&amp;"","")</definedName>
    <definedName name="Get_Staff_Member">设置!$D$17:$M$17</definedName>
    <definedName name="Get_Type_of_Access">设置!$D$23:$E$23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2">会员!$A:$BW</definedName>
    <definedName name="_xlnm.Print_Area" localSheetId="3">历史记录!$A:$AF</definedName>
    <definedName name="_xlnm.Print_Area" localSheetId="1">添加!$A:$E</definedName>
    <definedName name="_xlnm.Print_Area" localSheetId="0">设置!$A:$N</definedName>
    <definedName name="_xlnm.Print_Titles" localSheetId="2">会员!$1:$8</definedName>
    <definedName name="_xlnm.Print_Titles" localSheetId="3">历史记录!$1:$8</definedName>
    <definedName name="SN">ROW()-8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5" l="1" a="1"/>
  <c r="B9" i="5"/>
  <c r="B9" i="6" a="1"/>
  <c r="B9" i="6" s="1"/>
  <c r="C9" i="6" a="1"/>
  <c r="C9" i="6" s="1"/>
  <c r="AB9" i="5" s="1" a="1"/>
  <c r="AB9" i="5" s="1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4"/>
  <c r="B2" i="6"/>
  <c r="AD9" i="5" l="1" a="1"/>
  <c r="AD9" i="5" s="1"/>
  <c r="AC9" i="5" a="1"/>
  <c r="AC9" i="5" s="1"/>
  <c r="AE9" i="5" a="1"/>
  <c r="AE9" i="5" s="1"/>
  <c r="BK9" i="6" a="1"/>
  <c r="BK9" i="6" s="1"/>
  <c r="AY9" i="6" a="1"/>
  <c r="AY9" i="6" s="1"/>
  <c r="AM9" i="6" a="1"/>
  <c r="AM9" i="6" s="1"/>
  <c r="R9" i="6" a="1"/>
  <c r="R9" i="6" s="1"/>
  <c r="F9" i="6" a="1"/>
  <c r="F9" i="6" s="1"/>
  <c r="E9" i="6" a="1"/>
  <c r="E9" i="6" s="1"/>
  <c r="AJ9" i="6" a="1"/>
  <c r="AJ9" i="6" s="1"/>
  <c r="BJ9" i="6" a="1"/>
  <c r="BJ9" i="6" s="1"/>
  <c r="AX9" i="6" a="1"/>
  <c r="AX9" i="6" s="1"/>
  <c r="AC9" i="6" a="1"/>
  <c r="AC9" i="6" s="1"/>
  <c r="Q9" i="6" a="1"/>
  <c r="Q9" i="6" s="1"/>
  <c r="Z9" i="6" a="1"/>
  <c r="Z9" i="6" s="1"/>
  <c r="BE9" i="6" a="1"/>
  <c r="BE9" i="6" s="1"/>
  <c r="AI9" i="6" a="1"/>
  <c r="AI9" i="6" s="1"/>
  <c r="L9" i="6" a="1"/>
  <c r="L9" i="6" s="1"/>
  <c r="AR9" i="6" a="1"/>
  <c r="AR9" i="6" s="1"/>
  <c r="W9" i="6" a="1"/>
  <c r="W9" i="6" s="1"/>
  <c r="BB9" i="6" a="1"/>
  <c r="BB9" i="6" s="1"/>
  <c r="AF9" i="6" a="1"/>
  <c r="AF9" i="6" s="1"/>
  <c r="I9" i="6" a="1"/>
  <c r="I9" i="6" s="1"/>
  <c r="BA9" i="6" a="1"/>
  <c r="BA9" i="6" s="1"/>
  <c r="AD9" i="6" a="1"/>
  <c r="AD9" i="6" s="1"/>
  <c r="H9" i="6" a="1"/>
  <c r="H9" i="6" s="1"/>
  <c r="BH9" i="6" a="1"/>
  <c r="BH9" i="6" s="1"/>
  <c r="AV9" i="6" a="1"/>
  <c r="AV9" i="6" s="1"/>
  <c r="AL9" i="6" a="1"/>
  <c r="AL9" i="6" s="1"/>
  <c r="AA9" i="6" a="1"/>
  <c r="AA9" i="6" s="1"/>
  <c r="O9" i="6" a="1"/>
  <c r="O9" i="6" s="1"/>
  <c r="BG9" i="6" a="1"/>
  <c r="BG9" i="6" s="1"/>
  <c r="AU9" i="6" a="1"/>
  <c r="AU9" i="6" s="1"/>
  <c r="N9" i="6" a="1"/>
  <c r="N9" i="6" s="1"/>
  <c r="AS9" i="6" a="1"/>
  <c r="AS9" i="6" s="1"/>
  <c r="X9" i="6" a="1"/>
  <c r="X9" i="6" s="1"/>
  <c r="BD9" i="6" a="1"/>
  <c r="BD9" i="6" s="1"/>
  <c r="AG9" i="6" a="1"/>
  <c r="AG9" i="6" s="1"/>
  <c r="AE9" i="6" s="1" a="1"/>
  <c r="AE9" i="6" s="1"/>
  <c r="K9" i="6" a="1"/>
  <c r="K9" i="6" s="1"/>
  <c r="AP9" i="6" a="1"/>
  <c r="AP9" i="6" s="1"/>
  <c r="U9" i="6" a="1"/>
  <c r="U9" i="6" s="1"/>
  <c r="AO9" i="6" a="1"/>
  <c r="AO9" i="6" s="1"/>
  <c r="T9" i="6" a="1"/>
  <c r="T9" i="6" s="1"/>
  <c r="C4" i="4"/>
  <c r="S9" i="6" l="1" a="1"/>
  <c r="S9" i="6" s="1"/>
  <c r="BI9" i="6" a="1"/>
  <c r="BI9" i="6" s="1"/>
  <c r="Y9" i="6" a="1"/>
  <c r="Y9" i="6" s="1"/>
  <c r="AW9" i="6" a="1"/>
  <c r="AW9" i="6" s="1"/>
  <c r="AN9" i="6" a="1"/>
  <c r="AN9" i="6" s="1"/>
  <c r="M9" i="6" a="1"/>
  <c r="M9" i="6" s="1"/>
  <c r="G9" i="6" a="1"/>
  <c r="G9" i="6" s="1"/>
  <c r="AB9" i="6" a="1"/>
  <c r="AB9" i="6" s="1"/>
  <c r="D9" i="6" a="1"/>
  <c r="D9" i="6" s="1"/>
  <c r="AZ9" i="6" a="1"/>
  <c r="AZ9" i="6" s="1"/>
  <c r="P9" i="6" a="1"/>
  <c r="P9" i="6" s="1"/>
  <c r="AK9" i="6" a="1"/>
  <c r="AK9" i="6" s="1"/>
  <c r="V9" i="6" a="1"/>
  <c r="V9" i="6" s="1"/>
  <c r="AT9" i="6" a="1"/>
  <c r="AT9" i="6" s="1"/>
  <c r="BC9" i="6" a="1"/>
  <c r="BC9" i="6" s="1"/>
  <c r="BF9" i="6" a="1"/>
  <c r="BF9" i="6" s="1"/>
  <c r="J9" i="6" a="1"/>
  <c r="J9" i="6" s="1"/>
  <c r="AQ9" i="6" a="1"/>
  <c r="AQ9" i="6" s="1"/>
  <c r="AH9" i="6" a="1"/>
  <c r="AH9" i="6" s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I6" i="5"/>
  <c r="H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<sst xmlns="http://schemas.openxmlformats.org/spreadsheetml/2006/main" count="195" uniqueCount="154">
  <si>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</si>
  <si>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</si>
  <si>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</si>
  <si>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</si>
  <si>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</si>
  <si>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</si>
  <si>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</si>
  <si>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</si>
  <si>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</si>
  <si>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</si>
  <si>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</si>
  <si>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</si>
  <si>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</si>
  <si>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欢迎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</si>
  <si>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</si>
  <si>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</si>
  <si>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</si>
  <si>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</si>
  <si>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</si>
  <si>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</si>
  <si>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</si>
  <si>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</si>
  <si>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</si>
  <si>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</si>
  <si>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</si>
  <si>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</si>
  <si>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</si>
  <si>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其它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</si>
  <si>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</si>
  <si>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</si>
  <si>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</si>
  <si>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</si>
  <si>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</si>
  <si>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</si>
  <si>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</si>
  <si>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</si>
  <si>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</si>
  <si>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</si>
  <si>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</si>
  <si>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</si>
  <si>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</si>
  <si>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</si>
  <si>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</si>
  <si>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</si>
  <si>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</si>
  <si>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</si>
  <si>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</si>
  <si>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</si>
  <si>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</si>
  <si>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</si>
  <si>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</si>
  <si>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</si>
  <si>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</si>
  <si>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</si>
  <si>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</si>
  <si>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</si>
  <si>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</si>
  <si>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</si>
  <si>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</si>
  <si>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</si>
  <si>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</si>
  <si>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</si>
  <si>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</si>
  <si>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</si>
  <si>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</si>
  <si>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</si>
  <si>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</si>
  <si>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</si>
  <si>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</si>
  <si>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</si>
  <si>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</si>
  <si>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</si>
  <si>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</si>
  <si>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</si>
  <si>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</si>
  <si>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</si>
  <si>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</si>
  <si>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</si>
  <si>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</si>
  <si>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</si>
  <si>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</si>
  <si>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</si>
  <si>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</si>
  <si>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</si>
  <si>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编辑什么时候新增会员</t>
  </si>
  <si>
    <t>设置</t>
  </si>
  <si>
    <t>查看部分个人资料</t>
  </si>
  <si>
    <t>新增方案</t>
  </si>
  <si>
    <t>正确输入</t>
  </si>
  <si>
    <t>持平</t>
  </si>
  <si>
    <t>错误</t>
  </si>
  <si>
    <t>快捷键</t>
  </si>
  <si>
    <t>Ctrl+Shift + Q</t>
  </si>
  <si>
    <t>基本信息</t>
  </si>
  <si>
    <t>错误信息</t>
  </si>
  <si>
    <t>编辑联系方式</t>
  </si>
  <si>
    <t>图标</t>
  </si>
  <si>
    <t>Ctrl+Shift + A</t>
  </si>
  <si>
    <t>冯毅</t>
  </si>
  <si>
    <t>李怡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</si>
  <si>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</si>
  <si>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</si>
  <si>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</si>
  <si>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</si>
  <si>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</si>
  <si>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</si>
  <si>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</si>
  <si>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</si>
  <si>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</si>
  <si>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</si>
  <si>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</si>
  <si>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</si>
  <si>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</si>
  <si>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</si>
  <si>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</si>
  <si>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</si>
  <si>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</si>
  <si>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</si>
  <si>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</si>
  <si>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</si>
  <si>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</si>
  <si>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</si>
  <si>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</si>
  <si>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</si>
  <si>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</si>
  <si>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</si>
  <si>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</si>
  <si>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</si>
  <si>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</si>
  <si>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</si>
  <si>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</si>
  <si>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</si>
  <si>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</si>
  <si>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</si>
  <si>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新增历史记录自动填支取</t>
  </si>
  <si>
    <t>新增历史记录自动填存入</t>
  </si>
  <si>
    <t>历史记录 - 新增，自动填寄存</t>
  </si>
  <si>
    <t>历史记录 - 新增，自动填支取</t>
  </si>
  <si>
    <t>版本</t>
  </si>
  <si>
    <t>v1.0</t>
  </si>
  <si>
    <t>1 - 剩余</t>
  </si>
  <si>
    <t>首选员工</t>
  </si>
  <si>
    <t/>
  </si>
  <si>
    <t>李</t>
  </si>
  <si>
    <t>怡</t>
  </si>
  <si>
    <t>* 姓氏</t>
  </si>
  <si>
    <t>* 电话</t>
  </si>
  <si>
    <t>添加会员时必填</t>
  </si>
  <si>
    <t>是</t>
  </si>
  <si>
    <t>否</t>
  </si>
  <si>
    <t>项目地址</t>
  </si>
  <si>
    <t>https://github.com/ilikeyi/Office</t>
  </si>
  <si>
    <t>Https://fengyi.tel</t>
  </si>
  <si>
    <t>111-2222-3333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</si>
</sst>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4"/>
      <color rgb="FF00206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A9D08E"/>
        <bgColor theme="5" tint="0.59999389629810485"/>
      </patternFill>
    </fill>
    <fill>
      <patternFill patternType="solid">
        <fgColor rgb="FFA9D08E"/>
        <bgColor theme="5" tint="0.79998168889431442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7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0" fillId="2" borderId="0" xfId="0" applyFill="1"/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8" fillId="15" borderId="0" xfId="0" applyFont="1" applyFill="1" applyAlignment="1" applyProtection="1">
      <alignment horizontal="left" vertical="center" indent="2"/>
      <protection locked="0"/>
    </xf>
    <xf numFmtId="49" fontId="2" fillId="0" borderId="0" xfId="0" applyNumberFormat="1" applyFont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0" fontId="1" fillId="12" borderId="0" xfId="0" applyFont="1" applyFill="1" applyAlignment="1">
      <alignment horizontal="right" vertical="center" indent="1"/>
    </xf>
    <xf numFmtId="0" fontId="1" fillId="12" borderId="0" xfId="0" applyFont="1" applyFill="1" applyAlignment="1">
      <alignment horizontal="left" vertical="center" indent="2"/>
    </xf>
    <xf numFmtId="0" fontId="1" fillId="12" borderId="0" xfId="0" applyFont="1" applyFill="1" applyAlignment="1">
      <alignment vertical="center"/>
    </xf>
    <xf numFmtId="0" fontId="1" fillId="14" borderId="0" xfId="0" applyFont="1" applyFill="1" applyAlignment="1">
      <alignment horizontal="center" vertical="center"/>
    </xf>
    <xf numFmtId="0" fontId="8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1" borderId="0" xfId="0" applyFont="1" applyFill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6" fillId="11" borderId="0" xfId="0" applyFont="1" applyFill="1" applyAlignment="1">
      <alignment horizontal="left"/>
    </xf>
    <xf numFmtId="0" fontId="4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7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0" borderId="0" xfId="0" applyFont="1" applyFill="1" applyAlignment="1" applyProtection="1">
      <alignment horizontal="center" vertical="center"/>
      <protection locked="0"/>
    </xf>
    <xf numFmtId="0" fontId="2" fillId="10" borderId="0" xfId="0" applyFont="1" applyFill="1" applyAlignment="1" applyProtection="1">
      <alignment horizontal="center" vertical="center"/>
      <protection locked="0"/>
    </xf>
    <xf numFmtId="0" fontId="1" fillId="10" borderId="0" xfId="0" applyFont="1" applyFill="1" applyAlignment="1" applyProtection="1">
      <alignment horizontal="left" vertical="center" indent="2"/>
      <protection locked="0"/>
    </xf>
    <xf numFmtId="0" fontId="5" fillId="6" borderId="0" xfId="0" applyFont="1" applyFill="1" applyAlignment="1">
      <alignment horizontal="right" vertical="center" indent="2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49" fontId="1" fillId="2" borderId="0" xfId="0" applyNumberFormat="1" applyFont="1" applyFill="1" applyAlignment="1">
      <alignment horizontal="left" vertical="center" indent="1"/>
    </xf>
    <xf numFmtId="0" fontId="1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49" fontId="1" fillId="2" borderId="0" xfId="0" applyNumberFormat="1" applyFont="1" applyFill="1" applyAlignment="1">
      <alignment horizontal="right" vertical="center" indent="1"/>
    </xf>
    <xf numFmtId="0" fontId="1" fillId="5" borderId="0" xfId="0" applyFont="1" applyFill="1" applyAlignment="1">
      <alignment horizontal="left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>
      <alignment horizontal="center" vertical="center"/>
    </xf>
    <xf numFmtId="164" fontId="0" fillId="2" borderId="0" xfId="0" applyNumberFormat="1" applyFill="1"/>
    <xf numFmtId="0" fontId="1" fillId="19" borderId="0" xfId="0" applyFont="1" applyFill="1" applyAlignment="1">
      <alignment horizontal="center" vertical="center"/>
    </xf>
    <xf numFmtId="0" fontId="1" fillId="19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left" vertical="center" indent="2"/>
    </xf>
    <xf numFmtId="0" fontId="1" fillId="16" borderId="0" xfId="0" applyFont="1" applyFill="1" applyAlignment="1">
      <alignment vertical="center"/>
    </xf>
    <xf numFmtId="0" fontId="1" fillId="16" borderId="0" xfId="0" applyFont="1" applyFill="1" applyAlignment="1">
      <alignment horizontal="left" vertical="center" indent="1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6" borderId="0" xfId="0" applyFont="1" applyFill="1" applyAlignment="1">
      <alignment horizontal="center" vertical="center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10" borderId="0" xfId="0" applyFont="1" applyFill="1" applyAlignment="1">
      <alignment horizontal="center" vertical="center" wrapText="1"/>
    </xf>
    <xf numFmtId="0" fontId="1" fillId="10" borderId="0" xfId="0" applyFont="1" applyFill="1" applyAlignment="1" applyProtection="1">
      <alignment horizontal="center" vertical="center" wrapTex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0" borderId="0" xfId="0" applyFont="1" applyAlignment="1">
      <alignment horizontal="right" vertical="center" indent="1"/>
    </xf>
    <xf numFmtId="0" fontId="5" fillId="6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10" borderId="0" xfId="1" applyFont="1" applyFill="1" applyAlignment="1">
      <alignment horizontal="left" vertical="center" indent="1"/>
    </xf>
    <xf numFmtId="0" fontId="2" fillId="10" borderId="0" xfId="0" applyFont="1" applyFill="1" applyAlignment="1">
      <alignment horizontal="left" vertical="center" indent="1"/>
    </xf>
    <xf numFmtId="0" fontId="1" fillId="10" borderId="0" xfId="0" applyFont="1" applyFill="1" applyAlignment="1">
      <alignment horizontal="right" vertical="center" indent="1"/>
    </xf>
    <xf numFmtId="0" fontId="1" fillId="6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right" vertical="center" indent="2"/>
    </xf>
    <xf numFmtId="0" fontId="2" fillId="21" borderId="0" xfId="0" applyFont="1" applyFill="1" applyAlignment="1">
      <alignment horizontal="right" vertical="center" indent="2"/>
    </xf>
    <xf numFmtId="0" fontId="2" fillId="19" borderId="0" xfId="0" applyFont="1" applyFill="1" applyAlignment="1">
      <alignment horizontal="right" vertical="center" indent="2"/>
    </xf>
    <xf numFmtId="0" fontId="0" fillId="2" borderId="0" xfId="0" applyFill="1" applyAlignment="1">
      <alignment horizontal="right" indent="1"/>
    </xf>
  </cellXfs>
  <cellStyles count="2">
    <cellStyle name="Hyperlink" xfId="1" builtinId="8"/>
    <cellStyle name="Normal" xfId="0" builtinId="0"/>
  </cellStyles>
  <dxfs count="223"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rgb="FF9AD0C2"/>
        </patternFill>
      </fill>
    </dxf>
    <dxf>
      <fill>
        <patternFill>
          <bgColor rgb="FFC7DCA7"/>
        </patternFill>
      </fill>
    </dxf>
    <dxf>
      <fill>
        <patternFill>
          <bgColor rgb="FFFFEBD8"/>
        </patternFill>
      </fill>
    </dxf>
    <dxf>
      <fill>
        <patternFill>
          <bgColor rgb="FFE5D4FF"/>
        </patternFill>
      </fill>
    </dxf>
    <dxf>
      <fill>
        <patternFill>
          <bgColor rgb="FFF1EAFF"/>
        </patternFill>
      </fill>
    </dxf>
    <dxf>
      <fill>
        <patternFill>
          <bgColor rgb="FFE1C78F"/>
        </patternFill>
      </fill>
    </dxf>
    <dxf>
      <fill>
        <patternFill>
          <bgColor rgb="FFFAE7C9"/>
        </patternFill>
      </fill>
    </dxf>
    <dxf>
      <fill>
        <patternFill>
          <bgColor rgb="FFD988B9"/>
        </patternFill>
      </fill>
    </dxf>
    <dxf>
      <fill>
        <patternFill>
          <bgColor rgb="FFE9B824"/>
        </patternFill>
      </fill>
    </dxf>
    <dxf>
      <fill>
        <patternFill>
          <bgColor rgb="FFF5E09D"/>
        </patternFill>
      </fill>
    </dxf>
    <dxf>
      <fill>
        <patternFill>
          <bgColor rgb="FF9EB384"/>
        </patternFill>
      </fill>
    </dxf>
    <dxf>
      <fill>
        <patternFill>
          <bgColor rgb="FFFAF1E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FACBEA"/>
        </patternFill>
      </fill>
    </dxf>
    <dxf>
      <fill>
        <patternFill>
          <bgColor rgb="FFECF4D6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rgb="FF9AD0C2"/>
        </patternFill>
      </fill>
    </dxf>
    <dxf>
      <fill>
        <patternFill>
          <bgColor rgb="FFECF4D6"/>
        </patternFill>
      </fill>
    </dxf>
    <dxf>
      <fill>
        <patternFill>
          <bgColor rgb="FFC7DCA7"/>
        </patternFill>
      </fill>
    </dxf>
    <dxf>
      <fill>
        <patternFill>
          <bgColor rgb="FFFFEBD8"/>
        </patternFill>
      </fill>
    </dxf>
    <dxf>
      <fill>
        <patternFill>
          <bgColor rgb="FFE5D4FF"/>
        </patternFill>
      </fill>
    </dxf>
    <dxf>
      <fill>
        <patternFill>
          <bgColor rgb="FFF1EAFF"/>
        </patternFill>
      </fill>
    </dxf>
    <dxf>
      <fill>
        <patternFill>
          <bgColor rgb="FFE1C78F"/>
        </patternFill>
      </fill>
    </dxf>
    <dxf>
      <fill>
        <patternFill>
          <bgColor rgb="FFFAE7C9"/>
        </patternFill>
      </fill>
    </dxf>
    <dxf>
      <fill>
        <patternFill>
          <bgColor rgb="FFD988B9"/>
        </patternFill>
      </fill>
    </dxf>
    <dxf>
      <fill>
        <patternFill>
          <bgColor rgb="FFFACBEA"/>
        </patternFill>
      </fill>
    </dxf>
    <dxf>
      <fill>
        <patternFill>
          <bgColor rgb="FFE9B824"/>
        </patternFill>
      </fill>
    </dxf>
    <dxf>
      <fill>
        <patternFill>
          <bgColor rgb="FFF5E09D"/>
        </patternFill>
      </fill>
    </dxf>
    <dxf>
      <fill>
        <patternFill>
          <bgColor rgb="FF9EB384"/>
        </patternFill>
      </fill>
    </dxf>
    <dxf>
      <fill>
        <patternFill>
          <bgColor rgb="FFFAF1E4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4F3EE"/>
      <color rgb="FF227346"/>
      <color rgb="FFF8CBAD"/>
      <color rgb="FFCDC2AE"/>
      <color rgb="FFECE5C7"/>
      <color rgb="FFA9D08E"/>
      <color rgb="FFCEDEBD"/>
      <color rgb="FFFAF1E4"/>
      <color rgb="FFB4C6E7"/>
      <color rgb="FF9EB3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17/10/relationships/person" Target="persons/person1.xml"/><Relationship Id="rId18" Type="http://schemas.microsoft.com/office/2017/10/relationships/person" Target="persons/person6.xml"/><Relationship Id="rId26" Type="http://schemas.microsoft.com/office/2017/10/relationships/person" Target="persons/person14.xml"/><Relationship Id="rId39" Type="http://schemas.microsoft.com/office/2017/10/relationships/person" Target="persons/person27.xml"/><Relationship Id="rId21" Type="http://schemas.microsoft.com/office/2017/10/relationships/person" Target="persons/person9.xml"/><Relationship Id="rId34" Type="http://schemas.microsoft.com/office/2017/10/relationships/person" Target="persons/person22.xml"/><Relationship Id="rId7" Type="http://schemas.openxmlformats.org/officeDocument/2006/relationships/sharedStrings" Target="sharedStrings.xml"/><Relationship Id="rId12" Type="http://schemas.microsoft.com/office/2017/10/relationships/person" Target="persons/person21.xml"/><Relationship Id="rId17" Type="http://schemas.microsoft.com/office/2017/10/relationships/person" Target="persons/person5.xml"/><Relationship Id="rId25" Type="http://schemas.microsoft.com/office/2017/10/relationships/person" Target="persons/person13.xml"/><Relationship Id="rId33" Type="http://schemas.microsoft.com/office/2017/10/relationships/person" Target="persons/person16.xml"/><Relationship Id="rId38" Type="http://schemas.microsoft.com/office/2017/10/relationships/person" Target="persons/person26.xml"/><Relationship Id="rId2" Type="http://schemas.openxmlformats.org/officeDocument/2006/relationships/worksheet" Target="worksheets/sheet2.xml"/><Relationship Id="rId16" Type="http://schemas.microsoft.com/office/2017/10/relationships/person" Target="persons/person4.xml"/><Relationship Id="rId20" Type="http://schemas.microsoft.com/office/2017/10/relationships/person" Target="persons/person8.xml"/><Relationship Id="rId29" Type="http://schemas.microsoft.com/office/2017/10/relationships/person" Target="persons/person17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24" Type="http://schemas.microsoft.com/office/2017/10/relationships/person" Target="persons/person12.xml"/><Relationship Id="rId32" Type="http://schemas.microsoft.com/office/2017/10/relationships/person" Target="persons/person19.xml"/><Relationship Id="rId37" Type="http://schemas.microsoft.com/office/2017/10/relationships/person" Target="persons/person25.xml"/><Relationship Id="rId40" Type="http://schemas.microsoft.com/office/2017/10/relationships/person" Target="persons/person28.xml"/><Relationship Id="rId5" Type="http://schemas.openxmlformats.org/officeDocument/2006/relationships/theme" Target="theme/theme1.xml"/><Relationship Id="rId15" Type="http://schemas.microsoft.com/office/2017/10/relationships/person" Target="persons/person2.xml"/><Relationship Id="rId23" Type="http://schemas.microsoft.com/office/2017/10/relationships/person" Target="persons/person10.xml"/><Relationship Id="rId28" Type="http://schemas.microsoft.com/office/2017/10/relationships/person" Target="persons/person15.xml"/><Relationship Id="rId36" Type="http://schemas.microsoft.com/office/2017/10/relationships/person" Target="persons/person23.xml"/><Relationship Id="rId10" Type="http://schemas.openxmlformats.org/officeDocument/2006/relationships/calcChain" Target="calcChain.xml"/><Relationship Id="rId19" Type="http://schemas.microsoft.com/office/2017/10/relationships/person" Target="persons/person7.xml"/><Relationship Id="rId31" Type="http://schemas.microsoft.com/office/2017/10/relationships/person" Target="persons/person18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35" Type="http://schemas.microsoft.com/office/2017/10/relationships/person" Target="persons/person24.xml"/><Relationship Id="rId27" Type="http://schemas.microsoft.com/office/2017/10/relationships/person" Target="persons/person0.xml"/><Relationship Id="rId30" Type="http://schemas.microsoft.com/office/2017/10/relationships/person" Target="persons/person20.xml"/><Relationship Id="rId22" Type="http://schemas.microsoft.com/office/2017/10/relationships/person" Target="persons/person11.xml"/><Relationship Id="rId14" Type="http://schemas.microsoft.com/office/2017/10/relationships/person" Target="persons/person3.xml"/><Relationship Id="rId8" Type="http://schemas.openxmlformats.org/officeDocument/2006/relationships/sheetMetadata" Target="metadata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508611</xdr:colOff>
      <xdr:row>2</xdr:row>
      <xdr:rowOff>67773</xdr:rowOff>
    </xdr:from>
    <xdr:to>
      <xdr:col>1</xdr:col>
      <xdr:colOff>1120373</xdr:colOff>
      <xdr:row>3</xdr:row>
      <xdr:rowOff>365125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1174" y="274148"/>
          <a:ext cx="611762" cy="6783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3019425</xdr:colOff>
          <xdr:row>1</xdr:row>
          <xdr:rowOff>209550</xdr:rowOff>
        </xdr:from>
        <xdr:to>
          <xdr:col>3</xdr:col>
          <xdr:colOff>3609975</xdr:colOff>
          <xdr:row>1</xdr:row>
          <xdr:rowOff>485775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219075</xdr:rowOff>
        </xdr:from>
        <xdr:to>
          <xdr:col>3</xdr:col>
          <xdr:colOff>2419350</xdr:colOff>
          <xdr:row>1</xdr:row>
          <xdr:rowOff>495300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160338</xdr:colOff>
          <xdr:row>5</xdr:row>
          <xdr:rowOff>77785</xdr:rowOff>
        </xdr:from>
        <xdr:to>
          <xdr:col>2</xdr:col>
          <xdr:colOff>893763</xdr:colOff>
          <xdr:row>5</xdr:row>
          <xdr:rowOff>439735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1130301</xdr:colOff>
          <xdr:row>5</xdr:row>
          <xdr:rowOff>77785</xdr:rowOff>
        </xdr:from>
        <xdr:to>
          <xdr:col>2</xdr:col>
          <xdr:colOff>1863726</xdr:colOff>
          <xdr:row>5</xdr:row>
          <xdr:rowOff>439735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ersons/person8.xml><?xml version="1.0" encoding="utf-8"?>
<personList xmlns="http://schemas.microsoft.com/office/spreadsheetml/2018/threadedcomments" xmlns:x="http://schemas.openxmlformats.org/spreadsheetml/2006/main"/>
</file>

<file path=xl/persons/person9.xml><?xml version="1.0" encoding="utf-8"?>
<personList xmlns="http://schemas.microsoft.com/office/spreadsheetml/2018/threadedcomments" xmlns:x="http://schemas.openxmlformats.org/spreadsheetml/2006/main"/>
</file>

<file path=xl/persons/person10.xml><?xml version="1.0" encoding="utf-8"?>
<personList xmlns="http://schemas.microsoft.com/office/spreadsheetml/2018/threadedcomments" xmlns:x="http://schemas.openxmlformats.org/spreadsheetml/2006/main"/>
</file>

<file path=xl/persons/person11.xml><?xml version="1.0" encoding="utf-8"?>
<personList xmlns="http://schemas.microsoft.com/office/spreadsheetml/2018/threadedcomments" xmlns:x="http://schemas.openxmlformats.org/spreadsheetml/2006/main"/>
</file>

<file path=xl/persons/person12.xml><?xml version="1.0" encoding="utf-8"?>
<personList xmlns="http://schemas.microsoft.com/office/spreadsheetml/2018/threadedcomments" xmlns:x="http://schemas.openxmlformats.org/spreadsheetml/2006/main"/>
</file>

<file path=xl/persons/person13.xml><?xml version="1.0" encoding="utf-8"?>
<personList xmlns="http://schemas.microsoft.com/office/spreadsheetml/2018/threadedcomments" xmlns:x="http://schemas.openxmlformats.org/spreadsheetml/2006/main"/>
</file>

<file path=xl/persons/person14.xml><?xml version="1.0" encoding="utf-8"?>
<personList xmlns="http://schemas.microsoft.com/office/spreadsheetml/2018/threadedcomments" xmlns:x="http://schemas.openxmlformats.org/spreadsheetml/2006/main"/>
</file>

<file path=xl/persons/person15.xml><?xml version="1.0" encoding="utf-8"?>
<personList xmlns="http://schemas.microsoft.com/office/spreadsheetml/2018/threadedcomments" xmlns:x="http://schemas.openxmlformats.org/spreadsheetml/2006/main"/>
</file>

<file path=xl/persons/person16.xml><?xml version="1.0" encoding="utf-8"?>
<personList xmlns="http://schemas.microsoft.com/office/spreadsheetml/2018/threadedcomments" xmlns:x="http://schemas.openxmlformats.org/spreadsheetml/2006/main"/>
</file>

<file path=xl/persons/person17.xml><?xml version="1.0" encoding="utf-8"?>
<personList xmlns="http://schemas.microsoft.com/office/spreadsheetml/2018/threadedcomments" xmlns:x="http://schemas.openxmlformats.org/spreadsheetml/2006/main"/>
</file>

<file path=xl/persons/person18.xml><?xml version="1.0" encoding="utf-8"?>
<personList xmlns="http://schemas.microsoft.com/office/spreadsheetml/2018/threadedcomments" xmlns:x="http://schemas.openxmlformats.org/spreadsheetml/2006/main"/>
</file>

<file path=xl/persons/person19.xml><?xml version="1.0" encoding="utf-8"?>
<personList xmlns="http://schemas.microsoft.com/office/spreadsheetml/2018/threadedcomments" xmlns:x="http://schemas.openxmlformats.org/spreadsheetml/2006/main"/>
</file>

<file path=xl/persons/person20.xml><?xml version="1.0" encoding="utf-8"?>
<personList xmlns="http://schemas.microsoft.com/office/spreadsheetml/2018/threadedcomments" xmlns:x="http://schemas.openxmlformats.org/spreadsheetml/2006/main"/>
</file>

<file path=xl/persons/person21.xml><?xml version="1.0" encoding="utf-8"?>
<personList xmlns="http://schemas.microsoft.com/office/spreadsheetml/2018/threadedcomments" xmlns:x="http://schemas.openxmlformats.org/spreadsheetml/2006/main"/>
</file>

<file path=xl/persons/person22.xml><?xml version="1.0" encoding="utf-8"?>
<personList xmlns="http://schemas.microsoft.com/office/spreadsheetml/2018/threadedcomments" xmlns:x="http://schemas.openxmlformats.org/spreadsheetml/2006/main"/>
</file>

<file path=xl/persons/person23.xml><?xml version="1.0" encoding="utf-8"?>
<personList xmlns="http://schemas.microsoft.com/office/spreadsheetml/2018/threadedcomments" xmlns:x="http://schemas.openxmlformats.org/spreadsheetml/2006/main"/>
</file>

<file path=xl/persons/person24.xml><?xml version="1.0" encoding="utf-8"?>
<personList xmlns="http://schemas.microsoft.com/office/spreadsheetml/2018/threadedcomments" xmlns:x="http://schemas.openxmlformats.org/spreadsheetml/2006/main"/>
</file>

<file path=xl/persons/person25.xml><?xml version="1.0" encoding="utf-8"?>
<personList xmlns="http://schemas.microsoft.com/office/spreadsheetml/2018/threadedcomments" xmlns:x="http://schemas.openxmlformats.org/spreadsheetml/2006/main"/>
</file>

<file path=xl/persons/person26.xml><?xml version="1.0" encoding="utf-8"?>
<personList xmlns="http://schemas.microsoft.com/office/spreadsheetml/2018/threadedcomments" xmlns:x="http://schemas.openxmlformats.org/spreadsheetml/2006/main"/>
</file>

<file path=xl/persons/person27.xml><?xml version="1.0" encoding="utf-8"?>
<personList xmlns="http://schemas.microsoft.com/office/spreadsheetml/2018/threadedcomments" xmlns:x="http://schemas.openxmlformats.org/spreadsheetml/2006/main"/>
</file>

<file path=xl/persons/person28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BV9" headerRowDxfId="222" dataDxfId="221" totalsRowDxfId="220">
  <autoFilter ref="B8:BV9" xr:uid="{ADAB6017-62AE-4ECA-A153-D815FED82043}"/>
  <tableColumns count="73">
    <tableColumn id="1" xr3:uid="{69B39378-5DEE-4683-8063-2D1E5E369E67}" name="序号" totalsRowLabel="Total" dataDxfId="219" totalsRowDxfId="218">
      <calculatedColumnFormula array="1">SN</calculatedColumnFormula>
    </tableColumn>
    <tableColumn id="5" xr3:uid="{35BA10B8-A444-4F80-8F55-6146540C5A57}" name="唯一识别码" dataDxfId="217" totalsRowDxfId="216">
      <calculatedColumnFormula array="1">GUID</calculatedColumnFormula>
    </tableColumn>
    <tableColumn id="6" xr3:uid="{8A3791BE-D142-4B77-980F-0E769FF1CE0E}" name="1 - 剩余" dataDxfId="215">
      <calculatedColumnFormula array="1">Get_1_Calc</calculatedColumnFormula>
    </tableColumn>
    <tableColumn id="8" xr3:uid="{E45E7682-0361-46D3-BF20-AF1E07C3D65B}" name="1 - 存入" dataDxfId="214" totalsRowDxfId="213">
      <calculatedColumnFormula array="1">Get_1_Add</calculatedColumnFormula>
    </tableColumn>
    <tableColumn id="9" xr3:uid="{FE45F0F1-8F7A-4A14-B0E4-3EC60A580E37}" name="1 - 支取" dataDxfId="212" totalsRowDxfId="211">
      <calculatedColumnFormula array="1">Get_1_Del</calculatedColumnFormula>
    </tableColumn>
    <tableColumn id="7" xr3:uid="{B53043EA-8EAF-48CD-A1C4-F1751A029F72}" name="2 - 剩余" dataDxfId="210" totalsRowDxfId="209">
      <calculatedColumnFormula array="1">Get_2_Calc</calculatedColumnFormula>
    </tableColumn>
    <tableColumn id="10" xr3:uid="{95260041-5347-400B-AAEF-EE609D2539A1}" name="2 - 存入" dataDxfId="208" totalsRowDxfId="207">
      <calculatedColumnFormula array="1">Get_2_Add</calculatedColumnFormula>
    </tableColumn>
    <tableColumn id="11" xr3:uid="{33755691-0EB3-40CE-9B73-E91F8C102760}" name="2 - 支取" dataDxfId="206" totalsRowDxfId="205">
      <calculatedColumnFormula array="1">Get_2_Del</calculatedColumnFormula>
    </tableColumn>
    <tableColumn id="32" xr3:uid="{EC5EB628-FB36-43AE-A347-41E9ACE5D72E}" name="3 - 剩余" dataDxfId="204" totalsRowDxfId="203">
      <calculatedColumnFormula array="1">Get_3_Calc</calculatedColumnFormula>
    </tableColumn>
    <tableColumn id="33" xr3:uid="{43A56C01-D775-4C69-87D1-225F1941DB58}" name="3 - 存入" dataDxfId="202" totalsRowDxfId="201">
      <calculatedColumnFormula array="1">Get_3_Add</calculatedColumnFormula>
    </tableColumn>
    <tableColumn id="30" xr3:uid="{E3875226-6AB9-4F4B-91BF-CC71FCEAF551}" name="3 - 支取" dataDxfId="200" totalsRowDxfId="199">
      <calculatedColumnFormula array="1">Get_3_Del</calculatedColumnFormula>
    </tableColumn>
    <tableColumn id="31" xr3:uid="{B62D1E0D-5AB3-4BE3-8BC6-8442FF019A25}" name="4 - 剩余" dataDxfId="198" totalsRowDxfId="197">
      <calculatedColumnFormula array="1">Get_4_Calc</calculatedColumnFormula>
    </tableColumn>
    <tableColumn id="28" xr3:uid="{7B09D42A-E4B3-42DA-A7BC-1855D7B3276B}" name="4 - 存入" dataDxfId="196" totalsRowDxfId="195">
      <calculatedColumnFormula array="1">Get_4_Add</calculatedColumnFormula>
    </tableColumn>
    <tableColumn id="29" xr3:uid="{B7BDACF3-46DD-4203-BF1C-D95921A9EAB9}" name="4 - 支取" dataDxfId="194" totalsRowDxfId="193">
      <calculatedColumnFormula array="1">Get_4_Del</calculatedColumnFormula>
    </tableColumn>
    <tableColumn id="26" xr3:uid="{2B28D0BE-0636-4250-93AD-A6F7361B235B}" name="5 - 剩余" dataDxfId="192" totalsRowDxfId="191">
      <calculatedColumnFormula array="1">Get_5_Calc</calculatedColumnFormula>
    </tableColumn>
    <tableColumn id="27" xr3:uid="{E0E33EBF-F853-45D7-8D8D-4968D0DF550A}" name="5 - 存入" dataDxfId="190" totalsRowDxfId="189">
      <calculatedColumnFormula array="1">Get_5_Add</calculatedColumnFormula>
    </tableColumn>
    <tableColumn id="34" xr3:uid="{8BF8358E-3A1F-4FD6-A3D2-5C9ED03B66D2}" name="5 - 支取" dataDxfId="188" totalsRowDxfId="187">
      <calculatedColumnFormula array="1">Get_5_Del</calculatedColumnFormula>
    </tableColumn>
    <tableColumn id="35" xr3:uid="{BB2E7E56-CFEB-45E5-A53A-8F8601B9A6BC}" name="6 - 剩余" dataDxfId="186">
      <calculatedColumnFormula array="1">Get_6_Calc</calculatedColumnFormula>
    </tableColumn>
    <tableColumn id="36" xr3:uid="{B1C76173-BBE5-4463-A5A2-D59DF06DFEA3}" name="6 - 存入" dataDxfId="185" totalsRowDxfId="184">
      <calculatedColumnFormula array="1">Get_6_Add</calculatedColumnFormula>
    </tableColumn>
    <tableColumn id="37" xr3:uid="{252F1115-6468-4A69-A315-CC054804CD2D}" name="6 - 支取" dataDxfId="183" totalsRowDxfId="182">
      <calculatedColumnFormula array="1">Get_6_Del</calculatedColumnFormula>
    </tableColumn>
    <tableColumn id="20" xr3:uid="{A588D5D5-7793-43CD-9189-E1B0E04C4525}" name="7 - 剩余" dataDxfId="181" totalsRowDxfId="180">
      <calculatedColumnFormula array="1">Get_7_Calc</calculatedColumnFormula>
    </tableColumn>
    <tableColumn id="21" xr3:uid="{173A2F2F-7CDB-4106-BA59-7971244FD630}" name="7 - 存入" dataDxfId="179" totalsRowDxfId="178">
      <calculatedColumnFormula array="1">Get_7_Add</calculatedColumnFormula>
    </tableColumn>
    <tableColumn id="46" xr3:uid="{5DD0D315-AA29-4E95-AB07-E17D16311131}" name="7 - 支取" dataDxfId="177" totalsRowDxfId="176">
      <calculatedColumnFormula array="1">Get_7_Del</calculatedColumnFormula>
    </tableColumn>
    <tableColumn id="47" xr3:uid="{887630E9-FAB3-4BC4-AE9D-DA08EE18BEE8}" name="8 - 剩余" dataDxfId="175" totalsRowDxfId="174">
      <calculatedColumnFormula array="1">Get_8_Calc</calculatedColumnFormula>
    </tableColumn>
    <tableColumn id="44" xr3:uid="{74DD3BDF-B83E-43E2-A24B-4F5846C78DBC}" name="8 - 存入" dataDxfId="173" totalsRowDxfId="172">
      <calculatedColumnFormula array="1">Get_8_Add</calculatedColumnFormula>
    </tableColumn>
    <tableColumn id="45" xr3:uid="{F7703264-4D50-4502-8F6F-FB36B91EB021}" name="8 - 支取" dataDxfId="171" totalsRowDxfId="170">
      <calculatedColumnFormula array="1">Get_8_Del</calculatedColumnFormula>
    </tableColumn>
    <tableColumn id="42" xr3:uid="{4E67C08C-7260-499F-B198-7B6E4192E472}" name="9 - 剩余" dataDxfId="169" totalsRowDxfId="168">
      <calculatedColumnFormula array="1">Get_9_Calc</calculatedColumnFormula>
    </tableColumn>
    <tableColumn id="43" xr3:uid="{7F9B0DDB-B0CF-4F25-BEAA-5F937B25BDE0}" name="9 - 存入" dataDxfId="167" totalsRowDxfId="166">
      <calculatedColumnFormula array="1">Get_9_Add</calculatedColumnFormula>
    </tableColumn>
    <tableColumn id="40" xr3:uid="{3AA5B498-FA98-483A-A388-6B6F74476BFD}" name="9 - 支取" dataDxfId="165" totalsRowDxfId="164">
      <calculatedColumnFormula array="1">Get_9_Del</calculatedColumnFormula>
    </tableColumn>
    <tableColumn id="41" xr3:uid="{82D58ED2-A190-4823-8868-5A26D45CD476}" name="10 - 剩余" dataDxfId="163" totalsRowDxfId="162">
      <calculatedColumnFormula array="1">Get_10_Calc</calculatedColumnFormula>
    </tableColumn>
    <tableColumn id="38" xr3:uid="{800CF74D-0283-4B1A-9909-EF49C70CBE94}" name="10 - 存入" dataDxfId="161" totalsRowDxfId="160">
      <calculatedColumnFormula array="1">Get_10_Add</calculatedColumnFormula>
    </tableColumn>
    <tableColumn id="39" xr3:uid="{276FBA7A-AC3A-4E59-B8B1-B09B169E6837}" name="10 - 支取" dataDxfId="159" totalsRowDxfId="158">
      <calculatedColumnFormula array="1">Get_10_Del</calculatedColumnFormula>
    </tableColumn>
    <tableColumn id="48" xr3:uid="{A7B9D79E-F38B-48CB-AEE5-E7B7F6EF5C2C}" name="11 - 剩余" dataDxfId="157" totalsRowDxfId="156">
      <calculatedColumnFormula array="1">Get_11_Calc</calculatedColumnFormula>
    </tableColumn>
    <tableColumn id="49" xr3:uid="{01CFCCAE-6F8F-4C1E-8FF6-6275897A542E}" name="11 - 存入" dataDxfId="155" totalsRowDxfId="154">
      <calculatedColumnFormula array="1">Get_11_Add</calculatedColumnFormula>
    </tableColumn>
    <tableColumn id="14" xr3:uid="{27E31913-0377-43BF-8773-DF68330317BA}" name="11 - 支取" dataDxfId="153" totalsRowDxfId="152">
      <calculatedColumnFormula array="1">Get_11_Del</calculatedColumnFormula>
    </tableColumn>
    <tableColumn id="51" xr3:uid="{5B85F460-5E62-4025-895D-56CA23340014}" name="12 - 剩余" dataDxfId="151" totalsRowDxfId="150">
      <calculatedColumnFormula array="1">Get_12_Calc</calculatedColumnFormula>
    </tableColumn>
    <tableColumn id="52" xr3:uid="{0EC70A7E-2DCB-4261-AA03-9B9BE1BAEC8F}" name="12 - 存入" dataDxfId="149" totalsRowDxfId="148">
      <calculatedColumnFormula array="1">Get_12_Add</calculatedColumnFormula>
    </tableColumn>
    <tableColumn id="50" xr3:uid="{3EB42EAC-DC06-4CC0-A5A9-B7FE23DC5389}" name="12 - 支取" dataDxfId="147" totalsRowDxfId="146">
      <calculatedColumnFormula array="1">Get_12_Del</calculatedColumnFormula>
    </tableColumn>
    <tableColumn id="65" xr3:uid="{EDF8FCAF-50EB-44D5-B6A9-3CD2A6E9AE1E}" name="13 - 剩余" dataDxfId="145" totalsRowDxfId="144">
      <calculatedColumnFormula array="1">Get_13_Calc</calculatedColumnFormula>
    </tableColumn>
    <tableColumn id="66" xr3:uid="{F5CC81DC-58D2-4192-A82D-389419FBEF0D}" name="13 - 存入" dataDxfId="143" totalsRowDxfId="142">
      <calculatedColumnFormula array="1">Get_13_Add</calculatedColumnFormula>
    </tableColumn>
    <tableColumn id="67" xr3:uid="{CDD18276-7453-4E17-BA82-D9E26BD8811B}" name="13 - 支取" dataDxfId="141" totalsRowDxfId="140">
      <calculatedColumnFormula array="1">Get_13_Del</calculatedColumnFormula>
    </tableColumn>
    <tableColumn id="62" xr3:uid="{68ACC17D-E3C3-4466-88A6-F2F14F757F76}" name="14 - 剩余" dataDxfId="139" totalsRowDxfId="138">
      <calculatedColumnFormula array="1">Get_14_Calc</calculatedColumnFormula>
    </tableColumn>
    <tableColumn id="63" xr3:uid="{0E0EE3C5-8F3C-4968-B0E6-50B1C2B616A8}" name="14 - 存入" dataDxfId="137" totalsRowDxfId="136">
      <calculatedColumnFormula array="1">Get_14_Add</calculatedColumnFormula>
    </tableColumn>
    <tableColumn id="64" xr3:uid="{AD67C543-6A27-4C51-906F-D522151C0D92}" name="14 - 支取" dataDxfId="135" totalsRowDxfId="134">
      <calculatedColumnFormula array="1">Get_14_Del</calculatedColumnFormula>
    </tableColumn>
    <tableColumn id="59" xr3:uid="{7CAE30DB-B183-4017-8A77-F435FA507A01}" name="15 - 剩余" dataDxfId="133" totalsRowDxfId="132">
      <calculatedColumnFormula array="1">Get_15_Calc</calculatedColumnFormula>
    </tableColumn>
    <tableColumn id="60" xr3:uid="{10EF06B0-FD95-42A9-BFCC-64BBC565CA14}" name="15 - 存入" dataDxfId="131" totalsRowDxfId="130">
      <calculatedColumnFormula array="1">Get_15_Add</calculatedColumnFormula>
    </tableColumn>
    <tableColumn id="61" xr3:uid="{6301F8B4-4D01-4FDA-8D32-75921B15A2D9}" name="15 - 支取" dataDxfId="129" totalsRowDxfId="128">
      <calculatedColumnFormula array="1">Get_15_Del</calculatedColumnFormula>
    </tableColumn>
    <tableColumn id="56" xr3:uid="{05F125DE-5AE7-4786-ACBC-DAF9D7222A62}" name="16 - 剩余" dataDxfId="127" totalsRowDxfId="126">
      <calculatedColumnFormula array="1">Get_16_Calc</calculatedColumnFormula>
    </tableColumn>
    <tableColumn id="57" xr3:uid="{7E6969DC-E3FC-4DA8-BB9D-6B36E075458F}" name="16 - 存入" dataDxfId="125" totalsRowDxfId="124">
      <calculatedColumnFormula array="1">Get_16_Add</calculatedColumnFormula>
    </tableColumn>
    <tableColumn id="58" xr3:uid="{84C80CB2-57F5-4B66-8756-5573CD699D16}" name="16 - 支取" dataDxfId="123" totalsRowDxfId="122">
      <calculatedColumnFormula array="1">Get_16_Del</calculatedColumnFormula>
    </tableColumn>
    <tableColumn id="53" xr3:uid="{65516705-AD27-4ECA-AF09-D132C51E08CE}" name="17 - 剩余" dataDxfId="121" totalsRowDxfId="120">
      <calculatedColumnFormula array="1">Get_17_Calc</calculatedColumnFormula>
    </tableColumn>
    <tableColumn id="54" xr3:uid="{0756DBD3-FDA1-4E71-849C-F20BBD0A5182}" name="17 - 存入" dataDxfId="119" totalsRowDxfId="118">
      <calculatedColumnFormula array="1">Get_17_Add</calculatedColumnFormula>
    </tableColumn>
    <tableColumn id="55" xr3:uid="{51CB254C-5F29-4215-8FE0-F8B8B7B32759}" name="17 - 支取" dataDxfId="117" totalsRowDxfId="116">
      <calculatedColumnFormula array="1">Get_17_Del</calculatedColumnFormula>
    </tableColumn>
    <tableColumn id="68" xr3:uid="{9C2EC294-A2C3-40B0-9E15-FFA1DA6DE0E7}" name="18 - 剩余" dataDxfId="115" totalsRowDxfId="114">
      <calculatedColumnFormula array="1">Get_18_Calc</calculatedColumnFormula>
    </tableColumn>
    <tableColumn id="69" xr3:uid="{A371F69D-1236-4AAC-B5F1-72D518D6FC69}" name="18 - 存入" dataDxfId="113" totalsRowDxfId="112">
      <calculatedColumnFormula array="1">Get_18_Add</calculatedColumnFormula>
    </tableColumn>
    <tableColumn id="70" xr3:uid="{7B3C5D9B-BC0C-404F-9490-CDADC350F1D7}" name="18 - 支取" dataDxfId="111" totalsRowDxfId="110">
      <calculatedColumnFormula array="1">Get_18_Del</calculatedColumnFormula>
    </tableColumn>
    <tableColumn id="19" xr3:uid="{91B42855-55D1-4A6A-B9A8-5EE011ADEB10}" name="19 - 剩余" dataDxfId="109" totalsRowDxfId="108">
      <calculatedColumnFormula array="1">Get_19_Calc</calculatedColumnFormula>
    </tableColumn>
    <tableColumn id="18" xr3:uid="{98EE3A39-A8AB-42CF-AEB5-291E8B95D8CA}" name="19 - 存入" dataDxfId="107" totalsRowDxfId="106">
      <calculatedColumnFormula array="1">Get_19_Add</calculatedColumnFormula>
    </tableColumn>
    <tableColumn id="73" xr3:uid="{DB40D44F-8801-4D50-BA48-8323E05D2E13}" name="19 - 支取" dataDxfId="105" totalsRowDxfId="104">
      <calculatedColumnFormula array="1">Get_19_Del</calculatedColumnFormula>
    </tableColumn>
    <tableColumn id="72" xr3:uid="{470D5EC3-31A6-4851-B48C-D6DDADACC807}" name="20 - 剩余" dataDxfId="103" totalsRowDxfId="102">
      <calculatedColumnFormula array="1">Get_20_Calc</calculatedColumnFormula>
    </tableColumn>
    <tableColumn id="71" xr3:uid="{39143051-B360-4CEF-883D-35BFEEAE3BA0}" name="20 - 存入" dataDxfId="101" totalsRowDxfId="100">
      <calculatedColumnFormula array="1">Get_20_Add</calculatedColumnFormula>
    </tableColumn>
    <tableColumn id="15" xr3:uid="{8C1BB1E7-B23F-46EC-AE4E-28A3C394FD55}" name="20 - 支取" dataDxfId="99" totalsRowDxfId="98">
      <calculatedColumnFormula array="1">Get_20_Del</calculatedColumnFormula>
    </tableColumn>
    <tableColumn id="2" xr3:uid="{6838A7E0-670C-4A2D-AF67-326212D8D278}" name="姓氏" dataDxfId="97" totalsRowDxfId="96"/>
    <tableColumn id="25" xr3:uid="{0E0946FC-F3D2-412C-BDE7-636B8FDBFE7C}" name="名字" dataDxfId="95" totalsRowDxfId="94"/>
    <tableColumn id="3" xr3:uid="{E7DD7F6C-DAA7-4B96-9638-5C8F7FEFCC2E}" name="性别" dataDxfId="93" totalsRowDxfId="92"/>
    <tableColumn id="23" xr3:uid="{AABD28F8-91AC-4EA0-915D-2F3C990C193D}" name="身份证号码" dataDxfId="91" totalsRowDxfId="90"/>
    <tableColumn id="24" xr3:uid="{14505223-157D-4FB0-A334-A4E4687523F8}" name="年龄" dataDxfId="89" totalsRowDxfId="88"/>
    <tableColumn id="4" xr3:uid="{B39F2860-CADF-40CB-832A-CCDE8501D7E3}" name="电话" dataDxfId="87" totalsRowDxfId="86"/>
    <tableColumn id="16" xr3:uid="{6E8928D1-6540-4241-9B8F-BFBC65F8DA26}" name="Email" dataDxfId="85" totalsRowDxfId="84"/>
    <tableColumn id="17" xr3:uid="{5422D38F-7826-4B14-9992-0434FAF52537}" name="家庭住址" dataDxfId="83" totalsRowDxfId="82"/>
    <tableColumn id="13" xr3:uid="{1096126D-9431-4280-89CE-FD45CA05D86A}" name="添加会员时间" dataDxfId="81" totalsRowDxfId="80"/>
    <tableColumn id="22" xr3:uid="{8DAD451D-44A8-40A3-A244-DDF540273F95}" name="添加会员工号" dataDxfId="79" totalsRowDxfId="78"/>
    <tableColumn id="12" xr3:uid="{A8D286B9-575E-4C05-8F77-63C322A43E3C}" name="备注" totalsRowFunction="count" dataDxfId="77" totalsRowDxfId="7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E9" totalsRowShown="0" headerRowDxfId="75" dataDxfId="74">
  <autoFilter ref="B8:AE9" xr:uid="{B82E5E9F-8725-4EAF-B9F2-1889C4CE31C6}"/>
  <tableColumns count="30">
    <tableColumn id="1" xr3:uid="{B2E2102C-8F4D-4C47-9CD3-463EA2BB39CA}" name="序号" dataDxfId="73">
      <calculatedColumnFormula array="1">SN</calculatedColumnFormula>
    </tableColumn>
    <tableColumn id="2" xr3:uid="{B2493920-5E1A-4FDC-9855-B9542A099E48}" name="唯一识别码" dataDxfId="72"/>
    <tableColumn id="5" xr3:uid="{5B86D5AB-C839-4645-A1C3-6DB8BE627282}" name="1" dataDxfId="71"/>
    <tableColumn id="6" xr3:uid="{D0DA84C9-F1D2-46E3-B7CE-A8366D8983EB}" name="2" dataDxfId="70"/>
    <tableColumn id="18" xr3:uid="{9E40E7FF-8010-4EF5-8D65-05F090D03F3E}" name="3" dataDxfId="69"/>
    <tableColumn id="21" xr3:uid="{5F083938-0DC4-423F-A299-44247D468027}" name="4" dataDxfId="68"/>
    <tableColumn id="22" xr3:uid="{24908B7A-CF9B-4D63-9022-D399C13A94C1}" name="5" dataDxfId="67"/>
    <tableColumn id="19" xr3:uid="{BEB80215-8B61-4914-86E2-724F4F55059E}" name="6" dataDxfId="66"/>
    <tableColumn id="20" xr3:uid="{E54DF6BD-FDB6-4958-9792-37D84186C5F8}" name="7" dataDxfId="65"/>
    <tableColumn id="17" xr3:uid="{3C5E9469-24AB-4CCF-9097-5413D53FE08B}" name="8" dataDxfId="64"/>
    <tableColumn id="25" xr3:uid="{DF31ADD6-D425-448A-84D6-24EA4C755749}" name="9" dataDxfId="63"/>
    <tableColumn id="24" xr3:uid="{C42F8972-B742-4D35-A952-3D872596299B}" name="10" dataDxfId="62"/>
    <tableColumn id="23" xr3:uid="{B41C44E2-038E-439D-88E8-97ACB7CC434D}" name="11" dataDxfId="61"/>
    <tableColumn id="16" xr3:uid="{6BD74C15-D3CF-47C3-AFCC-D562BF1584D8}" name="12" dataDxfId="60"/>
    <tableColumn id="26" xr3:uid="{3AA81C31-DC87-4EC0-8317-62466BCA688D}" name="13" dataDxfId="59"/>
    <tableColumn id="29" xr3:uid="{C0462957-AD6C-4B5C-8DE8-98D81D3496D1}" name="14" dataDxfId="58"/>
    <tableColumn id="30" xr3:uid="{91E73BB4-A5D3-4098-ADFA-7676E1DD74AC}" name="15" dataDxfId="57"/>
    <tableColumn id="27" xr3:uid="{7188DC63-0EDC-479C-8DF8-171846E035A9}" name="16" dataDxfId="56"/>
    <tableColumn id="28" xr3:uid="{902017B5-4692-492C-9165-FFBAA7A9EFA2}" name="17" dataDxfId="55"/>
    <tableColumn id="15" xr3:uid="{3A772841-0990-4D32-BD79-3A55F182D58A}" name="18" dataDxfId="54"/>
    <tableColumn id="13" xr3:uid="{5994AF1F-2C09-49F7-BEAE-5244545BE579}" name="19" dataDxfId="53"/>
    <tableColumn id="12" xr3:uid="{52D6369B-5841-4774-8BDE-05C74F09EAC1}" name="20" dataDxfId="52"/>
    <tableColumn id="4" xr3:uid="{702BF576-18B9-4757-B976-A4C2C46CD578}" name="类型" dataDxfId="51"/>
    <tableColumn id="3" xr3:uid="{2DB9E3FB-FAB2-4AAE-92D3-3923415905C1}" name="时间" dataDxfId="50"/>
    <tableColumn id="7" xr3:uid="{09F84C56-CC9A-4AF7-B58F-B7114DD50367}" name="工号" dataDxfId="49"/>
    <tableColumn id="8" xr3:uid="{56756BBB-4B3E-40A7-A199-808B905113E1}" name="备注" dataDxfId="48"/>
    <tableColumn id="9" xr3:uid="{BCE20F30-9475-46D1-BEB1-DF495963EC10}" name="姓氏" dataDxfId="47">
      <calculatedColumnFormula array="1">Get_GUID_Surname</calculatedColumnFormula>
    </tableColumn>
    <tableColumn id="14" xr3:uid="{10D88850-369F-44DB-B01C-39765423DC2D}" name="名字" dataDxfId="46">
      <calculatedColumnFormula array="1">Get_GUID_FirstName</calculatedColumnFormula>
    </tableColumn>
    <tableColumn id="11" xr3:uid="{A2574277-30B9-48C6-9CD0-6FB63841CC2C}" name="性别" dataDxfId="45">
      <calculatedColumnFormula array="1">Get_GUID_Sex</calculatedColumnFormula>
    </tableColumn>
    <tableColumn id="10" xr3:uid="{0F3F93DF-DD01-4264-8F73-28B0327E8641}" name="电话" dataDxfId="44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1">
    <tabColor rgb="FF92D050"/>
    <pageSetUpPr fitToPage="1"/>
  </sheetPr>
  <dimension ref="A1:N47"/>
  <sheetViews>
    <sheetView showGridLines="0" tabSelected="1" zoomScaleNormal="100" workbookViewId="0">
      <selection activeCell="D8" sqref="D8"/>
    </sheetView>
  </sheetViews>
  <sheetFormatPr defaultColWidth="0" defaultRowHeight="39.950000000000003" customHeight="1" zeroHeight="1" x14ac:dyDescent="0.25"/>
  <cols>
    <col min="1" max="1" width="2.7109375" style="1" customWidth="1"/>
    <col min="2" max="3" width="18.7109375" style="1" customWidth="1"/>
    <col min="4" max="13" width="14.7109375" style="1" customWidth="1"/>
    <col min="14" max="14" width="2.7109375" style="1" customWidth="1"/>
    <col min="15" max="16384" width="9.140625" style="1" hidden="1"/>
  </cols>
  <sheetData>
    <row r="1" spans="2:13" s="4" customFormat="1" ht="6" customHeight="1" x14ac:dyDescent="0.25"/>
    <row r="2" spans="2:13" s="22" customFormat="1" ht="9.9499999999999993" customHeight="1" x14ac:dyDescent="0.25"/>
    <row r="3" spans="2:13" s="22" customFormat="1" ht="30" customHeight="1" x14ac:dyDescent="0.25">
      <c r="B3" s="23"/>
      <c r="C3" s="24" t="s">
        <v>13</v>
      </c>
    </row>
    <row r="4" spans="2:13" s="22" customFormat="1" ht="30" customHeight="1" x14ac:dyDescent="0.25">
      <c r="B4" s="25"/>
      <c r="C4" s="26" t="s">
        <v>85</v>
      </c>
    </row>
    <row r="5" spans="2:13" s="22" customFormat="1" ht="9.9499999999999993" customHeight="1" x14ac:dyDescent="0.25"/>
    <row r="6" spans="2:13" ht="16.5" customHeight="1" x14ac:dyDescent="0.25">
      <c r="G6" s="27"/>
      <c r="H6" s="27"/>
      <c r="I6" s="27"/>
      <c r="J6" s="27"/>
      <c r="K6" s="27"/>
    </row>
    <row r="7" spans="2:13" ht="2.1" customHeight="1" x14ac:dyDescent="0.25">
      <c r="B7" s="35"/>
      <c r="C7" s="46"/>
      <c r="D7" s="47"/>
      <c r="E7" s="47"/>
      <c r="F7" s="47"/>
      <c r="G7" s="47"/>
      <c r="H7" s="47"/>
      <c r="I7" s="47"/>
      <c r="J7" s="47"/>
      <c r="K7" s="47"/>
      <c r="L7" s="47"/>
      <c r="M7" s="47"/>
    </row>
    <row r="8" spans="2:13" ht="39.950000000000003" customHeight="1" x14ac:dyDescent="0.25">
      <c r="B8" s="35" t="s">
        <v>14</v>
      </c>
      <c r="C8" s="28" t="s">
        <v>12</v>
      </c>
      <c r="D8" s="34" t="s">
        <v>19</v>
      </c>
      <c r="E8" s="29"/>
      <c r="F8" s="29"/>
      <c r="G8" s="29"/>
      <c r="H8" s="29"/>
      <c r="I8" s="29"/>
      <c r="J8" s="29"/>
      <c r="K8" s="29"/>
      <c r="L8" s="29"/>
      <c r="M8" s="29"/>
    </row>
    <row r="9" spans="2:13" ht="2.1" customHeight="1" x14ac:dyDescent="0.25">
      <c r="B9" s="35"/>
      <c r="C9" s="46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2:13" ht="39.950000000000003" customHeight="1" x14ac:dyDescent="0.25">
      <c r="B10" s="35" t="s">
        <v>15</v>
      </c>
      <c r="C10" s="28" t="s">
        <v>0</v>
      </c>
      <c r="D10" s="28">
        <v>1</v>
      </c>
      <c r="E10" s="28">
        <v>2</v>
      </c>
      <c r="F10" s="28">
        <v>3</v>
      </c>
      <c r="G10" s="28">
        <v>4</v>
      </c>
      <c r="H10" s="28">
        <v>5</v>
      </c>
      <c r="I10" s="28">
        <v>6</v>
      </c>
      <c r="J10" s="28">
        <v>7</v>
      </c>
      <c r="K10" s="28">
        <v>8</v>
      </c>
      <c r="L10" s="28">
        <v>9</v>
      </c>
      <c r="M10" s="28">
        <v>10</v>
      </c>
    </row>
    <row r="11" spans="2:13" ht="39.950000000000003" customHeight="1" x14ac:dyDescent="0.25">
      <c r="B11" s="35"/>
      <c r="C11" s="28" t="s">
        <v>43</v>
      </c>
      <c r="D11" s="30">
        <v>1</v>
      </c>
      <c r="E11" s="31">
        <v>2</v>
      </c>
      <c r="F11" s="30">
        <v>3</v>
      </c>
      <c r="G11" s="31">
        <v>4</v>
      </c>
      <c r="H11" s="30">
        <v>5</v>
      </c>
      <c r="I11" s="31">
        <v>6</v>
      </c>
      <c r="J11" s="30">
        <v>7</v>
      </c>
      <c r="K11" s="31">
        <v>8</v>
      </c>
      <c r="L11" s="30">
        <v>9</v>
      </c>
      <c r="M11" s="31">
        <v>10</v>
      </c>
    </row>
    <row r="12" spans="2:13" ht="39.950000000000003" customHeight="1" x14ac:dyDescent="0.25">
      <c r="B12" s="35"/>
      <c r="C12" s="28" t="s">
        <v>0</v>
      </c>
      <c r="D12" s="28">
        <v>11</v>
      </c>
      <c r="E12" s="28">
        <v>12</v>
      </c>
      <c r="F12" s="28">
        <v>13</v>
      </c>
      <c r="G12" s="28">
        <v>14</v>
      </c>
      <c r="H12" s="28">
        <v>15</v>
      </c>
      <c r="I12" s="28">
        <v>16</v>
      </c>
      <c r="J12" s="28">
        <v>17</v>
      </c>
      <c r="K12" s="28">
        <v>18</v>
      </c>
      <c r="L12" s="28">
        <v>19</v>
      </c>
      <c r="M12" s="28">
        <v>20</v>
      </c>
    </row>
    <row r="13" spans="2:13" ht="39.950000000000003" customHeight="1" x14ac:dyDescent="0.25">
      <c r="B13" s="35"/>
      <c r="C13" s="28" t="s">
        <v>43</v>
      </c>
      <c r="D13" s="30">
        <v>11</v>
      </c>
      <c r="E13" s="31">
        <v>12</v>
      </c>
      <c r="F13" s="30">
        <v>13</v>
      </c>
      <c r="G13" s="31">
        <v>14</v>
      </c>
      <c r="H13" s="30">
        <v>15</v>
      </c>
      <c r="I13" s="31">
        <v>16</v>
      </c>
      <c r="J13" s="30">
        <v>17</v>
      </c>
      <c r="K13" s="31">
        <v>18</v>
      </c>
      <c r="L13" s="30">
        <v>19</v>
      </c>
      <c r="M13" s="31">
        <v>20</v>
      </c>
    </row>
    <row r="14" spans="2:13" ht="2.1" customHeight="1" x14ac:dyDescent="0.25">
      <c r="B14" s="35"/>
      <c r="C14" s="46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2:13" ht="39.950000000000003" customHeight="1" x14ac:dyDescent="0.25">
      <c r="B15" s="35" t="s">
        <v>16</v>
      </c>
      <c r="C15" s="28" t="s">
        <v>141</v>
      </c>
      <c r="D15" s="57" t="s">
        <v>99</v>
      </c>
      <c r="E15" s="56"/>
      <c r="F15" s="56"/>
      <c r="G15" s="56"/>
      <c r="H15" s="56"/>
      <c r="I15" s="56"/>
      <c r="J15" s="56"/>
      <c r="K15" s="56"/>
      <c r="L15" s="56"/>
      <c r="M15" s="56"/>
    </row>
    <row r="16" spans="2:13" ht="2.1" customHeight="1" x14ac:dyDescent="0.25">
      <c r="B16" s="35"/>
      <c r="C16" s="46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2:13" ht="39.950000000000003" customHeight="1" x14ac:dyDescent="0.25">
      <c r="B17" s="35"/>
      <c r="C17" s="28" t="s">
        <v>31</v>
      </c>
      <c r="D17" s="32" t="s">
        <v>98</v>
      </c>
      <c r="E17" s="32" t="s">
        <v>99</v>
      </c>
      <c r="F17" s="32"/>
      <c r="G17" s="33"/>
      <c r="H17" s="33"/>
      <c r="I17" s="33"/>
      <c r="J17" s="33"/>
      <c r="K17" s="33"/>
      <c r="L17" s="32"/>
      <c r="M17" s="32"/>
    </row>
    <row r="18" spans="2:13" ht="39.950000000000003" customHeight="1" x14ac:dyDescent="0.25">
      <c r="B18" s="35"/>
      <c r="C18" s="28" t="s">
        <v>32</v>
      </c>
      <c r="D18" s="32"/>
      <c r="E18" s="32"/>
      <c r="F18" s="32"/>
      <c r="G18" s="33"/>
      <c r="H18" s="33"/>
      <c r="I18" s="33"/>
      <c r="J18" s="33"/>
      <c r="K18" s="33"/>
      <c r="L18" s="32"/>
      <c r="M18" s="32"/>
    </row>
    <row r="19" spans="2:13" ht="2.1" customHeight="1" x14ac:dyDescent="0.25">
      <c r="B19" s="35"/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2:13" ht="39.950000000000003" customHeight="1" x14ac:dyDescent="0.25">
      <c r="B20" s="35"/>
      <c r="C20" s="28" t="s">
        <v>147</v>
      </c>
      <c r="D20" s="56" t="s">
        <v>30</v>
      </c>
      <c r="E20" s="29" t="s">
        <v>1</v>
      </c>
      <c r="F20" s="29" t="s">
        <v>23</v>
      </c>
      <c r="G20" s="48" t="s">
        <v>22</v>
      </c>
      <c r="H20" s="48" t="s">
        <v>24</v>
      </c>
      <c r="I20" s="48" t="s">
        <v>25</v>
      </c>
      <c r="J20" s="48"/>
      <c r="K20" s="48"/>
      <c r="L20" s="29"/>
      <c r="M20" s="29"/>
    </row>
    <row r="21" spans="2:13" ht="39.950000000000003" customHeight="1" x14ac:dyDescent="0.25">
      <c r="B21" s="35"/>
      <c r="C21" s="28"/>
      <c r="D21" s="32" t="s">
        <v>148</v>
      </c>
      <c r="E21" s="32" t="s">
        <v>149</v>
      </c>
      <c r="F21" s="32" t="s">
        <v>149</v>
      </c>
      <c r="G21" s="33" t="s">
        <v>149</v>
      </c>
      <c r="H21" s="33" t="s">
        <v>149</v>
      </c>
      <c r="I21" s="33" t="s">
        <v>149</v>
      </c>
      <c r="J21" s="48"/>
      <c r="K21" s="48"/>
      <c r="L21" s="29"/>
      <c r="M21" s="29"/>
    </row>
    <row r="22" spans="2:13" ht="2.1" customHeight="1" x14ac:dyDescent="0.25">
      <c r="B22" s="35"/>
      <c r="C22" s="46"/>
      <c r="D22" s="47"/>
      <c r="E22" s="47"/>
      <c r="F22" s="47"/>
      <c r="G22" s="47"/>
      <c r="H22" s="47"/>
      <c r="I22" s="47"/>
      <c r="J22" s="47"/>
      <c r="K22" s="47"/>
      <c r="L22" s="47"/>
      <c r="M22" s="47"/>
    </row>
    <row r="23" spans="2:13" ht="39.950000000000003" customHeight="1" x14ac:dyDescent="0.25">
      <c r="B23" s="35" t="s">
        <v>17</v>
      </c>
      <c r="C23" s="28" t="s">
        <v>5</v>
      </c>
      <c r="D23" s="48" t="s">
        <v>8</v>
      </c>
      <c r="E23" s="48" t="s">
        <v>9</v>
      </c>
      <c r="F23" s="29"/>
      <c r="G23" s="29"/>
      <c r="H23" s="29"/>
      <c r="I23" s="29"/>
      <c r="J23" s="29"/>
      <c r="K23" s="29"/>
      <c r="L23" s="29"/>
      <c r="M23" s="29"/>
    </row>
    <row r="24" spans="2:13" ht="2.1" customHeight="1" x14ac:dyDescent="0.25">
      <c r="B24" s="35"/>
      <c r="C24" s="46"/>
      <c r="D24" s="47"/>
      <c r="E24" s="47"/>
      <c r="F24" s="47"/>
      <c r="G24" s="47"/>
      <c r="H24" s="47"/>
      <c r="I24" s="47"/>
      <c r="J24" s="47"/>
      <c r="K24" s="47"/>
      <c r="L24" s="47"/>
      <c r="M24" s="47"/>
    </row>
    <row r="25" spans="2:13" ht="39.950000000000003" customHeight="1" x14ac:dyDescent="0.25">
      <c r="B25" s="35" t="s">
        <v>26</v>
      </c>
      <c r="C25" s="28" t="s">
        <v>1</v>
      </c>
      <c r="D25" s="48" t="s">
        <v>10</v>
      </c>
      <c r="E25" s="48" t="s">
        <v>11</v>
      </c>
      <c r="F25" s="29"/>
      <c r="G25" s="29"/>
      <c r="H25" s="29"/>
      <c r="I25" s="29"/>
      <c r="J25" s="29"/>
      <c r="K25" s="29"/>
      <c r="L25" s="29"/>
      <c r="M25" s="29"/>
    </row>
    <row r="26" spans="2:13" ht="2.1" customHeight="1" x14ac:dyDescent="0.25">
      <c r="B26" s="35"/>
      <c r="C26" s="46"/>
      <c r="D26" s="47"/>
      <c r="E26" s="47"/>
      <c r="F26" s="47"/>
      <c r="G26" s="47"/>
      <c r="H26" s="47"/>
      <c r="I26" s="47"/>
      <c r="J26" s="47"/>
      <c r="K26" s="47"/>
      <c r="L26" s="47"/>
      <c r="M26" s="47"/>
    </row>
    <row r="27" spans="2:13" ht="15.95" customHeight="1" x14ac:dyDescent="0.25"/>
    <row r="28" spans="2:13" ht="2.1" customHeight="1" x14ac:dyDescent="0.25">
      <c r="B28" s="35"/>
      <c r="C28" s="46"/>
      <c r="D28" s="47"/>
      <c r="E28" s="47"/>
      <c r="F28" s="47"/>
      <c r="G28" s="47"/>
      <c r="H28" s="47"/>
      <c r="I28" s="47"/>
      <c r="J28" s="47"/>
      <c r="K28" s="47"/>
      <c r="L28" s="47"/>
      <c r="M28" s="47"/>
    </row>
    <row r="29" spans="2:13" ht="39.950000000000003" customHeight="1" x14ac:dyDescent="0.25">
      <c r="B29" s="53" t="s">
        <v>91</v>
      </c>
      <c r="C29" s="29" t="s">
        <v>97</v>
      </c>
      <c r="D29" s="51" t="s">
        <v>136</v>
      </c>
      <c r="E29" s="49"/>
    </row>
    <row r="30" spans="2:13" ht="39.950000000000003" customHeight="1" x14ac:dyDescent="0.25">
      <c r="B30" s="53"/>
      <c r="C30" s="29" t="s">
        <v>92</v>
      </c>
      <c r="D30" s="51" t="s">
        <v>137</v>
      </c>
      <c r="E30" s="50"/>
    </row>
    <row r="31" spans="2:13" ht="2.1" customHeight="1" x14ac:dyDescent="0.25">
      <c r="B31" s="35"/>
      <c r="C31" s="46"/>
      <c r="D31" s="47"/>
      <c r="E31" s="47"/>
      <c r="F31" s="47"/>
      <c r="G31" s="47"/>
      <c r="H31" s="47"/>
      <c r="I31" s="47"/>
      <c r="J31" s="47"/>
      <c r="K31" s="47"/>
      <c r="L31" s="47"/>
      <c r="M31" s="47"/>
    </row>
    <row r="32" spans="2:13" ht="39.950000000000003" customHeight="1" x14ac:dyDescent="0.25">
      <c r="B32" s="53" t="s">
        <v>96</v>
      </c>
      <c r="C32" s="75" t="s">
        <v>88</v>
      </c>
      <c r="D32" s="74">
        <v>1</v>
      </c>
    </row>
    <row r="33" spans="2:13" ht="39.950000000000003" customHeight="1" x14ac:dyDescent="0.25">
      <c r="B33" s="53"/>
      <c r="C33" s="76" t="s">
        <v>89</v>
      </c>
      <c r="D33" s="74">
        <v>0</v>
      </c>
    </row>
    <row r="34" spans="2:13" ht="39.950000000000003" customHeight="1" x14ac:dyDescent="0.25">
      <c r="B34" s="53"/>
      <c r="C34" s="77" t="s">
        <v>90</v>
      </c>
      <c r="D34" s="74">
        <v>-0.01</v>
      </c>
    </row>
    <row r="35" spans="2:13" ht="2.1" customHeight="1" x14ac:dyDescent="0.25">
      <c r="B35" s="35"/>
      <c r="C35" s="46"/>
      <c r="D35" s="47"/>
      <c r="E35" s="47"/>
      <c r="F35" s="47"/>
      <c r="G35" s="47"/>
      <c r="H35" s="47"/>
      <c r="I35" s="47"/>
      <c r="J35" s="47"/>
      <c r="K35" s="47"/>
      <c r="L35" s="47"/>
      <c r="M35" s="47"/>
    </row>
    <row r="36" spans="2:13" ht="39.950000000000003" customHeight="1" x14ac:dyDescent="0.25">
      <c r="B36" s="53" t="s">
        <v>133</v>
      </c>
      <c r="C36" s="29" t="s">
        <v>8</v>
      </c>
      <c r="D36" s="51" t="s">
        <v>135</v>
      </c>
      <c r="E36" s="51"/>
    </row>
    <row r="37" spans="2:13" ht="39.950000000000003" customHeight="1" x14ac:dyDescent="0.25">
      <c r="B37" s="73"/>
      <c r="C37" s="29" t="s">
        <v>9</v>
      </c>
      <c r="D37" s="51" t="s">
        <v>134</v>
      </c>
      <c r="E37" s="51"/>
    </row>
    <row r="38" spans="2:13" ht="2.1" customHeight="1" x14ac:dyDescent="0.25">
      <c r="B38" s="35"/>
      <c r="C38" s="46"/>
      <c r="D38" s="47"/>
      <c r="E38" s="47"/>
      <c r="F38" s="47"/>
      <c r="G38" s="47"/>
      <c r="H38" s="47"/>
      <c r="I38" s="47"/>
      <c r="J38" s="47"/>
      <c r="K38" s="47"/>
      <c r="L38" s="47"/>
      <c r="M38" s="47"/>
    </row>
    <row r="39" spans="2:13" ht="15.95" customHeight="1" x14ac:dyDescent="0.25"/>
    <row r="40" spans="2:13" ht="39.950000000000003" customHeight="1" x14ac:dyDescent="0.25">
      <c r="B40" s="67" t="s">
        <v>18</v>
      </c>
      <c r="C40" s="67"/>
      <c r="D40" s="67"/>
      <c r="E40" s="67"/>
    </row>
    <row r="41" spans="2:13" ht="39.950000000000003" customHeight="1" x14ac:dyDescent="0.25">
      <c r="B41" s="72" t="s">
        <v>20</v>
      </c>
      <c r="C41" s="70" t="s">
        <v>152</v>
      </c>
      <c r="D41" s="70"/>
      <c r="E41" s="70"/>
    </row>
    <row r="42" spans="2:13" ht="39.950000000000003" customHeight="1" x14ac:dyDescent="0.25">
      <c r="B42" s="72" t="s">
        <v>150</v>
      </c>
      <c r="C42" s="70" t="s">
        <v>151</v>
      </c>
      <c r="D42" s="70"/>
      <c r="E42" s="70"/>
    </row>
    <row r="43" spans="2:13" ht="39.950000000000003" customHeight="1" x14ac:dyDescent="0.25">
      <c r="B43" s="72" t="s">
        <v>21</v>
      </c>
      <c r="C43" s="71" t="s">
        <v>19</v>
      </c>
      <c r="D43" s="71"/>
      <c r="E43" s="71"/>
    </row>
    <row r="44" spans="2:13" ht="15.95" customHeight="1" x14ac:dyDescent="0.25"/>
    <row r="45" spans="2:13" ht="39.950000000000003" customHeight="1" x14ac:dyDescent="0.25">
      <c r="B45" s="53" t="s">
        <v>138</v>
      </c>
    </row>
    <row r="46" spans="2:13" ht="39.950000000000003" customHeight="1" x14ac:dyDescent="0.25">
      <c r="B46" s="28" t="s">
        <v>139</v>
      </c>
    </row>
    <row r="47" spans="2:13" ht="15.95" customHeight="1" x14ac:dyDescent="0.25"/>
  </sheetData>
  <sheetProtection algorithmName="SHA-512" hashValue="SxO1RDJYM5JqmLJVXNZ6002we7lGWrEkg2XtLEjlhDl54fmTnkICoFpxdGrVlBzErFuvo6+5oWf2zdyXnOY/JQ==" saltValue="a14/5CNMT1l5d3DMRGkw6w==" spinCount="100000" sheet="1" objects="1" scenarios="1" selectLockedCells="1"/>
  <mergeCells count="4">
    <mergeCell ref="C41:E41"/>
    <mergeCell ref="C42:E42"/>
    <mergeCell ref="C43:E43"/>
    <mergeCell ref="B40:E40"/>
  </mergeCells>
  <phoneticPr fontId="9" type="noConversion"/>
  <dataValidations count="2">
    <dataValidation type="list" allowBlank="1" showInputMessage="1" showErrorMessage="1" sqref="D15" xr:uid="{B0381366-608B-4108-AB08-0028EC500489}">
      <formula1>Get_Staff_Member</formula1>
    </dataValidation>
    <dataValidation type="list" allowBlank="1" showInputMessage="1" showErrorMessage="1" sqref="D21:I21" xr:uid="{74448FB4-19CD-48A8-B0C3-0146D7793234}">
      <formula1>"是, 否"</formula1>
    </dataValidation>
  </dataValidations>
  <hyperlinks>
    <hyperlink ref="C42" r:id="rId1" xr:uid="{4E14B09B-F407-4922-ABB2-323A16485ECB}"/>
    <hyperlink ref="C41" r:id="rId2" xr:uid="{77666EFC-FCC3-4734-810C-462C85F01A73}"/>
  </hyperlinks>
  <printOptions horizontalCentered="1"/>
  <pageMargins left="0.5" right="0.5" top="0.5" bottom="0.5" header="0.3" footer="0.3"/>
  <pageSetup paperSize="9" scale="71" fitToHeight="0" orientation="landscape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669" id="{68F09DDB-E3D1-424D-89AA-705FBE7DA66F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D32:D34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4">
    <tabColor rgb="FFC00000"/>
  </sheetPr>
  <dimension ref="A1:E20"/>
  <sheetViews>
    <sheetView showGridLines="0" zoomScaleNormal="100" workbookViewId="0">
      <selection activeCell="D8" sqref="D8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5.7109375" style="1" customWidth="1"/>
    <col min="4" max="4" width="56.7109375" style="1" customWidth="1"/>
    <col min="5" max="5" width="2.7109375" style="1" customWidth="1"/>
    <col min="6" max="16384" width="9.140625" style="1" hidden="1"/>
  </cols>
  <sheetData>
    <row r="1" spans="2:4" s="2" customFormat="1" ht="6" customHeight="1" x14ac:dyDescent="0.25"/>
    <row r="2" spans="2:4" s="3" customFormat="1" ht="54.95" customHeight="1" x14ac:dyDescent="0.25">
      <c r="B2" s="5" t="str">
        <f>设置!D8 &amp;" - 添加会员"</f>
        <v>Yi - 添加会员</v>
      </c>
      <c r="C2" s="5"/>
    </row>
    <row r="3" spans="2:4" ht="8.1" customHeight="1" x14ac:dyDescent="0.25"/>
    <row r="4" spans="2:4" ht="35.1" customHeight="1" x14ac:dyDescent="0.25">
      <c r="B4" s="16" t="s">
        <v>3</v>
      </c>
      <c r="C4" s="17" t="str">
        <f>CONCATENATE(IF(D8="","", _xlfn.CONCAT(D8)), IF(D9="","", _xlfn.CONCAT(D9)), IF(D10="","", _xlfn.CONCAT(" | ",D10)), IF(D14="","", _xlfn.CONCAT(" | ",D14)))</f>
        <v/>
      </c>
      <c r="D4" s="18"/>
    </row>
    <row r="5" spans="2:4" ht="15" customHeight="1" x14ac:dyDescent="0.25"/>
    <row r="6" spans="2:4" ht="35.1" customHeight="1" x14ac:dyDescent="0.25">
      <c r="B6" s="19" t="s">
        <v>94</v>
      </c>
      <c r="C6" s="13"/>
      <c r="D6" s="20"/>
    </row>
    <row r="7" spans="2:4" ht="15" customHeight="1" x14ac:dyDescent="0.25"/>
    <row r="8" spans="2:4" ht="35.1" customHeight="1" x14ac:dyDescent="0.25">
      <c r="B8" s="1" t="s">
        <v>93</v>
      </c>
      <c r="C8" s="21" t="s">
        <v>145</v>
      </c>
      <c r="D8" s="52"/>
    </row>
    <row r="9" spans="2:4" ht="35.1" customHeight="1" x14ac:dyDescent="0.25">
      <c r="C9" s="21" t="s">
        <v>30</v>
      </c>
      <c r="D9" s="12"/>
    </row>
    <row r="10" spans="2:4" ht="35.1" customHeight="1" x14ac:dyDescent="0.25">
      <c r="C10" s="21" t="s">
        <v>1</v>
      </c>
      <c r="D10" s="12"/>
    </row>
    <row r="11" spans="2:4" ht="35.1" customHeight="1" x14ac:dyDescent="0.25">
      <c r="C11" s="21" t="s">
        <v>23</v>
      </c>
      <c r="D11" s="12"/>
    </row>
    <row r="12" spans="2:4" ht="35.1" customHeight="1" x14ac:dyDescent="0.25">
      <c r="C12" s="21" t="s">
        <v>22</v>
      </c>
      <c r="D12" s="12"/>
    </row>
    <row r="13" spans="2:4" ht="15" customHeight="1" x14ac:dyDescent="0.25"/>
    <row r="14" spans="2:4" ht="35.1" customHeight="1" x14ac:dyDescent="0.25">
      <c r="B14" s="1" t="s">
        <v>100</v>
      </c>
      <c r="C14" s="21" t="s">
        <v>146</v>
      </c>
      <c r="D14" s="12"/>
    </row>
    <row r="15" spans="2:4" ht="35.1" customHeight="1" x14ac:dyDescent="0.25">
      <c r="C15" s="21" t="s">
        <v>24</v>
      </c>
      <c r="D15" s="12"/>
    </row>
    <row r="16" spans="2:4" ht="75" customHeight="1" x14ac:dyDescent="0.25">
      <c r="C16" s="21" t="s">
        <v>25</v>
      </c>
      <c r="D16" s="52"/>
    </row>
    <row r="17" spans="2:4" ht="15" customHeight="1" x14ac:dyDescent="0.25"/>
    <row r="18" spans="2:4" ht="35.1" customHeight="1" x14ac:dyDescent="0.25">
      <c r="B18" s="1" t="s">
        <v>27</v>
      </c>
      <c r="C18" s="21" t="s">
        <v>28</v>
      </c>
      <c r="D18" s="12" t="s">
        <v>142</v>
      </c>
    </row>
    <row r="19" spans="2:4" ht="135" customHeight="1" x14ac:dyDescent="0.25">
      <c r="C19" s="21" t="s">
        <v>7</v>
      </c>
      <c r="D19" s="52"/>
    </row>
    <row r="20" spans="2:4" ht="15" customHeight="1" x14ac:dyDescent="0.25"/>
  </sheetData>
  <sheetProtection algorithmName="SHA-512" hashValue="Bc7T+Bsk7YM26Yc8l7j1n3peQomajoU0v8MAGUT1S8RJP3K79c36nL3wv+pOXYZSDJRIsxvWId8/1JKCMESoSw==" saltValue="0PT+d3pacVxPO2Qoq9t8yQ==" spinCount="100000" sheet="1" objects="1" scenarios="1" selectLockedCells="1"/>
  <dataValidations count="2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18" xr:uid="{849AC0CB-094A-4443-BD3B-95425A4545E7}">
      <formula1>Get_Staff_Member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 sizeWithCells="1">
                  <from>
                    <xdr:col>3</xdr:col>
                    <xdr:colOff>3019425</xdr:colOff>
                    <xdr:row>1</xdr:row>
                    <xdr:rowOff>209550</xdr:rowOff>
                  </from>
                  <to>
                    <xdr:col>3</xdr:col>
                    <xdr:colOff>3609975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 sizeWithCells="1">
                  <from>
                    <xdr:col>3</xdr:col>
                    <xdr:colOff>1828800</xdr:colOff>
                    <xdr:row>1</xdr:row>
                    <xdr:rowOff>219075</xdr:rowOff>
                  </from>
                  <to>
                    <xdr:col>3</xdr:col>
                    <xdr:colOff>2419350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2">
    <tabColor rgb="FF7030A0"/>
    <pageSetUpPr fitToPage="1"/>
  </sheetPr>
  <dimension ref="A1:BW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7" sqref="A7"/>
      <selection pane="bottomRight" activeCell="BQ11" sqref="BQ11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37" customWidth="1"/>
    <col min="4" max="4" width="12.7109375" style="1" customWidth="1"/>
    <col min="5" max="6" width="12.7109375" style="1" hidden="1" customWidth="1"/>
    <col min="7" max="7" width="12.7109375" style="1" customWidth="1"/>
    <col min="8" max="9" width="12.7109375" style="1" hidden="1" customWidth="1"/>
    <col min="10" max="10" width="12.7109375" style="40" hidden="1" customWidth="1"/>
    <col min="11" max="12" width="12.7109375" style="1" hidden="1" customWidth="1"/>
    <col min="13" max="13" width="12.7109375" style="40" hidden="1" customWidth="1"/>
    <col min="14" max="15" width="12.7109375" style="1" hidden="1" customWidth="1"/>
    <col min="16" max="16" width="12.7109375" style="40" hidden="1" customWidth="1"/>
    <col min="17" max="18" width="12.7109375" style="1" hidden="1" customWidth="1"/>
    <col min="19" max="19" width="12.7109375" style="40" hidden="1" customWidth="1"/>
    <col min="20" max="21" width="12.7109375" style="1" hidden="1" customWidth="1"/>
    <col min="22" max="22" width="12.7109375" style="40" hidden="1" customWidth="1"/>
    <col min="23" max="24" width="12.7109375" style="1" hidden="1" customWidth="1"/>
    <col min="25" max="25" width="12.7109375" style="40" hidden="1" customWidth="1"/>
    <col min="26" max="27" width="12.7109375" style="1" hidden="1" customWidth="1"/>
    <col min="28" max="28" width="12.7109375" style="40" hidden="1" customWidth="1"/>
    <col min="29" max="30" width="12.7109375" style="1" hidden="1" customWidth="1"/>
    <col min="31" max="31" width="12.7109375" style="40" hidden="1" customWidth="1"/>
    <col min="32" max="33" width="12.7109375" style="1" hidden="1" customWidth="1"/>
    <col min="34" max="34" width="12.7109375" style="40" hidden="1" customWidth="1"/>
    <col min="35" max="36" width="12.7109375" style="1" hidden="1" customWidth="1"/>
    <col min="37" max="37" width="12.7109375" style="40" hidden="1" customWidth="1"/>
    <col min="38" max="39" width="12.7109375" style="1" hidden="1" customWidth="1"/>
    <col min="40" max="40" width="12.7109375" style="40" hidden="1" customWidth="1"/>
    <col min="41" max="42" width="12.7109375" style="1" hidden="1" customWidth="1"/>
    <col min="43" max="43" width="12.7109375" style="40" hidden="1" customWidth="1"/>
    <col min="44" max="45" width="12.7109375" style="1" hidden="1" customWidth="1"/>
    <col min="46" max="46" width="12.7109375" style="40" hidden="1" customWidth="1"/>
    <col min="47" max="48" width="12.7109375" style="1" hidden="1" customWidth="1"/>
    <col min="49" max="49" width="12.7109375" style="40" hidden="1" customWidth="1"/>
    <col min="50" max="51" width="12.7109375" style="1" hidden="1" customWidth="1"/>
    <col min="52" max="52" width="12.7109375" style="40" hidden="1" customWidth="1"/>
    <col min="53" max="54" width="12.7109375" style="1" hidden="1" customWidth="1"/>
    <col min="55" max="55" width="12.7109375" style="40" hidden="1" customWidth="1"/>
    <col min="56" max="57" width="12.7109375" style="1" hidden="1" customWidth="1"/>
    <col min="58" max="58" width="12.7109375" style="40" hidden="1" customWidth="1"/>
    <col min="59" max="60" width="12.7109375" style="1" hidden="1" customWidth="1"/>
    <col min="61" max="61" width="12.7109375" style="40" hidden="1" customWidth="1"/>
    <col min="62" max="63" width="12.7109375" style="1" hidden="1" customWidth="1"/>
    <col min="64" max="64" width="10.7109375" style="41" customWidth="1"/>
    <col min="65" max="65" width="14.7109375" style="38" customWidth="1"/>
    <col min="66" max="66" width="8.7109375" style="15" customWidth="1"/>
    <col min="67" max="67" width="24.7109375" style="15" hidden="1" customWidth="1"/>
    <col min="68" max="68" width="8.7109375" style="15" hidden="1" customWidth="1"/>
    <col min="69" max="69" width="16.7109375" style="1" customWidth="1"/>
    <col min="70" max="70" width="24.7109375" style="15" hidden="1" customWidth="1"/>
    <col min="71" max="71" width="65.7109375" style="15" hidden="1" customWidth="1"/>
    <col min="72" max="72" width="20.7109375" style="44" hidden="1" customWidth="1"/>
    <col min="73" max="73" width="14.7109375" style="15" hidden="1" customWidth="1"/>
    <col min="74" max="74" width="20.7109375" style="15" customWidth="1"/>
    <col min="75" max="75" width="2.7109375" style="1" customWidth="1"/>
    <col min="76" max="16384" width="9.140625" style="1" hidden="1"/>
  </cols>
  <sheetData>
    <row r="1" spans="2:74" s="2" customFormat="1" ht="6" customHeight="1" x14ac:dyDescent="0.25"/>
    <row r="2" spans="2:74" s="3" customFormat="1" ht="54.95" customHeight="1" x14ac:dyDescent="0.25">
      <c r="B2" s="5" t="str">
        <f>设置!D8 &amp;" - 会员详细信息"</f>
        <v>Yi - 会员详细信息</v>
      </c>
      <c r="D2" s="54"/>
    </row>
    <row r="3" spans="2:74" ht="8.1" customHeight="1" x14ac:dyDescent="0.25">
      <c r="C3" s="1"/>
      <c r="J3" s="1"/>
      <c r="M3" s="1"/>
      <c r="P3" s="1"/>
      <c r="S3" s="1"/>
      <c r="V3" s="1"/>
      <c r="Y3" s="1"/>
      <c r="AB3" s="1"/>
      <c r="AE3" s="1"/>
      <c r="AH3" s="1"/>
      <c r="AK3" s="1"/>
      <c r="AN3" s="1"/>
      <c r="AQ3" s="1"/>
      <c r="AT3" s="1"/>
      <c r="AW3" s="1"/>
      <c r="AZ3" s="1"/>
      <c r="BC3" s="1"/>
      <c r="BF3" s="1"/>
      <c r="BI3" s="1"/>
      <c r="BL3" s="1"/>
      <c r="BM3" s="1"/>
      <c r="BN3" s="1"/>
      <c r="BO3" s="1"/>
      <c r="BP3" s="1"/>
      <c r="BR3" s="1"/>
      <c r="BS3" s="1"/>
      <c r="BT3" s="1"/>
      <c r="BU3" s="1"/>
      <c r="BV3" s="1"/>
    </row>
    <row r="4" spans="2:74" ht="12" customHeight="1" x14ac:dyDescent="0.25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</row>
    <row r="5" spans="2:74" ht="8.1" customHeight="1" x14ac:dyDescent="0.25">
      <c r="C5" s="1"/>
      <c r="J5" s="1"/>
      <c r="M5" s="1"/>
      <c r="P5" s="1"/>
      <c r="S5" s="1"/>
      <c r="V5" s="1"/>
      <c r="Y5" s="1"/>
      <c r="AB5" s="1"/>
      <c r="AE5" s="1"/>
      <c r="AH5" s="1"/>
      <c r="AK5" s="1"/>
      <c r="AN5" s="1"/>
      <c r="AQ5" s="1"/>
      <c r="AT5" s="1"/>
      <c r="AW5" s="1"/>
      <c r="AZ5" s="1"/>
      <c r="BC5" s="1"/>
      <c r="BF5" s="1"/>
      <c r="BI5" s="1"/>
      <c r="BL5" s="1"/>
      <c r="BM5" s="1"/>
      <c r="BN5" s="1"/>
      <c r="BO5" s="1"/>
      <c r="BP5" s="1"/>
      <c r="BR5" s="1"/>
      <c r="BS5" s="1"/>
      <c r="BT5" s="1"/>
      <c r="BU5" s="1"/>
      <c r="BV5" s="1"/>
    </row>
    <row r="6" spans="2:74" ht="39.950000000000003" customHeight="1" x14ac:dyDescent="0.25">
      <c r="C6" s="1"/>
      <c r="D6" s="10">
        <f>设置!D11</f>
        <v>1</v>
      </c>
      <c r="E6" s="68" t="str">
        <f>设置!D11 &amp;" - 历史记录"</f>
        <v>1 - 历史记录</v>
      </c>
      <c r="F6" s="68"/>
      <c r="G6" s="39">
        <f>设置!E11</f>
        <v>2</v>
      </c>
      <c r="H6" s="69" t="str">
        <f>设置!E11 &amp;" - 历史记录"</f>
        <v>2 - 历史记录</v>
      </c>
      <c r="I6" s="69"/>
      <c r="J6" s="10">
        <f>设置!F11</f>
        <v>3</v>
      </c>
      <c r="K6" s="68" t="str">
        <f>设置!F11 &amp;" - 历史记录"</f>
        <v>3 - 历史记录</v>
      </c>
      <c r="L6" s="68"/>
      <c r="M6" s="39">
        <f>设置!G11</f>
        <v>4</v>
      </c>
      <c r="N6" s="69" t="str">
        <f>设置!G11 &amp;" - 历史记录"</f>
        <v>4 - 历史记录</v>
      </c>
      <c r="O6" s="69"/>
      <c r="P6" s="10">
        <f>设置!H11</f>
        <v>5</v>
      </c>
      <c r="Q6" s="68" t="str">
        <f>设置!H11 &amp;" - 历史记录"</f>
        <v>5 - 历史记录</v>
      </c>
      <c r="R6" s="68"/>
      <c r="S6" s="39">
        <f>设置!I11</f>
        <v>6</v>
      </c>
      <c r="T6" s="69" t="str">
        <f>设置!I11 &amp;" - 历史记录"</f>
        <v>6 - 历史记录</v>
      </c>
      <c r="U6" s="69"/>
      <c r="V6" s="10">
        <f>设置!J11</f>
        <v>7</v>
      </c>
      <c r="W6" s="68" t="str">
        <f>设置!J11 &amp;" - 历史记录"</f>
        <v>7 - 历史记录</v>
      </c>
      <c r="X6" s="68"/>
      <c r="Y6" s="39">
        <f>设置!K11</f>
        <v>8</v>
      </c>
      <c r="Z6" s="69" t="str">
        <f>设置!K11 &amp;" - 历史记录"</f>
        <v>8 - 历史记录</v>
      </c>
      <c r="AA6" s="69"/>
      <c r="AB6" s="10">
        <f>设置!L11</f>
        <v>9</v>
      </c>
      <c r="AC6" s="68" t="str">
        <f>设置!L11 &amp;" - 历史记录"</f>
        <v>9 - 历史记录</v>
      </c>
      <c r="AD6" s="68"/>
      <c r="AE6" s="39">
        <f>设置!M11</f>
        <v>10</v>
      </c>
      <c r="AF6" s="69" t="str">
        <f>设置!M11 &amp;" - 历史记录"</f>
        <v>10 - 历史记录</v>
      </c>
      <c r="AG6" s="69"/>
      <c r="AH6" s="10">
        <f>设置!D13</f>
        <v>11</v>
      </c>
      <c r="AI6" s="68" t="str">
        <f>设置!D13 &amp;" - 历史记录"</f>
        <v>11 - 历史记录</v>
      </c>
      <c r="AJ6" s="68"/>
      <c r="AK6" s="39">
        <f>设置!E13</f>
        <v>12</v>
      </c>
      <c r="AL6" s="69" t="str">
        <f>设置!E13 &amp;" - 历史记录"</f>
        <v>12 - 历史记录</v>
      </c>
      <c r="AM6" s="69"/>
      <c r="AN6" s="10">
        <f>设置!F13</f>
        <v>13</v>
      </c>
      <c r="AO6" s="68" t="str">
        <f>设置!F13 &amp;" - 历史记录"</f>
        <v>13 - 历史记录</v>
      </c>
      <c r="AP6" s="68"/>
      <c r="AQ6" s="39">
        <f>设置!G13</f>
        <v>14</v>
      </c>
      <c r="AR6" s="69" t="str">
        <f>设置!G13 &amp;" - 历史记录"</f>
        <v>14 - 历史记录</v>
      </c>
      <c r="AS6" s="69"/>
      <c r="AT6" s="10">
        <f>设置!H13</f>
        <v>15</v>
      </c>
      <c r="AU6" s="68" t="str">
        <f>设置!H13 &amp;" - 历史记录"</f>
        <v>15 - 历史记录</v>
      </c>
      <c r="AV6" s="68"/>
      <c r="AW6" s="39">
        <f>设置!I13</f>
        <v>16</v>
      </c>
      <c r="AX6" s="69" t="str">
        <f>设置!I13 &amp;" - 历史记录"</f>
        <v>16 - 历史记录</v>
      </c>
      <c r="AY6" s="69"/>
      <c r="AZ6" s="10">
        <f>设置!J13</f>
        <v>17</v>
      </c>
      <c r="BA6" s="68" t="str">
        <f>设置!J13 &amp;" - 历史记录"</f>
        <v>17 - 历史记录</v>
      </c>
      <c r="BB6" s="68"/>
      <c r="BC6" s="39">
        <f>设置!K13</f>
        <v>18</v>
      </c>
      <c r="BD6" s="69" t="str">
        <f>设置!K13 &amp;" - 历史记录"</f>
        <v>18 - 历史记录</v>
      </c>
      <c r="BE6" s="69"/>
      <c r="BF6" s="10">
        <f>设置!L13</f>
        <v>19</v>
      </c>
      <c r="BG6" s="68" t="str">
        <f>设置!L13 &amp;" - 历史记录"</f>
        <v>19 - 历史记录</v>
      </c>
      <c r="BH6" s="68"/>
      <c r="BI6" s="39">
        <f>设置!M13</f>
        <v>20</v>
      </c>
      <c r="BJ6" s="69" t="str">
        <f>设置!M13 &amp;" - 历史记录"</f>
        <v>20 - 历史记录</v>
      </c>
      <c r="BK6" s="69"/>
      <c r="BL6" s="68" t="s">
        <v>74</v>
      </c>
      <c r="BM6" s="68"/>
      <c r="BN6" s="68"/>
      <c r="BO6" s="68"/>
      <c r="BP6" s="68"/>
      <c r="BQ6" s="68" t="s">
        <v>95</v>
      </c>
      <c r="BR6" s="68"/>
      <c r="BS6" s="68"/>
      <c r="BT6" s="68" t="s">
        <v>84</v>
      </c>
      <c r="BU6" s="68"/>
      <c r="BV6" s="29"/>
    </row>
    <row r="7" spans="2:74" ht="8.1" customHeight="1" x14ac:dyDescent="0.25">
      <c r="C7" s="1"/>
      <c r="J7" s="1"/>
      <c r="M7" s="1"/>
      <c r="P7" s="1"/>
      <c r="S7" s="1"/>
      <c r="V7" s="1"/>
      <c r="Y7" s="1"/>
      <c r="AB7" s="1"/>
      <c r="AE7" s="1"/>
      <c r="AH7" s="1"/>
      <c r="AK7" s="1"/>
      <c r="AN7" s="1"/>
      <c r="AQ7" s="1"/>
      <c r="AT7" s="1"/>
      <c r="AW7" s="1"/>
      <c r="AZ7" s="1"/>
      <c r="BC7" s="1"/>
      <c r="BF7" s="1"/>
      <c r="BI7" s="1"/>
      <c r="BL7" s="1"/>
      <c r="BM7" s="1"/>
      <c r="BN7" s="1"/>
      <c r="BO7" s="1"/>
      <c r="BP7" s="1"/>
      <c r="BR7" s="1"/>
      <c r="BS7" s="1"/>
      <c r="BT7" s="1"/>
      <c r="BU7" s="1"/>
      <c r="BV7" s="1"/>
    </row>
    <row r="8" spans="2:74" s="36" customFormat="1" ht="39.950000000000003" customHeight="1" x14ac:dyDescent="0.2">
      <c r="B8" s="8" t="s">
        <v>0</v>
      </c>
      <c r="C8" s="8" t="s">
        <v>3</v>
      </c>
      <c r="D8" s="8" t="s">
        <v>140</v>
      </c>
      <c r="E8" s="8" t="s">
        <v>83</v>
      </c>
      <c r="F8" s="8" t="s">
        <v>82</v>
      </c>
      <c r="G8" s="8" t="s">
        <v>73</v>
      </c>
      <c r="H8" s="8" t="s">
        <v>81</v>
      </c>
      <c r="I8" s="8" t="s">
        <v>80</v>
      </c>
      <c r="J8" s="8" t="s">
        <v>60</v>
      </c>
      <c r="K8" s="8" t="s">
        <v>44</v>
      </c>
      <c r="L8" s="8" t="s">
        <v>79</v>
      </c>
      <c r="M8" s="8" t="s">
        <v>61</v>
      </c>
      <c r="N8" s="8" t="s">
        <v>45</v>
      </c>
      <c r="O8" s="8" t="s">
        <v>78</v>
      </c>
      <c r="P8" s="8" t="s">
        <v>62</v>
      </c>
      <c r="Q8" s="8" t="s">
        <v>46</v>
      </c>
      <c r="R8" s="8" t="s">
        <v>77</v>
      </c>
      <c r="S8" s="8" t="s">
        <v>63</v>
      </c>
      <c r="T8" s="8" t="s">
        <v>47</v>
      </c>
      <c r="U8" s="8" t="s">
        <v>70</v>
      </c>
      <c r="V8" s="8" t="s">
        <v>64</v>
      </c>
      <c r="W8" s="8" t="s">
        <v>48</v>
      </c>
      <c r="X8" s="8" t="s">
        <v>53</v>
      </c>
      <c r="Y8" s="8" t="s">
        <v>65</v>
      </c>
      <c r="Z8" s="8" t="s">
        <v>49</v>
      </c>
      <c r="AA8" s="8" t="s">
        <v>54</v>
      </c>
      <c r="AB8" s="8" t="s">
        <v>66</v>
      </c>
      <c r="AC8" s="8" t="s">
        <v>50</v>
      </c>
      <c r="AD8" s="8" t="s">
        <v>55</v>
      </c>
      <c r="AE8" s="8" t="s">
        <v>67</v>
      </c>
      <c r="AF8" s="8" t="s">
        <v>51</v>
      </c>
      <c r="AG8" s="8" t="s">
        <v>56</v>
      </c>
      <c r="AH8" s="8" t="s">
        <v>68</v>
      </c>
      <c r="AI8" s="8" t="s">
        <v>52</v>
      </c>
      <c r="AJ8" s="8" t="s">
        <v>57</v>
      </c>
      <c r="AK8" s="8" t="s">
        <v>69</v>
      </c>
      <c r="AL8" s="8" t="s">
        <v>58</v>
      </c>
      <c r="AM8" s="8" t="s">
        <v>59</v>
      </c>
      <c r="AN8" s="8" t="s">
        <v>110</v>
      </c>
      <c r="AO8" s="8" t="s">
        <v>111</v>
      </c>
      <c r="AP8" s="8" t="s">
        <v>109</v>
      </c>
      <c r="AQ8" s="8" t="s">
        <v>114</v>
      </c>
      <c r="AR8" s="8" t="s">
        <v>113</v>
      </c>
      <c r="AS8" s="8" t="s">
        <v>112</v>
      </c>
      <c r="AT8" s="8" t="s">
        <v>120</v>
      </c>
      <c r="AU8" s="8" t="s">
        <v>119</v>
      </c>
      <c r="AV8" s="8" t="s">
        <v>117</v>
      </c>
      <c r="AW8" s="8" t="s">
        <v>116</v>
      </c>
      <c r="AX8" s="8" t="s">
        <v>115</v>
      </c>
      <c r="AY8" s="8" t="s">
        <v>118</v>
      </c>
      <c r="AZ8" s="8" t="s">
        <v>123</v>
      </c>
      <c r="BA8" s="8" t="s">
        <v>122</v>
      </c>
      <c r="BB8" s="8" t="s">
        <v>121</v>
      </c>
      <c r="BC8" s="8" t="s">
        <v>124</v>
      </c>
      <c r="BD8" s="8" t="s">
        <v>125</v>
      </c>
      <c r="BE8" s="8" t="s">
        <v>126</v>
      </c>
      <c r="BF8" s="8" t="s">
        <v>127</v>
      </c>
      <c r="BG8" s="8" t="s">
        <v>128</v>
      </c>
      <c r="BH8" s="8" t="s">
        <v>129</v>
      </c>
      <c r="BI8" s="8" t="s">
        <v>130</v>
      </c>
      <c r="BJ8" s="8" t="s">
        <v>131</v>
      </c>
      <c r="BK8" s="8" t="s">
        <v>132</v>
      </c>
      <c r="BL8" s="8" t="s">
        <v>29</v>
      </c>
      <c r="BM8" s="8" t="s">
        <v>30</v>
      </c>
      <c r="BN8" s="8" t="s">
        <v>1</v>
      </c>
      <c r="BO8" s="8" t="s">
        <v>23</v>
      </c>
      <c r="BP8" s="8" t="s">
        <v>22</v>
      </c>
      <c r="BQ8" s="8" t="s">
        <v>2</v>
      </c>
      <c r="BR8" s="14" t="s">
        <v>24</v>
      </c>
      <c r="BS8" s="14" t="s">
        <v>25</v>
      </c>
      <c r="BT8" s="14" t="s">
        <v>75</v>
      </c>
      <c r="BU8" s="14" t="s">
        <v>76</v>
      </c>
      <c r="BV8" s="14" t="s">
        <v>7</v>
      </c>
    </row>
    <row r="9" spans="2:74" ht="39.950000000000003" customHeight="1" x14ac:dyDescent="0.25">
      <c r="B9" s="58" cm="1">
        <f t="array" ref="B9">SN</f>
        <v>1</v>
      </c>
      <c r="C9" s="59" t="str" cm="1">
        <f t="array" ref="C9">GUID</f>
        <v>李怡 | 女 | 111-2222-3333</v>
      </c>
      <c r="D9" s="60" cm="1">
        <f t="array" ref="D9">Get_1_Calc</f>
        <v>0</v>
      </c>
      <c r="E9" s="58" cm="1">
        <f t="array" ref="E9">Get_1_Add</f>
        <v>0</v>
      </c>
      <c r="F9" s="58" cm="1">
        <f t="array" ref="F9">Get_1_Del</f>
        <v>0</v>
      </c>
      <c r="G9" s="60" cm="1">
        <f t="array" ref="G9">Get_2_Calc</f>
        <v>0</v>
      </c>
      <c r="H9" s="58" cm="1">
        <f t="array" ref="H9">Get_2_Add</f>
        <v>0</v>
      </c>
      <c r="I9" s="58" cm="1">
        <f t="array" ref="I9">Get_2_Del</f>
        <v>0</v>
      </c>
      <c r="J9" s="60" cm="1">
        <f t="array" ref="J9">Get_3_Calc</f>
        <v>0</v>
      </c>
      <c r="K9" s="58" cm="1">
        <f t="array" ref="K9">Get_3_Add</f>
        <v>0</v>
      </c>
      <c r="L9" s="58" cm="1">
        <f t="array" ref="L9">Get_3_Del</f>
        <v>0</v>
      </c>
      <c r="M9" s="60" cm="1">
        <f t="array" ref="M9">Get_4_Calc</f>
        <v>0</v>
      </c>
      <c r="N9" s="58" cm="1">
        <f t="array" ref="N9">Get_4_Add</f>
        <v>0</v>
      </c>
      <c r="O9" s="58" cm="1">
        <f t="array" ref="O9">Get_4_Del</f>
        <v>0</v>
      </c>
      <c r="P9" s="60" cm="1">
        <f t="array" ref="P9">Get_5_Calc</f>
        <v>0</v>
      </c>
      <c r="Q9" s="58" cm="1">
        <f t="array" ref="Q9">Get_5_Add</f>
        <v>0</v>
      </c>
      <c r="R9" s="58" cm="1">
        <f t="array" ref="R9">Get_5_Del</f>
        <v>0</v>
      </c>
      <c r="S9" s="60" cm="1">
        <f t="array" ref="S9">Get_6_Calc</f>
        <v>0</v>
      </c>
      <c r="T9" s="58" cm="1">
        <f t="array" ref="T9">Get_6_Add</f>
        <v>0</v>
      </c>
      <c r="U9" s="58" cm="1">
        <f t="array" ref="U9">Get_6_Del</f>
        <v>0</v>
      </c>
      <c r="V9" s="60" cm="1">
        <f t="array" ref="V9">Get_7_Calc</f>
        <v>0</v>
      </c>
      <c r="W9" s="58" cm="1">
        <f t="array" ref="W9">Get_7_Add</f>
        <v>0</v>
      </c>
      <c r="X9" s="58" cm="1">
        <f t="array" ref="X9">Get_7_Del</f>
        <v>0</v>
      </c>
      <c r="Y9" s="60" cm="1">
        <f t="array" ref="Y9">Get_8_Calc</f>
        <v>0</v>
      </c>
      <c r="Z9" s="58" cm="1">
        <f t="array" ref="Z9">Get_8_Add</f>
        <v>0</v>
      </c>
      <c r="AA9" s="58" cm="1">
        <f t="array" ref="AA9">Get_8_Del</f>
        <v>0</v>
      </c>
      <c r="AB9" s="60" cm="1">
        <f t="array" ref="AB9">Get_9_Calc</f>
        <v>0</v>
      </c>
      <c r="AC9" s="58" cm="1">
        <f t="array" ref="AC9">Get_9_Add</f>
        <v>0</v>
      </c>
      <c r="AD9" s="58" cm="1">
        <f t="array" ref="AD9">Get_9_Del</f>
        <v>0</v>
      </c>
      <c r="AE9" s="60" cm="1">
        <f t="array" ref="AE9">Get_10_Calc</f>
        <v>0</v>
      </c>
      <c r="AF9" s="58" cm="1">
        <f t="array" ref="AF9">Get_10_Add</f>
        <v>0</v>
      </c>
      <c r="AG9" s="58" cm="1">
        <f t="array" ref="AG9">Get_10_Del</f>
        <v>0</v>
      </c>
      <c r="AH9" s="60" cm="1">
        <f t="array" ref="AH9">Get_11_Calc</f>
        <v>0</v>
      </c>
      <c r="AI9" s="58" cm="1">
        <f t="array" ref="AI9">Get_11_Add</f>
        <v>0</v>
      </c>
      <c r="AJ9" s="58" cm="1">
        <f t="array" ref="AJ9">Get_11_Del</f>
        <v>0</v>
      </c>
      <c r="AK9" s="60" cm="1">
        <f t="array" ref="AK9">Get_12_Calc</f>
        <v>0</v>
      </c>
      <c r="AL9" s="58" cm="1">
        <f t="array" ref="AL9">Get_12_Add</f>
        <v>0</v>
      </c>
      <c r="AM9" s="58" cm="1">
        <f t="array" ref="AM9">Get_12_Del</f>
        <v>0</v>
      </c>
      <c r="AN9" s="60" cm="1">
        <f t="array" ref="AN9">Get_13_Calc</f>
        <v>0</v>
      </c>
      <c r="AO9" s="58" cm="1">
        <f t="array" ref="AO9">Get_13_Add</f>
        <v>0</v>
      </c>
      <c r="AP9" s="58" cm="1">
        <f t="array" ref="AP9">Get_13_Del</f>
        <v>0</v>
      </c>
      <c r="AQ9" s="60" cm="1">
        <f t="array" ref="AQ9">Get_14_Calc</f>
        <v>0</v>
      </c>
      <c r="AR9" s="58" cm="1">
        <f t="array" ref="AR9">Get_14_Add</f>
        <v>0</v>
      </c>
      <c r="AS9" s="58" cm="1">
        <f t="array" ref="AS9">Get_14_Del</f>
        <v>0</v>
      </c>
      <c r="AT9" s="60" cm="1">
        <f t="array" ref="AT9">Get_15_Calc</f>
        <v>0</v>
      </c>
      <c r="AU9" s="58" cm="1">
        <f t="array" ref="AU9">Get_15_Add</f>
        <v>0</v>
      </c>
      <c r="AV9" s="58" cm="1">
        <f t="array" ref="AV9">Get_15_Del</f>
        <v>0</v>
      </c>
      <c r="AW9" s="60" cm="1">
        <f t="array" ref="AW9">Get_16_Calc</f>
        <v>0</v>
      </c>
      <c r="AX9" s="58" cm="1">
        <f t="array" ref="AX9">Get_16_Add</f>
        <v>0</v>
      </c>
      <c r="AY9" s="58" cm="1">
        <f t="array" ref="AY9">Get_16_Del</f>
        <v>0</v>
      </c>
      <c r="AZ9" s="60" cm="1">
        <f t="array" ref="AZ9">Get_17_Calc</f>
        <v>0</v>
      </c>
      <c r="BA9" s="58" cm="1">
        <f t="array" ref="BA9">Get_17_Add</f>
        <v>0</v>
      </c>
      <c r="BB9" s="58" cm="1">
        <f t="array" ref="BB9">Get_17_Del</f>
        <v>0</v>
      </c>
      <c r="BC9" s="60" cm="1">
        <f t="array" ref="BC9">Get_18_Calc</f>
        <v>0</v>
      </c>
      <c r="BD9" s="58" cm="1">
        <f t="array" ref="BD9">Get_18_Add</f>
        <v>0</v>
      </c>
      <c r="BE9" s="58" cm="1">
        <f t="array" ref="BE9">Get_18_Del</f>
        <v>0</v>
      </c>
      <c r="BF9" s="60" cm="1">
        <f t="array" ref="BF9">Get_19_Calc</f>
        <v>0</v>
      </c>
      <c r="BG9" s="58" cm="1">
        <f t="array" ref="BG9">Get_19_Add</f>
        <v>0</v>
      </c>
      <c r="BH9" s="58" cm="1">
        <f t="array" ref="BH9">Get_19_Del</f>
        <v>0</v>
      </c>
      <c r="BI9" s="60" cm="1">
        <f t="array" ref="BI9">Get_20_Calc</f>
        <v>0</v>
      </c>
      <c r="BJ9" s="58" cm="1">
        <f t="array" ref="BJ9">Get_20_Add</f>
        <v>0</v>
      </c>
      <c r="BK9" s="58" cm="1">
        <f t="array" ref="BK9">Get_20_Del</f>
        <v>0</v>
      </c>
      <c r="BL9" s="61" t="s">
        <v>143</v>
      </c>
      <c r="BM9" s="62" t="s">
        <v>144</v>
      </c>
      <c r="BN9" s="63" t="s">
        <v>11</v>
      </c>
      <c r="BO9" s="63" t="s">
        <v>142</v>
      </c>
      <c r="BP9" s="63" t="s">
        <v>142</v>
      </c>
      <c r="BQ9" s="64" t="s">
        <v>153</v>
      </c>
      <c r="BR9" s="63" t="s">
        <v>142</v>
      </c>
      <c r="BS9" s="63" t="s">
        <v>142</v>
      </c>
      <c r="BT9" s="43">
        <v>45262.075868055559</v>
      </c>
      <c r="BU9" s="63" t="s">
        <v>142</v>
      </c>
      <c r="BV9" s="63" t="s">
        <v>142</v>
      </c>
    </row>
  </sheetData>
  <sheetProtection deleteRows="0" selectLockedCells="1"/>
  <mergeCells count="2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BQ6:BS6"/>
    <mergeCell ref="BT6:BU6"/>
    <mergeCell ref="AF6:AG6"/>
    <mergeCell ref="AI6:AJ6"/>
    <mergeCell ref="BG6:BH6"/>
    <mergeCell ref="BJ6:BK6"/>
    <mergeCell ref="BL6:BP6"/>
    <mergeCell ref="BA6:BB6"/>
    <mergeCell ref="BD6:BE6"/>
    <mergeCell ref="AL6:AM6"/>
    <mergeCell ref="AO6:AP6"/>
    <mergeCell ref="AR6:AS6"/>
    <mergeCell ref="AU6:AV6"/>
    <mergeCell ref="AX6:AY6"/>
  </mergeCells>
  <phoneticPr fontId="9" type="noConversion"/>
  <conditionalFormatting sqref="BL9:BV9">
    <cfRule type="expression" dxfId="43" priority="25">
      <formula>MOD(ROW(),2)=0</formula>
    </cfRule>
    <cfRule type="expression" dxfId="42" priority="26">
      <formula>MOD(ROW(),2)=1</formula>
    </cfRule>
  </conditionalFormatting>
  <conditionalFormatting sqref="D9">
    <cfRule type="expression" dxfId="41" priority="23">
      <formula>MOD(ROW(),2)=0</formula>
    </cfRule>
    <cfRule type="expression" dxfId="40" priority="24">
      <formula>MOD(ROW(),2)=1</formula>
    </cfRule>
  </conditionalFormatting>
  <conditionalFormatting sqref="J9">
    <cfRule type="expression" dxfId="39" priority="19">
      <formula>MOD(ROW(),2)=0</formula>
    </cfRule>
    <cfRule type="expression" dxfId="38" priority="20">
      <formula>MOD(ROW(),2)=1</formula>
    </cfRule>
  </conditionalFormatting>
  <conditionalFormatting sqref="BF9">
    <cfRule type="expression" dxfId="37" priority="5">
      <formula>MOD(ROW(),2)=0</formula>
    </cfRule>
    <cfRule type="expression" dxfId="36" priority="6">
      <formula>MOD(ROW(),2)=1</formula>
    </cfRule>
  </conditionalFormatting>
  <conditionalFormatting sqref="AZ9">
    <cfRule type="expression" dxfId="35" priority="7">
      <formula>MOD(ROW(),2)=0</formula>
    </cfRule>
    <cfRule type="expression" dxfId="34" priority="8">
      <formula>MOD(ROW(),2)=1</formula>
    </cfRule>
  </conditionalFormatting>
  <conditionalFormatting sqref="AT9">
    <cfRule type="expression" dxfId="33" priority="9">
      <formula>MOD(ROW(),2)=0</formula>
    </cfRule>
    <cfRule type="expression" dxfId="32" priority="10">
      <formula>MOD(ROW(),2)=1</formula>
    </cfRule>
  </conditionalFormatting>
  <conditionalFormatting sqref="AN9">
    <cfRule type="expression" dxfId="31" priority="11">
      <formula>MOD(ROW(),2)=0</formula>
    </cfRule>
    <cfRule type="expression" dxfId="30" priority="12">
      <formula>MOD(ROW(),2)=1</formula>
    </cfRule>
  </conditionalFormatting>
  <conditionalFormatting sqref="AH9">
    <cfRule type="expression" dxfId="29" priority="13">
      <formula>MOD(ROW(),2)=0</formula>
    </cfRule>
    <cfRule type="expression" dxfId="28" priority="14">
      <formula>MOD(ROW(),2)=1</formula>
    </cfRule>
  </conditionalFormatting>
  <conditionalFormatting sqref="AB9">
    <cfRule type="expression" dxfId="27" priority="15">
      <formula>MOD(ROW(),2)=0</formula>
    </cfRule>
    <cfRule type="expression" dxfId="26" priority="16">
      <formula>MOD(ROW(),2)=1</formula>
    </cfRule>
  </conditionalFormatting>
  <conditionalFormatting sqref="V9">
    <cfRule type="expression" dxfId="25" priority="17">
      <formula>MOD(ROW(),2)=0</formula>
    </cfRule>
    <cfRule type="expression" dxfId="24" priority="18">
      <formula>MOD(ROW(),2)=1</formula>
    </cfRule>
  </conditionalFormatting>
  <conditionalFormatting sqref="P9">
    <cfRule type="expression" dxfId="23" priority="21">
      <formula>MOD(ROW(),2)=0</formula>
    </cfRule>
    <cfRule type="expression" dxfId="22" priority="22">
      <formula>MOD(ROW(),2)=1</formula>
    </cfRule>
  </conditionalFormatting>
  <dataValidations count="2">
    <dataValidation type="list" allowBlank="1" showInputMessage="1" showErrorMessage="1" sqref="BU9 BU10:BU1048576" xr:uid="{BADDA4F0-7AD3-423D-A7E8-166C7AFD28BA}">
      <formula1>Get_Staff_Member</formula1>
    </dataValidation>
    <dataValidation type="list" allowBlank="1" showInputMessage="1" showErrorMessage="1" sqref="BN9 BN10:BN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98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 moveWithCells="1" sizeWithCells="1">
                  <from>
                    <xdr:col>2</xdr:col>
                    <xdr:colOff>161925</xdr:colOff>
                    <xdr:row>5</xdr:row>
                    <xdr:rowOff>76200</xdr:rowOff>
                  </from>
                  <to>
                    <xdr:col>2</xdr:col>
                    <xdr:colOff>895350</xdr:colOff>
                    <xdr:row>5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 moveWithCells="1" sizeWithCells="1">
                  <from>
                    <xdr:col>2</xdr:col>
                    <xdr:colOff>1133475</xdr:colOff>
                    <xdr:row>5</xdr:row>
                    <xdr:rowOff>76200</xdr:rowOff>
                  </from>
                  <to>
                    <xdr:col>2</xdr:col>
                    <xdr:colOff>1866900</xdr:colOff>
                    <xdr:row>5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667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D8:D9 G8:G9 J8:J9 M8:M9 P8:P9 S8:S9 V8:V9 Y8:Y9 AB8:AB9 AE8:AE9 AH8:AH9 AK8:AK9 AN8:AN9 AQ8:AQ9 AT8:AT9 AW8:AW9 AZ8:AZ9 BC8:BC9 BF8:BF9 BI8:BI9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3">
    <tabColor rgb="FFFFFF00"/>
    <pageSetUpPr fitToPage="1"/>
  </sheetPr>
  <dimension ref="A1:AF10"/>
  <sheetViews>
    <sheetView zoomScaleNormal="100" workbookViewId="0">
      <pane xSplit="3" ySplit="8" topLeftCell="D9" activePane="bottomRight" state="frozen"/>
      <selection pane="topRight" activeCell="D1" sqref="D1"/>
      <selection pane="bottomLeft" activeCell="A7" sqref="A7"/>
      <selection pane="bottomRight" activeCell="C9" sqref="C9"/>
    </sheetView>
  </sheetViews>
  <sheetFormatPr defaultColWidth="0" defaultRowHeight="39.950000000000003" customHeight="1" x14ac:dyDescent="0.25"/>
  <cols>
    <col min="1" max="1" width="2.7109375" style="11" customWidth="1"/>
    <col min="2" max="2" width="8.7109375" style="11" customWidth="1"/>
    <col min="3" max="3" width="30.7109375" style="36" customWidth="1"/>
    <col min="4" max="5" width="12.7109375" style="11" customWidth="1"/>
    <col min="6" max="23" width="12.7109375" style="11" hidden="1" customWidth="1"/>
    <col min="24" max="24" width="10.7109375" style="11" customWidth="1"/>
    <col min="25" max="25" width="20.7109375" style="45" customWidth="1"/>
    <col min="26" max="26" width="12.7109375" style="11" customWidth="1"/>
    <col min="27" max="27" width="20.7109375" style="11" customWidth="1"/>
    <col min="28" max="28" width="10.7109375" style="78" customWidth="1"/>
    <col min="29" max="29" width="14.7109375" style="11" customWidth="1"/>
    <col min="30" max="30" width="8.7109375" style="11" customWidth="1"/>
    <col min="31" max="31" width="16.7109375" style="11" customWidth="1"/>
    <col min="32" max="32" width="2.7109375" style="11" customWidth="1"/>
    <col min="33" max="16384" width="9.140625" style="11" hidden="1"/>
  </cols>
  <sheetData>
    <row r="1" spans="2:31" s="7" customFormat="1" ht="6" customHeight="1" x14ac:dyDescent="0.25"/>
    <row r="2" spans="2:31" s="3" customFormat="1" ht="54.95" customHeight="1" x14ac:dyDescent="0.25">
      <c r="B2" s="5" t="str">
        <f>设置!D8 &amp;" - 历史记录"</f>
        <v>Yi - 历史记录</v>
      </c>
      <c r="D2" s="42"/>
      <c r="AB2" s="9"/>
      <c r="AC2" s="9"/>
      <c r="AD2" s="9"/>
      <c r="AE2" s="9"/>
    </row>
    <row r="3" spans="2:31" s="1" customFormat="1" ht="8.1" customHeight="1" x14ac:dyDescent="0.25"/>
    <row r="4" spans="2:31" ht="12" customHeight="1" x14ac:dyDescent="0.25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6"/>
      <c r="AC4" s="6"/>
      <c r="AD4" s="6"/>
      <c r="AE4" s="6"/>
    </row>
    <row r="5" spans="2:31" s="1" customFormat="1" ht="8.1" customHeight="1" x14ac:dyDescent="0.25"/>
    <row r="6" spans="2:31" ht="39.950000000000003" customHeight="1" x14ac:dyDescent="0.25">
      <c r="C6" s="11"/>
      <c r="D6" s="10">
        <f>设置!D11</f>
        <v>1</v>
      </c>
      <c r="E6" s="10">
        <f>设置!E11</f>
        <v>2</v>
      </c>
      <c r="F6" s="10">
        <f>设置!F11</f>
        <v>3</v>
      </c>
      <c r="G6" s="10">
        <f>设置!G11</f>
        <v>4</v>
      </c>
      <c r="H6" s="10">
        <f>设置!H11</f>
        <v>5</v>
      </c>
      <c r="I6" s="10">
        <f>设置!I11</f>
        <v>6</v>
      </c>
      <c r="J6" s="10">
        <f>设置!J11</f>
        <v>7</v>
      </c>
      <c r="K6" s="10">
        <f>设置!K11</f>
        <v>8</v>
      </c>
      <c r="L6" s="10">
        <f>设置!L11</f>
        <v>9</v>
      </c>
      <c r="M6" s="10">
        <f>设置!M11</f>
        <v>10</v>
      </c>
      <c r="N6" s="10">
        <f>设置!D13</f>
        <v>11</v>
      </c>
      <c r="O6" s="10">
        <f>设置!E13</f>
        <v>12</v>
      </c>
      <c r="P6" s="10">
        <f>设置!F13</f>
        <v>13</v>
      </c>
      <c r="Q6" s="10">
        <f>设置!G13</f>
        <v>14</v>
      </c>
      <c r="R6" s="10">
        <f>设置!H13</f>
        <v>15</v>
      </c>
      <c r="S6" s="10">
        <f>设置!I13</f>
        <v>16</v>
      </c>
      <c r="T6" s="10">
        <f>设置!J13</f>
        <v>17</v>
      </c>
      <c r="U6" s="10">
        <f>设置!K13</f>
        <v>18</v>
      </c>
      <c r="V6" s="10">
        <f>设置!L13</f>
        <v>19</v>
      </c>
      <c r="W6" s="10">
        <f>设置!M13</f>
        <v>20</v>
      </c>
      <c r="X6" s="68" t="s">
        <v>87</v>
      </c>
      <c r="Y6" s="68"/>
      <c r="Z6" s="68"/>
      <c r="AA6" s="68"/>
      <c r="AB6" s="68" t="s">
        <v>86</v>
      </c>
      <c r="AC6" s="68"/>
      <c r="AD6" s="68"/>
      <c r="AE6" s="68"/>
    </row>
    <row r="7" spans="2:31" ht="8.1" customHeight="1" x14ac:dyDescent="0.25">
      <c r="C7" s="11"/>
      <c r="Y7" s="11"/>
      <c r="AB7" s="11"/>
    </row>
    <row r="8" spans="2:31" ht="39.950000000000003" customHeight="1" x14ac:dyDescent="0.25">
      <c r="B8" s="8" t="s">
        <v>0</v>
      </c>
      <c r="C8" s="8" t="s">
        <v>3</v>
      </c>
      <c r="D8" s="8" t="s">
        <v>71</v>
      </c>
      <c r="E8" s="8" t="s">
        <v>72</v>
      </c>
      <c r="F8" s="8" t="s">
        <v>33</v>
      </c>
      <c r="G8" s="8" t="s">
        <v>34</v>
      </c>
      <c r="H8" s="8" t="s">
        <v>35</v>
      </c>
      <c r="I8" s="8" t="s">
        <v>36</v>
      </c>
      <c r="J8" s="8" t="s">
        <v>37</v>
      </c>
      <c r="K8" s="8" t="s">
        <v>38</v>
      </c>
      <c r="L8" s="8" t="s">
        <v>39</v>
      </c>
      <c r="M8" s="8" t="s">
        <v>41</v>
      </c>
      <c r="N8" s="8" t="s">
        <v>40</v>
      </c>
      <c r="O8" s="8" t="s">
        <v>42</v>
      </c>
      <c r="P8" s="8" t="s">
        <v>101</v>
      </c>
      <c r="Q8" s="8" t="s">
        <v>102</v>
      </c>
      <c r="R8" s="8" t="s">
        <v>103</v>
      </c>
      <c r="S8" s="8" t="s">
        <v>104</v>
      </c>
      <c r="T8" s="8" t="s">
        <v>105</v>
      </c>
      <c r="U8" s="8" t="s">
        <v>106</v>
      </c>
      <c r="V8" s="8" t="s">
        <v>107</v>
      </c>
      <c r="W8" s="8" t="s">
        <v>108</v>
      </c>
      <c r="X8" s="8" t="s">
        <v>5</v>
      </c>
      <c r="Y8" s="8" t="s">
        <v>4</v>
      </c>
      <c r="Z8" s="8" t="s">
        <v>6</v>
      </c>
      <c r="AA8" s="8" t="s">
        <v>7</v>
      </c>
      <c r="AB8" s="8" t="s">
        <v>29</v>
      </c>
      <c r="AC8" s="8" t="s">
        <v>30</v>
      </c>
      <c r="AD8" s="8" t="s">
        <v>1</v>
      </c>
      <c r="AE8" s="8" t="s">
        <v>2</v>
      </c>
    </row>
    <row r="9" spans="2:31" ht="39.950000000000003" customHeight="1" x14ac:dyDescent="0.25">
      <c r="B9" s="58" cm="1">
        <f t="array" ref="B9">SN</f>
        <v>1</v>
      </c>
      <c r="C9" s="6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64"/>
      <c r="Y9" s="43"/>
      <c r="Z9" s="64"/>
      <c r="AA9" s="64"/>
      <c r="AB9" s="66" t="str" cm="1">
        <f t="array" ref="AB9">Get_GUID_Surname</f>
        <v/>
      </c>
      <c r="AC9" s="60" t="str" cm="1">
        <f t="array" ref="AC9">Get_GUID_FirstName</f>
        <v/>
      </c>
      <c r="AD9" s="58" t="str" cm="1">
        <f t="array" ref="AD9">Get_GUID_Sex</f>
        <v/>
      </c>
      <c r="AE9" s="58" t="str" cm="1">
        <f t="array" ref="AE9">Get_GUID_Tel</f>
        <v/>
      </c>
    </row>
    <row r="10" spans="2:31" ht="39.950000000000003" customHeight="1" x14ac:dyDescent="0.25">
      <c r="AB10" s="11"/>
    </row>
  </sheetData>
  <sheetProtection deleteRows="0" selectLockedCells="1"/>
  <mergeCells count="2">
    <mergeCell ref="AB6:AE6"/>
    <mergeCell ref="X6:AA6"/>
  </mergeCells>
  <phoneticPr fontId="9" type="noConversion"/>
  <conditionalFormatting sqref="D9">
    <cfRule type="expression" dxfId="21" priority="24">
      <formula>MOD(ROW(),2)=0</formula>
    </cfRule>
    <cfRule type="expression" dxfId="20" priority="25">
      <formula>MOD(ROW(),2)=1</formula>
    </cfRule>
  </conditionalFormatting>
  <conditionalFormatting sqref="F9">
    <cfRule type="expression" dxfId="19" priority="21">
      <formula>MOD(ROW(),2)=1</formula>
    </cfRule>
  </conditionalFormatting>
  <conditionalFormatting sqref="G9">
    <cfRule type="expression" dxfId="18" priority="18">
      <formula>MOD(ROW(),2)=0</formula>
    </cfRule>
  </conditionalFormatting>
  <conditionalFormatting sqref="K9">
    <cfRule type="expression" dxfId="17" priority="10">
      <formula>MOD(ROW(),2)=0</formula>
    </cfRule>
  </conditionalFormatting>
  <conditionalFormatting sqref="X9:AA9 C9">
    <cfRule type="expression" dxfId="16" priority="26">
      <formula>MOD(ROW(),2)=0</formula>
    </cfRule>
    <cfRule type="expression" dxfId="15" priority="27">
      <formula>MOD(ROW(),2)=1</formula>
    </cfRule>
  </conditionalFormatting>
  <conditionalFormatting sqref="V9">
    <cfRule type="expression" dxfId="14" priority="6">
      <formula>MOD(ROW(),2)=0</formula>
    </cfRule>
    <cfRule type="expression" dxfId="13" priority="7">
      <formula>MOD(ROW(),2)=1</formula>
    </cfRule>
  </conditionalFormatting>
  <conditionalFormatting sqref="T9">
    <cfRule type="expression" dxfId="12" priority="8">
      <formula>MOD(ROW(),2)=0</formula>
    </cfRule>
    <cfRule type="expression" dxfId="11" priority="9">
      <formula>MOD(ROW(),2)=1</formula>
    </cfRule>
  </conditionalFormatting>
  <conditionalFormatting sqref="R9">
    <cfRule type="expression" dxfId="10" priority="11">
      <formula>MOD(ROW(),2)=1</formula>
    </cfRule>
  </conditionalFormatting>
  <conditionalFormatting sqref="P9">
    <cfRule type="expression" dxfId="9" priority="12">
      <formula>MOD(ROW(),2)=0</formula>
    </cfRule>
    <cfRule type="expression" dxfId="8" priority="13">
      <formula>MOD(ROW(),2)=1</formula>
    </cfRule>
  </conditionalFormatting>
  <conditionalFormatting sqref="N9">
    <cfRule type="expression" dxfId="7" priority="14">
      <formula>MOD(ROW(),2)=0</formula>
    </cfRule>
    <cfRule type="expression" dxfId="6" priority="15">
      <formula>MOD(ROW(),2)=1</formula>
    </cfRule>
  </conditionalFormatting>
  <conditionalFormatting sqref="L9">
    <cfRule type="expression" dxfId="5" priority="16">
      <formula>MOD(ROW(),2)=0</formula>
    </cfRule>
    <cfRule type="expression" dxfId="4" priority="17">
      <formula>MOD(ROW(),2)=1</formula>
    </cfRule>
  </conditionalFormatting>
  <conditionalFormatting sqref="J9">
    <cfRule type="expression" dxfId="3" priority="19">
      <formula>MOD(ROW(),2)=1</formula>
    </cfRule>
    <cfRule type="expression" dxfId="2" priority="20">
      <formula>MOD(ROW(),2)=0</formula>
    </cfRule>
  </conditionalFormatting>
  <conditionalFormatting sqref="H9">
    <cfRule type="expression" dxfId="1" priority="22">
      <formula>MOD(ROW(),2)=0</formula>
    </cfRule>
    <cfRule type="expression" dxfId="0" priority="23">
      <formula>MOD(ROW(),2)=1</formula>
    </cfRule>
  </conditionalFormatting>
  <dataValidations count="3">
    <dataValidation type="list" allowBlank="1" showInputMessage="1" showErrorMessage="1" sqref="Z9 Z10:Z1048576" xr:uid="{3C31741D-D10D-4C41-AC71-A5DCFCAD7476}">
      <formula1>Get_Staff_Member</formula1>
    </dataValidation>
    <dataValidation type="list" allowBlank="1" showInputMessage="1" showErrorMessage="1" sqref="X9 X10:X1048576" xr:uid="{188A5DC8-B57D-4F83-8119-9B82B48E68D0}">
      <formula1>Get_Type_of_Access</formula1>
    </dataValidation>
    <dataValidation type="list" allowBlank="1" showInputMessage="1" showErrorMessage="1" sqref="C9 C10:C1048576" xr:uid="{BAEA8DF3-DB1E-4CF5-83D3-C3222F25DDAB}">
      <formula1>Get_GUID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67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D9:W9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设置</vt:lpstr>
      <vt:lpstr>添加</vt:lpstr>
      <vt:lpstr>会员</vt:lpstr>
      <vt:lpstr>历史记录</vt:lpstr>
      <vt:lpstr>Get_Gender</vt:lpstr>
      <vt:lpstr>Get_GUID</vt:lpstr>
      <vt:lpstr>Get_Staff_Member</vt:lpstr>
      <vt:lpstr>Get_Type_of_Access</vt:lpstr>
      <vt:lpstr>GetName</vt:lpstr>
      <vt:lpstr>会员!Print_Area</vt:lpstr>
      <vt:lpstr>历史记录!Print_Area</vt:lpstr>
      <vt:lpstr>添加!Print_Area</vt:lpstr>
      <vt:lpstr>设置!Print_Area</vt:lpstr>
      <vt:lpstr>会员!Print_Titles</vt:lpstr>
      <vt:lpstr>历史记录!Print_Titles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2023-12-02T12:38:38Z</cp:lastPrinted>
  <dcterms:created xsi:type="dcterms:W3CDTF">2023-11-27T09:49:08Z</dcterms:created>
  <dcterms:modified xsi:type="dcterms:W3CDTF">2023-12-02T12:48:45Z</dcterms:modified>
</cp:coreProperties>
</file>