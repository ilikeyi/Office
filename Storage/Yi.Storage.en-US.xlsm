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F6A86B24-F028-4CA5-87E9-49EF0B6E2654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Setting!$D$83:$E$83</definedName>
    <definedName name="Get_GUID">UserInfo[Unique identifier]</definedName>
    <definedName name="Get_Keep_inventory">Setting!$D$81:$E$81</definedName>
    <definedName name="Get_Staff_Member">Setting!$D$53:$O$53</definedName>
    <definedName name="Get_Store_Uid">Store_Setting[Unique
identifier]</definedName>
    <definedName name="Get_Type_of_Access">Setting!$D$79:$E$79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Titles" localSheetId="5">'History record'!$1:$6</definedName>
    <definedName name="_xlnm.Print_Titles" localSheetId="4">'Member details'!$1:$6</definedName>
    <definedName name="_xlnm.Print_Titles" localSheetId="2">'Pick up goods from warehouse'!$1:$4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9" l="1"/>
  <c r="B2" i="8"/>
  <c r="B2" i="5"/>
  <c r="B2" i="6"/>
  <c r="B2" i="4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5" i="8" l="1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E7" i="4"/>
  <c r="D88" i="1"/>
  <c r="D89" i="1"/>
  <c r="D86" i="1" l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7" i="1" s="1"/>
  <c r="B7" i="6" a="1"/>
  <c r="B7" i="6" s="1"/>
  <c r="D85" i="1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F7" i="6" a="1"/>
  <c r="EF7" i="6" s="1"/>
  <c r="EE7" i="6" a="1"/>
  <c r="EE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<sst xmlns="http://schemas.openxmlformats.org/spreadsheetml/2006/main" count="695" uniqueCount="475">
  <si>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</si>
  <si>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</si>
  <si>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</si>
  <si>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</si>
  <si>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</si>
  <si>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</si>
  <si>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</si>
  <si>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</si>
  <si>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</si>
  <si>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</si>
  <si>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</si>
  <si>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</si>
  <si>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</si>
  <si>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</si>
  <si>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</si>
  <si>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</si>
  <si>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</si>
  <si>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</si>
  <si>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</si>
  <si>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</si>
  <si>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</si>
  <si>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</si>
  <si>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</si>
  <si>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</si>
  <si>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</si>
  <si>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</si>
  <si>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</si>
  <si>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</si>
  <si>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</si>
  <si>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</si>
  <si>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</si>
  <si>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</si>
  <si>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</si>
  <si>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</si>
  <si>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</si>
  <si>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</si>
  <si>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</si>
  <si>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</si>
  <si>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</si>
  <si>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</si>
  <si>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</si>
  <si>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</si>
  <si>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</si>
  <si>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</si>
  <si>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</si>
  <si>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</si>
  <si>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</si>
  <si>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</si>
  <si>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</si>
  <si>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</si>
  <si>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</si>
  <si>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</si>
  <si>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</si>
  <si>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</si>
  <si>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</si>
  <si>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</si>
  <si>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</si>
  <si>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</si>
  <si>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</si>
  <si>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</si>
  <si>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</si>
  <si>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</si>
  <si>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</si>
  <si>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</si>
  <si>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</si>
  <si>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</si>
  <si>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</si>
  <si>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</si>
  <si>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</si>
  <si>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</si>
  <si>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</si>
  <si>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</si>
  <si>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</si>
  <si>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</si>
  <si>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</si>
  <si>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</si>
  <si>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</si>
  <si>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</si>
  <si>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</si>
  <si>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</si>
  <si>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</si>
  <si>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</si>
  <si>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</si>
  <si>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</si>
  <si>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</si>
  <si>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</si>
  <si>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</si>
  <si>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</si>
  <si>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</si>
  <si>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</si>
  <si>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</si>
  <si>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</si>
  <si>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</si>
  <si>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</si>
  <si>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</si>
  <si>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</si>
  <si>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</si>
  <si>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</si>
  <si>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</si>
  <si>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</si>
  <si>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</si>
  <si>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</si>
  <si>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</si>
  <si>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</si>
  <si>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</si>
  <si>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</si>
  <si>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</si>
  <si>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</si>
  <si>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</si>
  <si>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</si>
  <si>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</si>
  <si>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</si>
  <si>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</si>
  <si>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</si>
  <si>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</si>
  <si>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</si>
  <si>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</si>
  <si>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</si>
  <si>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</si>
  <si>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</si>
  <si>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</si>
  <si>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</si>
  <si>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</si>
  <si>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</si>
  <si>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</si>
  <si>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</si>
  <si>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</si>
  <si>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</si>
  <si>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</si>
  <si>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</si>
  <si>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</si>
  <si>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</si>
  <si>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</si>
  <si>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</si>
  <si>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</si>
  <si>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</si>
  <si>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</si>
  <si>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</si>
  <si>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</si>
  <si>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</si>
  <si>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</si>
  <si>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</si>
  <si>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</si>
  <si>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</si>
  <si>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</si>
  <si>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</si>
  <si>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</si>
  <si>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</si>
  <si>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</si>
  <si>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</si>
  <si>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</si>
  <si>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</si>
  <si>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</si>
  <si>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</si>
  <si>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</si>
  <si>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</si>
  <si>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</si>
  <si>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</si>
  <si>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</si>
  <si>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</si>
  <si>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</si>
  <si>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</si>
  <si>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</si>
  <si>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</si>
  <si>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</si>
  <si>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</si>
  <si>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</si>
  <si>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</si>
  <si>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</si>
  <si>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</si>
  <si>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</si>
  <si>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</si>
  <si>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</si>
  <si>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</si>
  <si>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</si>
  <si>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</si>
  <si>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</si>
  <si>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</si>
  <si>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</si>
  <si>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</si>
  <si>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</si>
  <si>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</si>
  <si>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</si>
  <si>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</si>
  <si>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</si>
  <si>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</si>
  <si>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</si>
  <si>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</si>
  <si>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</si>
  <si>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</si>
  <si>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</si>
  <si>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</si>
  <si>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</si>
  <si>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</si>
  <si>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</si>
  <si>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</si>
  <si>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</si>
  <si>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</si>
  <si>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</si>
  <si>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</si>
  <si>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</si>
  <si>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</si>
  <si>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</si>
  <si>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</si>
  <si>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</si>
  <si>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</si>
  <si>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</si>
  <si>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</si>
  <si>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</si>
  <si>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</si>
  <si>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</si>
  <si>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</si>
  <si>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</si>
  <si>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</si>
  <si>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</si>
  <si>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</si>
  <si>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</si>
  <si>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</si>
  <si>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</si>
  <si>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</si>
  <si>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</si>
  <si>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</si>
  <si>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</si>
  <si>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</si>
  <si>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</si>
  <si>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</si>
  <si>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</si>
  <si>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</si>
  <si>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</si>
  <si>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</si>
  <si>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</si>
  <si>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</si>
  <si>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</si>
  <si>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</si>
  <si>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</si>
  <si>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</si>
  <si>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</si>
  <si>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</si>
  <si>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</si>
  <si>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</si>
  <si>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</si>
  <si>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</si>
  <si>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</si>
  <si>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</si>
  <si>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</si>
  <si>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</si>
  <si>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</si>
  <si>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</si>
  <si>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</si>
  <si>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</si>
  <si>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</si>
  <si>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</si>
  <si>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</si>
  <si>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</si>
  <si>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</si>
  <si>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</si>
  <si>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</si>
  <si>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</si>
  <si>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</si>
  <si>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</si>
  <si>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</si>
  <si>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</si>
  <si>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</si>
  <si>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</si>
  <si>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</si>
  <si>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</si>
  <si>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</si>
  <si>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</si>
  <si>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</si>
  <si>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</si>
  <si>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</si>
  <si>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</si>
  <si>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</si>
  <si>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</si>
  <si>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</si>
  <si>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</si>
  <si>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</si>
  <si>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</si>
  <si>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</si>
  <si>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</si>
  <si>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</si>
  <si>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</si>
  <si>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</si>
  <si>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</si>
  <si>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</si>
  <si>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</si>
  <si>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</si>
  <si>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</si>
  <si>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</si>
  <si>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</si>
  <si>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</si>
  <si>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</si>
  <si>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</si>
  <si>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</si>
  <si>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</si>
  <si>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</si>
  <si>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</si>
  <si>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</si>
  <si>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</si>
  <si>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</si>
  <si>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</si>
  <si>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</si>
  <si>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</si>
  <si>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</si>
  <si>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</si>
  <si>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</si>
  <si>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</si>
  <si>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</si>
  <si>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</si>
  <si>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</si>
  <si>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</si>
  <si>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</si>
  <si>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</si>
  <si>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</si>
  <si>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</si>
  <si>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</si>
  <si>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</si>
  <si>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</si>
  <si>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</si>
  <si>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</si>
  <si>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</si>
  <si>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</si>
  <si>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</si>
  <si>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</si>
  <si>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</si>
  <si>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</si>
  <si>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</si>
  <si>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</si>
  <si>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</si>
  <si>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</si>
  <si>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</si>
  <si>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</si>
  <si>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</si>
  <si>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</si>
  <si>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</si>
  <si>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</si>
  <si>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</si>
  <si>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</si>
  <si>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</si>
  <si>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</si>
  <si>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</si>
  <si>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</si>
  <si>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</si>
  <si>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</si>
  <si>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</si>
  <si>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</si>
  <si>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</si>
  <si>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</si>
  <si>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</si>
  <si>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</si>
  <si>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</si>
  <si>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</si>
  <si>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</si>
  <si>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</si>
  <si>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</si>
  <si>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</si>
  <si>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</si>
  <si>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</si>
  <si>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</si>
  <si>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</si>
  <si>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</si>
  <si>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</si>
  <si>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</si>
  <si>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</si>
  <si>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</si>
  <si>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</si>
  <si>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</si>
  <si>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</si>
  <si>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</si>
  <si>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</si>
  <si>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</si>
  <si>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</si>
  <si>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</si>
  <si>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</si>
  <si>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</si>
  <si>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</si>
  <si>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</si>
  <si>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</si>
  <si>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</si>
  <si>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</si>
  <si>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</si>
  <si>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</si>
  <si>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</si>
  <si>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</si>
  <si>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</si>
  <si>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</si>
  <si>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</si>
  <si>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</si>
  <si>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</si>
  <si>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</si>
  <si>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</si>
  <si>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</si>
  <si>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</si>
  <si>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</si>
  <si>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</si>
  <si>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</si>
  <si>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</si>
  <si>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</si>
  <si>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</si>
  <si>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</si>
  <si>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</si>
  <si>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</si>
  <si>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</si>
  <si>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</si>
  <si>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</si>
  <si>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</si>
  <si>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</si>
  <si>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</si>
  <si>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</si>
  <si>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</si>
  <si>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</si>
  <si>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</si>
  <si>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</si>
  <si>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</si>
  <si>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</si>
  <si>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</si>
  <si>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</si>
  <si>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</si>
  <si>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</si>
  <si>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</si>
  <si>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</si>
  <si>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</si>
  <si>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</si>
  <si>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</si>
  <si>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</si>
  <si>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</si>
  <si>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</si>
  <si>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</si>
  <si>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</si>
  <si>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</si>
  <si>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</si>
  <si>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</si>
  <si>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</si>
  <si>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</si>
  <si>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</si>
  <si>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</si>
  <si>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</si>
  <si>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</si>
  <si>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</si>
  <si>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</si>
  <si>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</si>
  <si>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</si>
  <si>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</si>
  <si>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</si>
  <si>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</si>
  <si>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</si>
  <si>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</si>
  <si>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</si>
  <si>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</si>
  <si>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</si>
  <si>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</si>
  <si>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</si>
  <si>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Allow after adding member
Add new history record to save</t>
  </si>
  <si>
    <t>Member details</t>
  </si>
  <si>
    <t>Step 10</t>
  </si>
  <si>
    <t>Save to</t>
  </si>
  <si>
    <t>Backup</t>
  </si>
  <si>
    <t>Allow automatic
backups</t>
  </si>
  <si>
    <t>Official
website</t>
  </si>
  <si>
    <t>Project
address</t>
  </si>
  <si>
    <t>Author</t>
  </si>
  <si>
    <t>Worksheet range</t>
  </si>
  <si>
    <t>Exceed</t>
  </si>
  <si>
    <t>After hours, it will be automatically locked and the mark status will be: editable, uneditable, and partially restricted.</t>
  </si>
  <si>
    <t>Correlation
history</t>
  </si>
  <si>
    <t>Pick up goods
from warehouse</t>
  </si>
  <si>
    <t>* After automatic backup is allowed, the functions of opening the worksheet, closing the worksheet, and backing up every 1 hour will take effect.</t>
  </si>
  <si>
    <t>Back up the worksheet after opening it</t>
  </si>
  <si>
    <t>Back up after closing the worksheet</t>
  </si>
  <si>
    <t>Automatic backup every 1 hour</t>
  </si>
  <si>
    <t>It can be deleted after
there is one</t>
  </si>
  <si>
    <t>Complete updating time or inserting new time.</t>
  </si>
  <si>
    <t>Deletion completed.</t>
  </si>
  <si>
    <t>Error: The table structure cannot be selected, please select again.</t>
  </si>
  <si>
    <t>Some edits are restricted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</si>
</sst>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sz val="11"/>
      <name val="Aptos Narrow"/>
      <family val="2"/>
    </font>
    <font>
      <sz val="11"/>
      <color rgb="FFF4F3EE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u/>
      <sz val="11"/>
      <color theme="10"/>
      <name val="Aptos Narrow"/>
      <family val="2"/>
    </font>
    <font>
      <sz val="11"/>
      <color rgb="FF002060"/>
      <name val="Aptos Narrow"/>
      <family val="2"/>
    </font>
    <font>
      <sz val="14"/>
      <color rgb="FFF4F3EE"/>
      <name val="Aptos Narrow"/>
      <family val="2"/>
    </font>
    <font>
      <sz val="14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9">
    <xf numFmtId="0" fontId="0" fillId="0" borderId="0" xfId="0"/>
    <xf numFmtId="0" fontId="3" fillId="7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0" xfId="1" applyFont="1" applyFill="1" applyAlignment="1" applyProtection="1">
      <alignment horizontal="right" vertical="center"/>
    </xf>
    <xf numFmtId="0" fontId="3" fillId="11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 wrapText="1"/>
    </xf>
    <xf numFmtId="0" fontId="3" fillId="2" borderId="0" xfId="0" applyFont="1" applyFill="1"/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5" fillId="4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 indent="1"/>
    </xf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6" fillId="4" borderId="0" xfId="0" applyFont="1" applyFill="1" applyAlignment="1" applyProtection="1">
      <alignment horizontal="left" vertical="center" indent="1"/>
      <protection locked="0"/>
    </xf>
    <xf numFmtId="0" fontId="3" fillId="4" borderId="0" xfId="0" applyFont="1" applyFill="1" applyAlignment="1">
      <alignment horizontal="left" vertical="center" indent="1"/>
    </xf>
    <xf numFmtId="0" fontId="3" fillId="4" borderId="0" xfId="0" applyFont="1" applyFill="1" applyAlignment="1">
      <alignment horizontal="center"/>
    </xf>
    <xf numFmtId="0" fontId="3" fillId="4" borderId="0" xfId="0" applyFont="1" applyFill="1"/>
    <xf numFmtId="0" fontId="3" fillId="2" borderId="0" xfId="0" applyFont="1" applyFill="1" applyAlignment="1">
      <alignment horizontal="left" vertical="center" indent="1"/>
    </xf>
    <xf numFmtId="0" fontId="3" fillId="2" borderId="0" xfId="0" applyFont="1" applyFill="1" applyAlignment="1">
      <alignment horizontal="center"/>
    </xf>
    <xf numFmtId="0" fontId="3" fillId="19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indent="2"/>
    </xf>
    <xf numFmtId="0" fontId="3" fillId="0" borderId="0" xfId="0" applyFont="1" applyAlignment="1">
      <alignment horizontal="left" vertical="center" indent="1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right" vertical="center" indent="2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left" indent="1"/>
    </xf>
    <xf numFmtId="0" fontId="3" fillId="17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8" fillId="13" borderId="0" xfId="0" applyFont="1" applyFill="1" applyAlignment="1" applyProtection="1">
      <alignment horizontal="left" vertical="center" indent="2"/>
      <protection locked="0"/>
    </xf>
    <xf numFmtId="0" fontId="8" fillId="13" borderId="0" xfId="0" applyFont="1" applyFill="1" applyAlignment="1">
      <alignment vertical="center"/>
    </xf>
    <xf numFmtId="0" fontId="8" fillId="1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wrapText="1" indent="2"/>
    </xf>
    <xf numFmtId="0" fontId="3" fillId="11" borderId="0" xfId="0" applyFont="1" applyFill="1" applyAlignment="1">
      <alignment horizontal="left" vertical="center" indent="2"/>
    </xf>
    <xf numFmtId="0" fontId="3" fillId="6" borderId="0" xfId="0" applyFont="1" applyFill="1" applyAlignment="1">
      <alignment horizontal="right" vertical="center" wrapText="1" indent="2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6" borderId="0" xfId="0" applyFont="1" applyFill="1" applyAlignment="1">
      <alignment horizontal="right" vertical="center" indent="2"/>
    </xf>
    <xf numFmtId="0" fontId="9" fillId="4" borderId="0" xfId="1" applyFont="1" applyFill="1" applyAlignment="1" applyProtection="1">
      <alignment horizontal="center" vertical="center"/>
    </xf>
    <xf numFmtId="0" fontId="3" fillId="13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left" vertical="center"/>
    </xf>
    <xf numFmtId="0" fontId="4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left" vertical="center" wrapText="1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0" fontId="4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4" fillId="14" borderId="0" xfId="0" applyFont="1" applyFill="1" applyAlignment="1">
      <alignment horizontal="left" vertical="center" indent="1"/>
    </xf>
    <xf numFmtId="0" fontId="4" fillId="14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wrapText="1" indent="1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6" fillId="4" borderId="0" xfId="0" applyFont="1" applyFill="1" applyAlignment="1">
      <alignment horizontal="right" vertical="center" indent="2"/>
    </xf>
    <xf numFmtId="0" fontId="4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0" fontId="3" fillId="14" borderId="0" xfId="0" applyFont="1" applyFill="1" applyAlignment="1">
      <alignment horizontal="right" vertical="center" wrapText="1" indent="1"/>
    </xf>
    <xf numFmtId="49" fontId="3" fillId="14" borderId="0" xfId="0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 indent="1"/>
    </xf>
    <xf numFmtId="0" fontId="6" fillId="5" borderId="0" xfId="0" applyFont="1" applyFill="1" applyAlignment="1">
      <alignment vertical="center"/>
    </xf>
    <xf numFmtId="0" fontId="4" fillId="8" borderId="0" xfId="1" applyFont="1" applyFill="1" applyAlignment="1" applyProtection="1">
      <alignment horizontal="left" vertical="center" indent="1"/>
    </xf>
    <xf numFmtId="0" fontId="4" fillId="8" borderId="0" xfId="1" applyFont="1" applyFill="1" applyAlignment="1" applyProtection="1">
      <alignment vertical="center"/>
    </xf>
    <xf numFmtId="0" fontId="3" fillId="8" borderId="0" xfId="0" applyFont="1" applyFill="1" applyAlignment="1">
      <alignment horizontal="right" vertical="center" indent="1"/>
    </xf>
    <xf numFmtId="0" fontId="4" fillId="8" borderId="0" xfId="0" applyFont="1" applyFill="1" applyAlignment="1">
      <alignment horizontal="left" vertical="center" indent="1"/>
    </xf>
    <xf numFmtId="0" fontId="4" fillId="8" borderId="0" xfId="0" applyFont="1" applyFill="1" applyAlignment="1">
      <alignment vertical="center"/>
    </xf>
    <xf numFmtId="0" fontId="11" fillId="4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/>
    </xf>
    <xf numFmtId="0" fontId="3" fillId="2" borderId="0" xfId="0" applyFont="1" applyFill="1" applyAlignment="1">
      <alignment wrapText="1"/>
    </xf>
    <xf numFmtId="0" fontId="3" fillId="15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Store_New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Store_Reset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User_Reset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History_New_Save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History_New_Eject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1">
      <calculatedColumnFormula>CONCATENATE(Store_Setting[[#This Row],[Product
serial number]], IF(Store_Setting[[#This Row],[Product name]]="","", _xlfn.CONCAT(" | ",_xlfn.SINGLE(Store_Setting[Product name]))))</calculatedColumnFormula>
    </tableColumn>
    <tableColumn id="1" xr3:uid="{76D80D8E-17D9-4452-B1EE-33BFE80A31E7}" name="Product_x000a_serial number" dataDxfId="400"/>
    <tableColumn id="2" xr3:uid="{C28244F3-482D-4CFC-B629-A29496B98C0B}" name="Product name" dataDxfId="399"/>
    <tableColumn id="11" xr3:uid="{71958388-9C14-426E-8457-DCEA92BC0E87}" name="Negative difference" dataDxfId="398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7">
      <calculatedColumnFormula>SUM(UserInfo[1 - Remaining])</calculatedColumnFormula>
    </tableColumn>
    <tableColumn id="7" xr3:uid="{75829BDD-5513-4744-8184-35AE3788771C}" name="Deposited" dataDxfId="396">
      <calculatedColumnFormula>SUM(UserInfo[1 - Deposit])</calculatedColumnFormula>
    </tableColumn>
    <tableColumn id="6" xr3:uid="{B71F91EB-0024-4EC1-8035-3636C31B3740}" name="Withdrawn" dataDxfId="395">
      <calculatedColumnFormula>SUM(UserInfo[1 - Withdrawal])</calculatedColumnFormula>
    </tableColumn>
    <tableColumn id="5" xr3:uid="{6E4E3255-2204-43C6-A50C-EEAF08580A14}" name="Negative_x000a_inventory_x000a_balance" dataDxfId="394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3">
      <calculatedColumnFormula>SUMIFS(Store_History[Quantity],Store_History[Unique identifier],Store_Setting[[#This Row],[Unique
identifier]],Store_History[Type],$D$81)</calculatedColumnFormula>
    </tableColumn>
    <tableColumn id="8" xr3:uid="{43D402E1-A683-4B65-923F-EB29ABFA8F93}" name="Pickup_x000a_subtotal" dataDxfId="392">
      <calculatedColumnFormula>SUMIFS(Store_History[Quantity],Store_History[Unique identifier],Store_Setting[[#This Row],[Unique
identifier]],Store_History[Type],$E$81)</calculatedColumnFormula>
    </tableColumn>
    <tableColumn id="12" xr3:uid="{C65B39DF-AE6E-4A3E-B7CF-154F140E491B}" name="Hide deposits" dataDxfId="391"/>
    <tableColumn id="3" xr3:uid="{0F7FF887-858D-4FF9-BA62-095ABFE4C76D}" name="Hide withdrawals" dataDxfId="390"/>
    <tableColumn id="13" xr3:uid="{89FF378B-8527-4831-9678-F319360512CA}" name="MemberScope" dataDxfId="389"/>
    <tableColumn id="14" xr3:uid="{E1F64A09-7F12-4309-9B35-6F58E3592CA9}" name="MemberSave" dataDxfId="388"/>
    <tableColumn id="15" xr3:uid="{13DB9E96-169F-4C16-8BFD-D459CAA74FD9}" name="MemberEject" dataDxfId="387"/>
    <tableColumn id="16" xr3:uid="{C4DDD6BF-EA0E-4A1E-9CF3-8B2C1DE07BE2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SN" totalsRowLabel="Total" dataDxfId="376" totalsRowDxfId="375">
      <calculatedColumnFormula array="1">SN</calculatedColumnFormula>
    </tableColumn>
    <tableColumn id="5" xr3:uid="{35BA10B8-A444-4F80-8F55-6146540C5A57}" name="Unique identifier" dataDxfId="374" totalsRowDxfId="373">
      <calculatedColumnFormula array="1">GUID</calculatedColumnFormula>
    </tableColumn>
    <tableColumn id="6" xr3:uid="{8A3791BE-D142-4B77-980F-0E769FF1CE0E}" name="1 - Remaining" dataDxfId="372">
      <calculatedColumnFormula array="1">Get_1_Calc</calculatedColumnFormula>
    </tableColumn>
    <tableColumn id="8" xr3:uid="{E45E7682-0361-46D3-BF20-AF1E07C3D65B}" name="1 - Deposit" dataDxfId="371" totalsRowDxfId="370">
      <calculatedColumnFormula array="1">Get_1_Add</calculatedColumnFormula>
    </tableColumn>
    <tableColumn id="9" xr3:uid="{FE45F0F1-8F7A-4A14-B0E4-3EC60A580E37}" name="1 - Withdrawal" dataDxfId="369" totalsRowDxfId="368">
      <calculatedColumnFormula array="1">Get_1_Del</calculatedColumnFormula>
    </tableColumn>
    <tableColumn id="7" xr3:uid="{B53043EA-8EAF-48CD-A1C4-F1751A029F72}" name="2 - Remaining" dataDxfId="367" totalsRowDxfId="366">
      <calculatedColumnFormula array="1">Get_2_Calc</calculatedColumnFormula>
    </tableColumn>
    <tableColumn id="10" xr3:uid="{95260041-5347-400B-AAEF-EE609D2539A1}" name="2 - Deposit" dataDxfId="365" totalsRowDxfId="364">
      <calculatedColumnFormula array="1">Get_2_Add</calculatedColumnFormula>
    </tableColumn>
    <tableColumn id="11" xr3:uid="{33755691-0EB3-40CE-9B73-E91F8C102760}" name="2 - Withdrawal" dataDxfId="363" totalsRowDxfId="362">
      <calculatedColumnFormula array="1">Get_2_Del</calculatedColumnFormula>
    </tableColumn>
    <tableColumn id="32" xr3:uid="{EC5EB628-FB36-43AE-A347-41E9ACE5D72E}" name="3 - Remaining" dataDxfId="361" totalsRowDxfId="360">
      <calculatedColumnFormula array="1">Get_3_Calc</calculatedColumnFormula>
    </tableColumn>
    <tableColumn id="33" xr3:uid="{43A56C01-D775-4C69-87D1-225F1941DB58}" name="3 - Deposit" dataDxfId="359" totalsRowDxfId="358">
      <calculatedColumnFormula array="1">Get_3_Add</calculatedColumnFormula>
    </tableColumn>
    <tableColumn id="30" xr3:uid="{E3875226-6AB9-4F4B-91BF-CC71FCEAF551}" name="3 - Withdrawal" dataDxfId="357" totalsRowDxfId="356">
      <calculatedColumnFormula array="1">Get_3_Del</calculatedColumnFormula>
    </tableColumn>
    <tableColumn id="31" xr3:uid="{B62D1E0D-5AB3-4BE3-8BC6-8442FF019A25}" name="4 - Remaining" dataDxfId="355" totalsRowDxfId="354">
      <calculatedColumnFormula array="1">Get_4_Calc</calculatedColumnFormula>
    </tableColumn>
    <tableColumn id="28" xr3:uid="{7B09D42A-E4B3-42DA-A7BC-1855D7B3276B}" name="4 - Deposit" dataDxfId="353" totalsRowDxfId="352">
      <calculatedColumnFormula array="1">Get_4_Add</calculatedColumnFormula>
    </tableColumn>
    <tableColumn id="29" xr3:uid="{B7BDACF3-46DD-4203-BF1C-D95921A9EAB9}" name="4 - Withdrawal" dataDxfId="351" totalsRowDxfId="350">
      <calculatedColumnFormula array="1">Get_4_Del</calculatedColumnFormula>
    </tableColumn>
    <tableColumn id="26" xr3:uid="{2B28D0BE-0636-4250-93AD-A6F7361B235B}" name="5 - Remaining" dataDxfId="349" totalsRowDxfId="348">
      <calculatedColumnFormula array="1">Get_5_Calc</calculatedColumnFormula>
    </tableColumn>
    <tableColumn id="27" xr3:uid="{E0E33EBF-F853-45D7-8D8D-4968D0DF550A}" name="5 - Deposit" dataDxfId="347" totalsRowDxfId="346">
      <calculatedColumnFormula array="1">Get_5_Add</calculatedColumnFormula>
    </tableColumn>
    <tableColumn id="34" xr3:uid="{8BF8358E-3A1F-4FD6-A3D2-5C9ED03B66D2}" name="5 - Withdrawal" dataDxfId="345" totalsRowDxfId="344">
      <calculatedColumnFormula array="1">Get_5_Del</calculatedColumnFormula>
    </tableColumn>
    <tableColumn id="35" xr3:uid="{BB2E7E56-CFEB-45E5-A53A-8F8601B9A6BC}" name="6 - Remaining" dataDxfId="343">
      <calculatedColumnFormula array="1">Get_6_Calc</calculatedColumnFormula>
    </tableColumn>
    <tableColumn id="36" xr3:uid="{B1C76173-BBE5-4463-A5A2-D59DF06DFEA3}" name="6 - Deposit" dataDxfId="342" totalsRowDxfId="341">
      <calculatedColumnFormula array="1">Get_6_Add</calculatedColumnFormula>
    </tableColumn>
    <tableColumn id="37" xr3:uid="{252F1115-6468-4A69-A315-CC054804CD2D}" name="6 - Withdrawal" dataDxfId="340" totalsRowDxfId="339">
      <calculatedColumnFormula array="1">Get_6_Del</calculatedColumnFormula>
    </tableColumn>
    <tableColumn id="20" xr3:uid="{A588D5D5-7793-43CD-9189-E1B0E04C4525}" name="7 - Remaining" dataDxfId="338" totalsRowDxfId="337">
      <calculatedColumnFormula array="1">Get_7_Calc</calculatedColumnFormula>
    </tableColumn>
    <tableColumn id="21" xr3:uid="{173A2F2F-7CDB-4106-BA59-7971244FD630}" name="7 - Deposit" dataDxfId="336" totalsRowDxfId="335">
      <calculatedColumnFormula array="1">Get_7_Add</calculatedColumnFormula>
    </tableColumn>
    <tableColumn id="46" xr3:uid="{5DD0D315-AA29-4E95-AB07-E17D16311131}" name="7 - Withdrawal" dataDxfId="334" totalsRowDxfId="333">
      <calculatedColumnFormula array="1">Get_7_Del</calculatedColumnFormula>
    </tableColumn>
    <tableColumn id="47" xr3:uid="{887630E9-FAB3-4BC4-AE9D-DA08EE18BEE8}" name="8 - Remaining" dataDxfId="332" totalsRowDxfId="331">
      <calculatedColumnFormula array="1">Get_8_Calc</calculatedColumnFormula>
    </tableColumn>
    <tableColumn id="44" xr3:uid="{74DD3BDF-B83E-43E2-A24B-4F5846C78DBC}" name="8 - Deposit" dataDxfId="330" totalsRowDxfId="329">
      <calculatedColumnFormula array="1">Get_8_Add</calculatedColumnFormula>
    </tableColumn>
    <tableColumn id="45" xr3:uid="{F7703264-4D50-4502-8F6F-FB36B91EB021}" name="8 - Withdrawal" dataDxfId="328" totalsRowDxfId="327">
      <calculatedColumnFormula array="1">Get_8_Del</calculatedColumnFormula>
    </tableColumn>
    <tableColumn id="42" xr3:uid="{4E67C08C-7260-499F-B198-7B6E4192E472}" name="9 - Remaining" dataDxfId="326" totalsRowDxfId="325">
      <calculatedColumnFormula array="1">Get_9_Calc</calculatedColumnFormula>
    </tableColumn>
    <tableColumn id="43" xr3:uid="{7F9B0DDB-B0CF-4F25-BEAA-5F937B25BDE0}" name="9 - Deposit" dataDxfId="324" totalsRowDxfId="323">
      <calculatedColumnFormula array="1">Get_9_Add</calculatedColumnFormula>
    </tableColumn>
    <tableColumn id="40" xr3:uid="{3AA5B498-FA98-483A-A388-6B6F74476BFD}" name="9 - Withdrawal" dataDxfId="322" totalsRowDxfId="321">
      <calculatedColumnFormula array="1">Get_9_Del</calculatedColumnFormula>
    </tableColumn>
    <tableColumn id="41" xr3:uid="{82D58ED2-A190-4823-8868-5A26D45CD476}" name="10 - Remaining" dataDxfId="320" totalsRowDxfId="319">
      <calculatedColumnFormula array="1">Get_10_Calc</calculatedColumnFormula>
    </tableColumn>
    <tableColumn id="38" xr3:uid="{800CF74D-0283-4B1A-9909-EF49C70CBE94}" name="10 - Deposit" dataDxfId="318" totalsRowDxfId="317">
      <calculatedColumnFormula array="1">Get_10_Add</calculatedColumnFormula>
    </tableColumn>
    <tableColumn id="39" xr3:uid="{276FBA7A-AC3A-4E59-B8B1-B09B169E6837}" name="10 - Withdrawal" dataDxfId="316" totalsRowDxfId="315">
      <calculatedColumnFormula array="1">Get_10_Del</calculatedColumnFormula>
    </tableColumn>
    <tableColumn id="48" xr3:uid="{A7B9D79E-F38B-48CB-AEE5-E7B7F6EF5C2C}" name="11 - Remaining" dataDxfId="314" totalsRowDxfId="313">
      <calculatedColumnFormula array="1">Get_11_Calc</calculatedColumnFormula>
    </tableColumn>
    <tableColumn id="49" xr3:uid="{01CFCCAE-6F8F-4C1E-8FF6-6275897A542E}" name="11 - Deposit" dataDxfId="312" totalsRowDxfId="311">
      <calculatedColumnFormula array="1">Get_11_Add</calculatedColumnFormula>
    </tableColumn>
    <tableColumn id="14" xr3:uid="{27E31913-0377-43BF-8773-DF68330317BA}" name="11 - Withdrawal" dataDxfId="310" totalsRowDxfId="309">
      <calculatedColumnFormula array="1">Get_11_Del</calculatedColumnFormula>
    </tableColumn>
    <tableColumn id="51" xr3:uid="{5B85F460-5E62-4025-895D-56CA23340014}" name="12 - Remaining" dataDxfId="308" totalsRowDxfId="307">
      <calculatedColumnFormula array="1">Get_12_Calc</calculatedColumnFormula>
    </tableColumn>
    <tableColumn id="52" xr3:uid="{0EC70A7E-2DCB-4261-AA03-9B9BE1BAEC8F}" name="12 - Deposit" dataDxfId="306" totalsRowDxfId="305">
      <calculatedColumnFormula array="1">Get_12_Add</calculatedColumnFormula>
    </tableColumn>
    <tableColumn id="50" xr3:uid="{3EB42EAC-DC06-4CC0-A5A9-B7FE23DC5389}" name="12 - Withdrawal" dataDxfId="304" totalsRowDxfId="303">
      <calculatedColumnFormula array="1">Get_12_Del</calculatedColumnFormula>
    </tableColumn>
    <tableColumn id="65" xr3:uid="{EDF8FCAF-50EB-44D5-B6A9-3CD2A6E9AE1E}" name="13 - Remaining" dataDxfId="302" totalsRowDxfId="301">
      <calculatedColumnFormula array="1">Get_13_Calc</calculatedColumnFormula>
    </tableColumn>
    <tableColumn id="66" xr3:uid="{F5CC81DC-58D2-4192-A82D-389419FBEF0D}" name="13 - Deposit" dataDxfId="300" totalsRowDxfId="299">
      <calculatedColumnFormula array="1">Get_13_Add</calculatedColumnFormula>
    </tableColumn>
    <tableColumn id="67" xr3:uid="{CDD18276-7453-4E17-BA82-D9E26BD8811B}" name="13 - Withdrawal" dataDxfId="298" totalsRowDxfId="297">
      <calculatedColumnFormula array="1">Get_13_Del</calculatedColumnFormula>
    </tableColumn>
    <tableColumn id="62" xr3:uid="{68ACC17D-E3C3-4466-88A6-F2F14F757F76}" name="14 - Remaining" dataDxfId="296" totalsRowDxfId="295">
      <calculatedColumnFormula array="1">Get_14_Calc</calculatedColumnFormula>
    </tableColumn>
    <tableColumn id="63" xr3:uid="{0E0EE3C5-8F3C-4968-B0E6-50B1C2B616A8}" name="14 - Deposit" dataDxfId="294" totalsRowDxfId="293">
      <calculatedColumnFormula array="1">Get_14_Add</calculatedColumnFormula>
    </tableColumn>
    <tableColumn id="64" xr3:uid="{AD67C543-6A27-4C51-906F-D522151C0D92}" name="14 - Withdrawal" dataDxfId="292" totalsRowDxfId="291">
      <calculatedColumnFormula array="1">Get_14_Del</calculatedColumnFormula>
    </tableColumn>
    <tableColumn id="59" xr3:uid="{7CAE30DB-B183-4017-8A77-F435FA507A01}" name="15 - Remaining" dataDxfId="290" totalsRowDxfId="289">
      <calculatedColumnFormula array="1">Get_15_Calc</calculatedColumnFormula>
    </tableColumn>
    <tableColumn id="60" xr3:uid="{10EF06B0-FD95-42A9-BFCC-64BBC565CA14}" name="15 - Deposit" dataDxfId="288" totalsRowDxfId="287">
      <calculatedColumnFormula array="1">Get_15_Add</calculatedColumnFormula>
    </tableColumn>
    <tableColumn id="61" xr3:uid="{6301F8B4-4D01-4FDA-8D32-75921B15A2D9}" name="15 - Withdrawal" dataDxfId="286" totalsRowDxfId="285">
      <calculatedColumnFormula array="1">Get_15_Del</calculatedColumnFormula>
    </tableColumn>
    <tableColumn id="56" xr3:uid="{05F125DE-5AE7-4786-ACBC-DAF9D7222A62}" name="16 - Remaining" dataDxfId="284" totalsRowDxfId="283">
      <calculatedColumnFormula array="1">Get_16_Calc</calculatedColumnFormula>
    </tableColumn>
    <tableColumn id="57" xr3:uid="{7E6969DC-E3FC-4DA8-BB9D-6B36E075458F}" name="16 - Deposit" dataDxfId="282" totalsRowDxfId="281">
      <calculatedColumnFormula array="1">Get_16_Add</calculatedColumnFormula>
    </tableColumn>
    <tableColumn id="58" xr3:uid="{84C80CB2-57F5-4B66-8756-5573CD699D16}" name="16 - Withdrawal" dataDxfId="280" totalsRowDxfId="279">
      <calculatedColumnFormula array="1">Get_16_Del</calculatedColumnFormula>
    </tableColumn>
    <tableColumn id="53" xr3:uid="{65516705-AD27-4ECA-AF09-D132C51E08CE}" name="17 - Remaining" dataDxfId="278" totalsRowDxfId="277">
      <calculatedColumnFormula array="1">Get_17_Calc</calculatedColumnFormula>
    </tableColumn>
    <tableColumn id="54" xr3:uid="{0756DBD3-FDA1-4E71-849C-F20BBD0A5182}" name="17 - Deposit" dataDxfId="276" totalsRowDxfId="275">
      <calculatedColumnFormula array="1">Get_17_Add</calculatedColumnFormula>
    </tableColumn>
    <tableColumn id="55" xr3:uid="{51CB254C-5F29-4215-8FE0-F8B8B7B32759}" name="17 - Withdrawal" dataDxfId="274" totalsRowDxfId="273">
      <calculatedColumnFormula array="1">Get_17_Del</calculatedColumnFormula>
    </tableColumn>
    <tableColumn id="68" xr3:uid="{9C2EC294-A2C3-40B0-9E15-FFA1DA6DE0E7}" name="18 - Remaining" dataDxfId="272" totalsRowDxfId="271">
      <calculatedColumnFormula array="1">Get_18_Calc</calculatedColumnFormula>
    </tableColumn>
    <tableColumn id="69" xr3:uid="{A371F69D-1236-4AAC-B5F1-72D518D6FC69}" name="18 - Deposit" dataDxfId="270" totalsRowDxfId="269">
      <calculatedColumnFormula array="1">Get_18_Add</calculatedColumnFormula>
    </tableColumn>
    <tableColumn id="70" xr3:uid="{7B3C5D9B-BC0C-404F-9490-CDADC350F1D7}" name="18 - Withdrawal" dataDxfId="268" totalsRowDxfId="267">
      <calculatedColumnFormula array="1">Get_18_Del</calculatedColumnFormula>
    </tableColumn>
    <tableColumn id="19" xr3:uid="{91B42855-55D1-4A6A-B9A8-5EE011ADEB10}" name="19 - Remaining" dataDxfId="266" totalsRowDxfId="265">
      <calculatedColumnFormula array="1">Get_19_Calc</calculatedColumnFormula>
    </tableColumn>
    <tableColumn id="18" xr3:uid="{98EE3A39-A8AB-42CF-AEB5-291E8B95D8CA}" name="19 - Deposit" dataDxfId="264" totalsRowDxfId="263">
      <calculatedColumnFormula array="1">Get_19_Add</calculatedColumnFormula>
    </tableColumn>
    <tableColumn id="73" xr3:uid="{DB40D44F-8801-4D50-BA48-8323E05D2E13}" name="19 - Withdrawal" dataDxfId="262" totalsRowDxfId="261">
      <calculatedColumnFormula array="1">Get_19_Del</calculatedColumnFormula>
    </tableColumn>
    <tableColumn id="72" xr3:uid="{470D5EC3-31A6-4851-B48C-D6DDADACC807}" name="20 - Remaining" dataDxfId="260" totalsRowDxfId="259">
      <calculatedColumnFormula array="1">Get_20_Calc</calculatedColumnFormula>
    </tableColumn>
    <tableColumn id="71" xr3:uid="{39143051-B360-4CEF-883D-35BFEEAE3BA0}" name="20 - Deposit" dataDxfId="258" totalsRowDxfId="257">
      <calculatedColumnFormula array="1">Get_20_Add</calculatedColumnFormula>
    </tableColumn>
    <tableColumn id="15" xr3:uid="{8C1BB1E7-B23F-46EC-AE4E-28A3C394FD55}" name="20 - Withdrawal" dataDxfId="256" totalsRowDxfId="255">
      <calculatedColumnFormula array="1">Get_20_Del</calculatedColumnFormula>
    </tableColumn>
    <tableColumn id="102" xr3:uid="{F21D4D43-73EE-4C8A-8AEF-E424CE485010}" name="21 - Remaining" dataDxfId="254" totalsRowDxfId="253">
      <calculatedColumnFormula array="1">Get_21_Calc</calculatedColumnFormula>
    </tableColumn>
    <tableColumn id="103" xr3:uid="{4486E59C-66B0-413C-AFFC-A8A336BC25D8}" name="21 - Deposit" dataDxfId="252" totalsRowDxfId="251">
      <calculatedColumnFormula array="1">Get_21_Add</calculatedColumnFormula>
    </tableColumn>
    <tableColumn id="104" xr3:uid="{564EC857-6030-490D-A2E5-16F4F8221C23}" name="21 - Withdrawal" dataDxfId="250" totalsRowDxfId="249">
      <calculatedColumnFormula array="1">Get_21_Del</calculatedColumnFormula>
    </tableColumn>
    <tableColumn id="105" xr3:uid="{31132AB1-247A-4EB9-8A8A-871FED0D5AA1}" name="22 - Remaining" dataDxfId="248" totalsRowDxfId="247">
      <calculatedColumnFormula array="1">Get_22_Calc</calculatedColumnFormula>
    </tableColumn>
    <tableColumn id="98" xr3:uid="{CF6220B5-7B80-445C-A013-845D35543916}" name="22 - Deposit" dataDxfId="246" totalsRowDxfId="245">
      <calculatedColumnFormula array="1">Get_22_Add</calculatedColumnFormula>
    </tableColumn>
    <tableColumn id="99" xr3:uid="{98BD4691-C847-4F41-8E6C-BEC01B8FAEB3}" name="22 - Withdrawal" dataDxfId="244" totalsRowDxfId="243">
      <calculatedColumnFormula array="1">Get_22_Del</calculatedColumnFormula>
    </tableColumn>
    <tableColumn id="100" xr3:uid="{66330D4E-ED0D-41A7-921D-E622CA8068A4}" name="23 - Remaining" dataDxfId="242" totalsRowDxfId="241">
      <calculatedColumnFormula array="1">Get_23_Calc</calculatedColumnFormula>
    </tableColumn>
    <tableColumn id="101" xr3:uid="{3345E086-C2E9-453D-A0EB-A7471CF2ACB2}" name="23 - Deposit" dataDxfId="240" totalsRowDxfId="239">
      <calculatedColumnFormula array="1">Get_23_Add</calculatedColumnFormula>
    </tableColumn>
    <tableColumn id="94" xr3:uid="{8EF3E108-22A5-4CBC-9928-BC115EFE882A}" name="23 - Withdrawal" dataDxfId="238" totalsRowDxfId="237">
      <calculatedColumnFormula array="1">Get_23_Del</calculatedColumnFormula>
    </tableColumn>
    <tableColumn id="95" xr3:uid="{C6AA287C-2EA3-4286-A71D-29E22D519C41}" name="24 - Remaining" dataDxfId="236" totalsRowDxfId="235">
      <calculatedColumnFormula array="1">Get_24_Calc</calculatedColumnFormula>
    </tableColumn>
    <tableColumn id="96" xr3:uid="{1FDAF720-4143-496A-91C3-D65BD5CBA18F}" name="24 - Deposit" dataDxfId="234" totalsRowDxfId="233">
      <calculatedColumnFormula array="1">Get_24_Add</calculatedColumnFormula>
    </tableColumn>
    <tableColumn id="97" xr3:uid="{0CACBF11-449C-4C06-A249-904EB5517854}" name="24 - Withdrawal" dataDxfId="232" totalsRowDxfId="231">
      <calculatedColumnFormula array="1">Get_24_Del</calculatedColumnFormula>
    </tableColumn>
    <tableColumn id="90" xr3:uid="{11D36A45-02CB-476F-A2D2-734F76A2D1A6}" name="25 - Remaining" dataDxfId="230" totalsRowDxfId="229">
      <calculatedColumnFormula array="1">Get_25_Calc</calculatedColumnFormula>
    </tableColumn>
    <tableColumn id="91" xr3:uid="{8B60EC99-F04A-45EF-8F17-680319744A85}" name="25 - Deposit" dataDxfId="228" totalsRowDxfId="227">
      <calculatedColumnFormula array="1">Get_25_Add</calculatedColumnFormula>
    </tableColumn>
    <tableColumn id="92" xr3:uid="{AD05D88D-F2C1-4505-9BBD-FDC0B2D388F3}" name="25 - Withdrawal" dataDxfId="226" totalsRowDxfId="225">
      <calculatedColumnFormula array="1">Get_25_Del</calculatedColumnFormula>
    </tableColumn>
    <tableColumn id="93" xr3:uid="{F7CB76E9-97CE-4CC8-AEDA-CB574593A924}" name="26 - Remaining" dataDxfId="224" totalsRowDxfId="223">
      <calculatedColumnFormula array="1">Get_26_Calc</calculatedColumnFormula>
    </tableColumn>
    <tableColumn id="86" xr3:uid="{6D74E673-FBC5-435E-9229-8C187E67EA3F}" name="26 - Deposit" dataDxfId="222" totalsRowDxfId="221">
      <calculatedColumnFormula array="1">Get_26_Add</calculatedColumnFormula>
    </tableColumn>
    <tableColumn id="87" xr3:uid="{C2C28027-A1CD-440D-BB33-3A80FCC5A8C1}" name="26 - Withdrawal" dataDxfId="220" totalsRowDxfId="219">
      <calculatedColumnFormula array="1">Get_26_Del</calculatedColumnFormula>
    </tableColumn>
    <tableColumn id="88" xr3:uid="{070B4F15-D610-4FCF-B681-42E984B3F85F}" name="27 - Remaining" dataDxfId="218" totalsRowDxfId="217">
      <calculatedColumnFormula array="1">Get_27_Calc</calculatedColumnFormula>
    </tableColumn>
    <tableColumn id="89" xr3:uid="{04BA09B0-47DA-4E80-BEEC-AB8498C074D5}" name="27 - Deposit" dataDxfId="216" totalsRowDxfId="215">
      <calculatedColumnFormula array="1">Get_27_Add</calculatedColumnFormula>
    </tableColumn>
    <tableColumn id="82" xr3:uid="{17B1B927-AD09-4E4A-B7FC-33ED76279CBC}" name="27 - Withdrawal" dataDxfId="214" totalsRowDxfId="213">
      <calculatedColumnFormula array="1">Get_27_Del</calculatedColumnFormula>
    </tableColumn>
    <tableColumn id="83" xr3:uid="{2F4ED0A5-EE6B-4248-832C-F478A57FA0D5}" name="28 - Remaining" dataDxfId="212" totalsRowDxfId="211">
      <calculatedColumnFormula array="1">Get_28_Calc</calculatedColumnFormula>
    </tableColumn>
    <tableColumn id="84" xr3:uid="{D1140375-114D-49D9-A424-519A4250A622}" name="28 - Deposit" dataDxfId="210" totalsRowDxfId="209">
      <calculatedColumnFormula array="1">Get_28_Add</calculatedColumnFormula>
    </tableColumn>
    <tableColumn id="85" xr3:uid="{53209986-74FA-491C-8499-CAD58386B246}" name="28 - Withdrawal" dataDxfId="208" totalsRowDxfId="207">
      <calculatedColumnFormula array="1">Get_28_Del</calculatedColumnFormula>
    </tableColumn>
    <tableColumn id="78" xr3:uid="{9B1695E1-88D0-4B66-86DA-6328CEFA236B}" name="29 - Remaining" dataDxfId="206" totalsRowDxfId="205">
      <calculatedColumnFormula array="1">Get_29_Calc</calculatedColumnFormula>
    </tableColumn>
    <tableColumn id="79" xr3:uid="{AD5F07E7-774D-47C8-B9B7-0278E35D62E4}" name="29 - Deposit" dataDxfId="204" totalsRowDxfId="203">
      <calculatedColumnFormula array="1">Get_29_Add</calculatedColumnFormula>
    </tableColumn>
    <tableColumn id="80" xr3:uid="{60613223-E2AD-4FE8-AB22-74D7D70E9EC2}" name="29 - Withdrawal" dataDxfId="202" totalsRowDxfId="201">
      <calculatedColumnFormula array="1">Get_29_Del</calculatedColumnFormula>
    </tableColumn>
    <tableColumn id="81" xr3:uid="{598D87C2-40FF-4EB0-A568-2DE01DFD9C9A}" name="30 - Remaining" dataDxfId="200" totalsRowDxfId="199">
      <calculatedColumnFormula array="1">Get_30_Calc</calculatedColumnFormula>
    </tableColumn>
    <tableColumn id="112" xr3:uid="{A33BC1F0-D006-4639-92C6-0E411B6CA96D}" name="30 - Deposit" dataDxfId="198" totalsRowDxfId="197">
      <calculatedColumnFormula array="1">Get_30_Add</calculatedColumnFormula>
    </tableColumn>
    <tableColumn id="113" xr3:uid="{AF7F8313-8446-4886-AE41-FE26C24E6965}" name="30 - Withdrawal" dataDxfId="196" totalsRowDxfId="195">
      <calculatedColumnFormula array="1">Get_30_Del</calculatedColumnFormula>
    </tableColumn>
    <tableColumn id="114" xr3:uid="{32AC448A-1D9F-45C6-ADF0-484483D61305}" name="31 - Remaining" dataDxfId="194" totalsRowDxfId="193">
      <calculatedColumnFormula array="1">Get_31_Calc</calculatedColumnFormula>
    </tableColumn>
    <tableColumn id="109" xr3:uid="{6656E887-BCA1-45C6-9018-4F892EDCD6BD}" name="31 - Deposit" dataDxfId="192" totalsRowDxfId="191">
      <calculatedColumnFormula array="1">Get_31_Add</calculatedColumnFormula>
    </tableColumn>
    <tableColumn id="110" xr3:uid="{19143AD3-AFEC-4767-B097-6EFED19C1D5F}" name="31 - Withdrawal" dataDxfId="190" totalsRowDxfId="189">
      <calculatedColumnFormula array="1">Get_31_Del</calculatedColumnFormula>
    </tableColumn>
    <tableColumn id="111" xr3:uid="{A73390AD-84AD-4B11-962F-A0DD77AF79DB}" name="32 - Remaining" dataDxfId="188" totalsRowDxfId="187">
      <calculatedColumnFormula array="1">Get_32_Calc</calculatedColumnFormula>
    </tableColumn>
    <tableColumn id="106" xr3:uid="{CD563433-AB70-48C2-B28C-D63B8FE4231B}" name="32 - Deposit" dataDxfId="186" totalsRowDxfId="185">
      <calculatedColumnFormula array="1">Get_32_Add</calculatedColumnFormula>
    </tableColumn>
    <tableColumn id="107" xr3:uid="{8C2B9726-7B44-4012-849B-90C10E42CC75}" name="32 - Withdrawal" dataDxfId="184" totalsRowDxfId="183">
      <calculatedColumnFormula array="1">Get_32_Del</calculatedColumnFormula>
    </tableColumn>
    <tableColumn id="108" xr3:uid="{E5AF4544-102C-474F-A246-CC7171B33738}" name="33 - Remaining" dataDxfId="182" totalsRowDxfId="181">
      <calculatedColumnFormula array="1">Get_33_Calc</calculatedColumnFormula>
    </tableColumn>
    <tableColumn id="121" xr3:uid="{C1F5D498-1262-44DF-B066-1A676148E301}" name="33 - Deposit" dataDxfId="180" totalsRowDxfId="179">
      <calculatedColumnFormula array="1">Get_33_Add</calculatedColumnFormula>
    </tableColumn>
    <tableColumn id="122" xr3:uid="{2F6821D0-F42C-4DED-A045-B1C398C90F61}" name="33 - Withdrawal" dataDxfId="178" totalsRowDxfId="177">
      <calculatedColumnFormula array="1">Get_33_Del</calculatedColumnFormula>
    </tableColumn>
    <tableColumn id="123" xr3:uid="{DDEBD9FE-7A2F-41FF-9BD6-93F0E3570136}" name="34 - Remaining" dataDxfId="176" totalsRowDxfId="175">
      <calculatedColumnFormula array="1">Get_34_Calc</calculatedColumnFormula>
    </tableColumn>
    <tableColumn id="118" xr3:uid="{DEAF0FA5-8ADE-45D7-B112-EA03FAA0D896}" name="34 - Deposit" dataDxfId="174" totalsRowDxfId="173">
      <calculatedColumnFormula array="1">Get_34_Add</calculatedColumnFormula>
    </tableColumn>
    <tableColumn id="119" xr3:uid="{C95831F4-24FC-40B7-A0D8-FEBAAA6EAD80}" name="34 - Withdrawal" dataDxfId="172" totalsRowDxfId="171">
      <calculatedColumnFormula array="1">Get_34_Del</calculatedColumnFormula>
    </tableColumn>
    <tableColumn id="120" xr3:uid="{8C22D30B-320F-49E4-B37A-57A3D5DEE429}" name="35 - Remaining" dataDxfId="170" totalsRowDxfId="169">
      <calculatedColumnFormula array="1">Get_35_Calc</calculatedColumnFormula>
    </tableColumn>
    <tableColumn id="115" xr3:uid="{DC9FF648-80A3-480C-8295-816AE96549F0}" name="35 - Deposit" dataDxfId="168" totalsRowDxfId="167">
      <calculatedColumnFormula array="1">Get_35_Add</calculatedColumnFormula>
    </tableColumn>
    <tableColumn id="116" xr3:uid="{19FD796A-C39B-4913-B2F4-CF8C8A6E2355}" name="35 - Withdrawal" dataDxfId="166" totalsRowDxfId="165">
      <calculatedColumnFormula array="1">Get_35_Del</calculatedColumnFormula>
    </tableColumn>
    <tableColumn id="117" xr3:uid="{329AC6EB-CF46-4F1E-A1D1-49A8B17CACCD}" name="36 - Remaining" dataDxfId="164" totalsRowDxfId="163">
      <calculatedColumnFormula array="1">Get_36_Calc</calculatedColumnFormula>
    </tableColumn>
    <tableColumn id="77" xr3:uid="{D18373BA-DB75-470C-9939-60206C36267B}" name="36 - Deposit" dataDxfId="162" totalsRowDxfId="161">
      <calculatedColumnFormula array="1">Get_36_Add</calculatedColumnFormula>
    </tableColumn>
    <tableColumn id="76" xr3:uid="{8C923C1F-8AAD-4F00-B3ED-8C81417C548A}" name="36 - Withdrawal" dataDxfId="160" totalsRowDxfId="159">
      <calculatedColumnFormula array="1">Get_36_Del</calculatedColumnFormula>
    </tableColumn>
    <tableColumn id="132" xr3:uid="{F6203D74-C033-4FEA-B4CE-F892F2B07270}" name="37 - Remaining" dataDxfId="158" totalsRowDxfId="157">
      <calculatedColumnFormula array="1">Get_37_Calc</calculatedColumnFormula>
    </tableColumn>
    <tableColumn id="133" xr3:uid="{BA7DE93C-8EE4-4DDC-BC04-EC21986490A7}" name="37 - Deposit" dataDxfId="156" totalsRowDxfId="155">
      <calculatedColumnFormula array="1">Get_37_Add</calculatedColumnFormula>
    </tableColumn>
    <tableColumn id="128" xr3:uid="{A2AB67E7-67E5-4957-9EB1-A4A37B61C71A}" name="37 - Withdrawal" dataDxfId="154" totalsRowDxfId="153">
      <calculatedColumnFormula array="1">Get_37_Del</calculatedColumnFormula>
    </tableColumn>
    <tableColumn id="129" xr3:uid="{15573BDA-20F9-4C2F-9D6F-18F743FC6E25}" name="38 - Remaining" dataDxfId="152" totalsRowDxfId="151">
      <calculatedColumnFormula array="1">Get_38_Calc</calculatedColumnFormula>
    </tableColumn>
    <tableColumn id="130" xr3:uid="{C0F229CF-C5D6-4F11-8F55-7692B00DC0E3}" name="38 - Deposit" dataDxfId="150" totalsRowDxfId="149">
      <calculatedColumnFormula array="1">Get_38_Add</calculatedColumnFormula>
    </tableColumn>
    <tableColumn id="125" xr3:uid="{24A0AFA6-873B-40D0-95AA-269E0E8A05E1}" name="38 - Withdrawal" dataDxfId="148" totalsRowDxfId="147">
      <calculatedColumnFormula array="1">Get_38_Del</calculatedColumnFormula>
    </tableColumn>
    <tableColumn id="126" xr3:uid="{20897FAE-D3FE-48DD-961E-6A6443173FA9}" name="39 - Remaining" dataDxfId="146" totalsRowDxfId="145">
      <calculatedColumnFormula array="1">Get_39_Calc</calculatedColumnFormula>
    </tableColumn>
    <tableColumn id="127" xr3:uid="{35F30295-EDB2-4D7F-939D-DFAC52BB2A9F}" name="39 - Deposit" dataDxfId="144" totalsRowDxfId="143">
      <calculatedColumnFormula array="1">Get_39_Add</calculatedColumnFormula>
    </tableColumn>
    <tableColumn id="124" xr3:uid="{AF953A41-E1B0-4337-8A8E-F951C493EDE8}" name="39 - Withdrawal" dataDxfId="142" totalsRowDxfId="141">
      <calculatedColumnFormula array="1">Get_39_Del</calculatedColumnFormula>
    </tableColumn>
    <tableColumn id="75" xr3:uid="{07F02D24-5D96-40AE-BCE0-590F79C6D5DF}" name="40 - Remaining" dataDxfId="140" totalsRowDxfId="139">
      <calculatedColumnFormula array="1">Get_40_Calc</calculatedColumnFormula>
    </tableColumn>
    <tableColumn id="134" xr3:uid="{1075256E-BEBC-4E72-B0F5-766EF175AB4B}" name="40 - Deposit" dataDxfId="138" totalsRowDxfId="137">
      <calculatedColumnFormula array="1">Get_40_Add</calculatedColumnFormula>
    </tableColumn>
    <tableColumn id="74" xr3:uid="{DAFDE2C6-F321-4651-AA25-F4B29B9F690B}" name="40 - Withdrawal" dataDxfId="136" totalsRowDxfId="135">
      <calculatedColumnFormula array="1">Get_40_Del</calculatedColumnFormula>
    </tableColumn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 x14ac:dyDescent="0.4"/>
  <cols>
    <col min="1" max="1" width="2.69140625" style="3" customWidth="1"/>
    <col min="2" max="2" width="14.69140625" style="3" customWidth="1"/>
    <col min="3" max="3" width="34.69140625" style="3" customWidth="1"/>
    <col min="4" max="15" width="14.69140625" style="3" customWidth="1"/>
    <col min="16" max="19" width="14.69140625" style="3" hidden="1" customWidth="1"/>
    <col min="20" max="20" width="2.69140625" style="3" customWidth="1"/>
    <col min="21" max="53" width="9.15234375" style="3" hidden="1" customWidth="1"/>
    <col min="54" max="55" width="18.69140625" style="3" hidden="1" customWidth="1"/>
    <col min="56" max="56" width="60.69140625" style="3" hidden="1" customWidth="1"/>
    <col min="57" max="16384" width="9.15234375" style="3" hidden="1"/>
  </cols>
  <sheetData>
    <row r="1" spans="2:56" s="72" customFormat="1" ht="6" customHeight="1" x14ac:dyDescent="0.4"/>
    <row r="2" spans="2:56" s="73" customFormat="1" ht="10" customHeight="1" x14ac:dyDescent="0.4"/>
    <row r="3" spans="2:56" s="73" customFormat="1" ht="40" customHeight="1" x14ac:dyDescent="0.5">
      <c r="B3" s="74"/>
      <c r="C3" s="113" t="s">
        <v>242</v>
      </c>
    </row>
    <row r="4" spans="2:56" s="73" customFormat="1" ht="8.15" customHeight="1" x14ac:dyDescent="0.4">
      <c r="B4" s="74"/>
      <c r="C4" s="75"/>
    </row>
    <row r="5" spans="2:56" s="73" customFormat="1" ht="40" customHeight="1" x14ac:dyDescent="0.4">
      <c r="B5" s="74"/>
      <c r="C5" s="76" t="s">
        <v>50</v>
      </c>
    </row>
    <row r="6" spans="2:56" ht="16.5" customHeight="1" x14ac:dyDescent="0.4">
      <c r="G6" s="77"/>
      <c r="H6" s="77"/>
      <c r="I6" s="77"/>
      <c r="J6" s="77"/>
      <c r="K6" s="77"/>
    </row>
    <row r="7" spans="2:56" ht="40" customHeight="1" x14ac:dyDescent="0.4">
      <c r="B7" s="78" t="s">
        <v>51</v>
      </c>
      <c r="C7" s="79" t="s">
        <v>71</v>
      </c>
      <c r="D7" s="61" t="s">
        <v>0</v>
      </c>
      <c r="E7" s="80"/>
      <c r="F7" s="80"/>
      <c r="G7" s="80"/>
      <c r="H7" s="80"/>
      <c r="I7" s="80"/>
      <c r="J7" s="80"/>
      <c r="K7" s="80"/>
      <c r="L7" s="80"/>
      <c r="M7" s="80"/>
      <c r="N7" s="80"/>
      <c r="O7" s="80"/>
      <c r="BB7" s="3" t="s">
        <v>428</v>
      </c>
    </row>
    <row r="8" spans="2:56" ht="8.15" customHeight="1" x14ac:dyDescent="0.4"/>
    <row r="9" spans="2:56" ht="40" customHeight="1" x14ac:dyDescent="0.4">
      <c r="B9" s="78" t="s">
        <v>52</v>
      </c>
      <c r="C9" s="79" t="s">
        <v>76</v>
      </c>
      <c r="D9" s="79"/>
      <c r="E9" s="79"/>
      <c r="F9" s="79"/>
      <c r="G9" s="79" t="s">
        <v>241</v>
      </c>
      <c r="H9" s="115" t="s">
        <v>80</v>
      </c>
      <c r="I9" s="115"/>
      <c r="J9" s="115"/>
      <c r="K9" s="116" t="s">
        <v>81</v>
      </c>
      <c r="L9" s="116"/>
      <c r="M9" s="116"/>
      <c r="N9" s="116" t="s">
        <v>407</v>
      </c>
      <c r="O9" s="116"/>
      <c r="P9" s="116" t="s">
        <v>404</v>
      </c>
      <c r="Q9" s="116"/>
      <c r="R9" s="116"/>
      <c r="S9" s="116"/>
      <c r="BB9" s="3" t="s">
        <v>425</v>
      </c>
      <c r="BC9" s="3" t="s">
        <v>426</v>
      </c>
      <c r="BD9" s="3" t="s">
        <v>427</v>
      </c>
    </row>
    <row r="10" spans="2:56" ht="55" customHeight="1" x14ac:dyDescent="0.4">
      <c r="B10" s="78"/>
      <c r="C10" s="79"/>
      <c r="D10" s="81" t="s">
        <v>251</v>
      </c>
      <c r="E10" s="81" t="s">
        <v>250</v>
      </c>
      <c r="F10" s="81" t="s">
        <v>240</v>
      </c>
      <c r="G10" s="81" t="s">
        <v>77</v>
      </c>
      <c r="H10" s="81" t="s">
        <v>247</v>
      </c>
      <c r="I10" s="81" t="s">
        <v>78</v>
      </c>
      <c r="J10" s="81" t="s">
        <v>79</v>
      </c>
      <c r="K10" s="81" t="s">
        <v>246</v>
      </c>
      <c r="L10" s="81" t="s">
        <v>248</v>
      </c>
      <c r="M10" s="81" t="s">
        <v>249</v>
      </c>
      <c r="N10" s="81" t="s">
        <v>405</v>
      </c>
      <c r="O10" s="81" t="s">
        <v>406</v>
      </c>
      <c r="P10" s="81" t="s">
        <v>266</v>
      </c>
      <c r="Q10" s="81" t="s">
        <v>267</v>
      </c>
      <c r="R10" s="81" t="s">
        <v>268</v>
      </c>
      <c r="S10" s="81" t="s">
        <v>269</v>
      </c>
      <c r="BC10" s="3" t="s">
        <v>423</v>
      </c>
      <c r="BD10" s="3" t="s">
        <v>84</v>
      </c>
    </row>
    <row r="11" spans="2:56" ht="40" customHeight="1" x14ac:dyDescent="0.4">
      <c r="B11" s="78"/>
      <c r="C11" s="79"/>
      <c r="D11" s="82" t="str">
        <f>CONCATENATE(Store_Setting[[#This Row],[Product
serial number]], IF(Store_Setting[[#This Row],[Product name]]="","", _xlfn.CONCAT(" | ",_xlfn.SINGLE(Store_Setting[Product name]))))</f>
        <v>1 | 1</v>
      </c>
      <c r="E11" s="10">
        <v>1</v>
      </c>
      <c r="F11" s="42">
        <v>1</v>
      </c>
      <c r="G11" s="83">
        <f>Store_Setting[[#This Row],[Negative
inventory
balance]]-SUM(Store_Setting[[#This Row],[Deposited]]-Store_Setting[[#This Row],[Withdrawn]])</f>
        <v>0</v>
      </c>
      <c r="H11" s="38">
        <f>SUM(UserInfo[1 - Remaining])</f>
        <v>0</v>
      </c>
      <c r="I11" s="38">
        <f>SUM(UserInfo[1 - Deposit])</f>
        <v>0</v>
      </c>
      <c r="J11" s="38">
        <f>SUM(UserInfo[1 - Withdrawal])</f>
        <v>0</v>
      </c>
      <c r="K11" s="38">
        <f>Store_Setting[[#This Row],[Inbound
subtotal]]-Store_Setting[[#This Row],[Pickup
subtotal]]</f>
        <v>0</v>
      </c>
      <c r="L11" s="38">
        <f>SUMIFS(Store_History[Quantity],Store_History[Unique identifier],Store_Setting[[#This Row],[Unique
identifier]],Store_History[Type],$D$81)</f>
        <v>0</v>
      </c>
      <c r="M11" s="38">
        <f>SUMIFS(Store_History[Quantity],Store_History[Unique identifier],Store_Setting[[#This Row],[Unique
identifier]],Store_History[Type],$E$81)</f>
        <v>0</v>
      </c>
      <c r="N11" s="13" t="s">
        <v>84</v>
      </c>
      <c r="O11" s="13" t="s">
        <v>84</v>
      </c>
      <c r="P11" s="10" t="s">
        <v>270</v>
      </c>
      <c r="Q11" s="10" t="s">
        <v>271</v>
      </c>
      <c r="R11" s="10" t="s">
        <v>272</v>
      </c>
      <c r="S11" s="10" t="s">
        <v>273</v>
      </c>
      <c r="BC11" s="3" t="s">
        <v>424</v>
      </c>
      <c r="BD11" s="3" t="s">
        <v>85</v>
      </c>
    </row>
    <row r="12" spans="2:56" ht="40" customHeight="1" x14ac:dyDescent="0.4">
      <c r="B12" s="78"/>
      <c r="C12" s="79"/>
      <c r="D12" s="82" t="str">
        <f>CONCATENATE(Store_Setting[[#This Row],[Product
serial number]], IF(Store_Setting[[#This Row],[Product name]]="","", _xlfn.CONCAT(" | ",_xlfn.SINGLE(Store_Setting[Product name]))))</f>
        <v>2 | 2</v>
      </c>
      <c r="E12" s="10">
        <v>2</v>
      </c>
      <c r="F12" s="42">
        <v>2</v>
      </c>
      <c r="G12" s="83">
        <f>Store_Setting[[#This Row],[Negative
inventory
balance]]-SUM(Store_Setting[[#This Row],[Deposited]]-Store_Setting[[#This Row],[Withdrawn]])</f>
        <v>0</v>
      </c>
      <c r="H12" s="38">
        <f>SUM(UserInfo[2 - Remaining])</f>
        <v>0</v>
      </c>
      <c r="I12" s="38">
        <f>SUM(UserInfo[2 - Deposit])</f>
        <v>0</v>
      </c>
      <c r="J12" s="38">
        <f>SUM(UserInfo[2 - Withdrawal])</f>
        <v>0</v>
      </c>
      <c r="K12" s="38">
        <f>Store_Setting[[#This Row],[Inbound
subtotal]]-Store_Setting[[#This Row],[Pickup
subtotal]]</f>
        <v>0</v>
      </c>
      <c r="L12" s="38">
        <f>SUMIFS(Store_History[Quantity],Store_History[Unique identifier],Store_Setting[[#This Row],[Unique
identifier]],Store_History[Type],$D$81)</f>
        <v>0</v>
      </c>
      <c r="M12" s="38">
        <f>SUMIFS(Store_History[Quantity],Store_History[Unique identifier],Store_Setting[[#This Row],[Unique
identifier]],Store_History[Type],$E$81)</f>
        <v>0</v>
      </c>
      <c r="N12" s="13" t="s">
        <v>84</v>
      </c>
      <c r="O12" s="13" t="s">
        <v>84</v>
      </c>
      <c r="P12" s="10" t="s">
        <v>274</v>
      </c>
      <c r="Q12" s="10" t="s">
        <v>275</v>
      </c>
      <c r="R12" s="10" t="s">
        <v>276</v>
      </c>
      <c r="S12" s="10" t="s">
        <v>271</v>
      </c>
      <c r="BD12" s="3" t="s">
        <v>95</v>
      </c>
    </row>
    <row r="13" spans="2:56" ht="40" customHeight="1" x14ac:dyDescent="0.4">
      <c r="B13" s="78"/>
      <c r="C13" s="79"/>
      <c r="D13" s="82" t="str">
        <f>CONCATENATE(Store_Setting[[#This Row],[Product
serial number]], IF(Store_Setting[[#This Row],[Product name]]="","", _xlfn.CONCAT(" | ",_xlfn.SINGLE(Store_Setting[Product name]))))</f>
        <v>3</v>
      </c>
      <c r="E13" s="10">
        <v>3</v>
      </c>
      <c r="F13" s="42"/>
      <c r="G13" s="83">
        <f>Store_Setting[[#This Row],[Negative
inventory
balance]]-SUM(Store_Setting[[#This Row],[Deposited]]-Store_Setting[[#This Row],[Withdrawn]])</f>
        <v>0</v>
      </c>
      <c r="H13" s="38">
        <f>SUM(UserInfo[3 - Remaining])</f>
        <v>0</v>
      </c>
      <c r="I13" s="38">
        <f>SUM(UserInfo[3 - Deposit])</f>
        <v>0</v>
      </c>
      <c r="J13" s="38">
        <f>SUM(UserInfo[3 - Withdrawal])</f>
        <v>0</v>
      </c>
      <c r="K13" s="38">
        <f>Store_Setting[[#This Row],[Inbound
subtotal]]-Store_Setting[[#This Row],[Pickup
subtotal]]</f>
        <v>0</v>
      </c>
      <c r="L13" s="38">
        <f>SUMIFS(Store_History[Quantity],Store_History[Unique identifier],Store_Setting[[#This Row],[Unique
identifier]],Store_History[Type],$D$81)</f>
        <v>0</v>
      </c>
      <c r="M13" s="38">
        <f>SUMIFS(Store_History[Quantity],Store_History[Unique identifier],Store_Setting[[#This Row],[Unique
identifier]],Store_History[Type],$E$81)</f>
        <v>0</v>
      </c>
      <c r="N13" s="13" t="s">
        <v>84</v>
      </c>
      <c r="O13" s="13" t="s">
        <v>84</v>
      </c>
      <c r="P13" s="10" t="s">
        <v>277</v>
      </c>
      <c r="Q13" s="10" t="s">
        <v>278</v>
      </c>
      <c r="R13" s="10" t="s">
        <v>279</v>
      </c>
      <c r="S13" s="10" t="s">
        <v>272</v>
      </c>
      <c r="BD13" s="3" t="s">
        <v>429</v>
      </c>
    </row>
    <row r="14" spans="2:56" ht="40" customHeight="1" x14ac:dyDescent="0.4">
      <c r="B14" s="78"/>
      <c r="C14" s="79"/>
      <c r="D14" s="82" t="str">
        <f>CONCATENATE(Store_Setting[[#This Row],[Product
serial number]], IF(Store_Setting[[#This Row],[Product name]]="","", _xlfn.CONCAT(" | ",_xlfn.SINGLE(Store_Setting[Product name]))))</f>
        <v>4</v>
      </c>
      <c r="E14" s="10">
        <v>4</v>
      </c>
      <c r="F14" s="42"/>
      <c r="G14" s="83">
        <f>Store_Setting[[#This Row],[Negative
inventory
balance]]-SUM(Store_Setting[[#This Row],[Deposited]]-Store_Setting[[#This Row],[Withdrawn]])</f>
        <v>0</v>
      </c>
      <c r="H14" s="38">
        <f>SUM(UserInfo[4 - Remaining])</f>
        <v>0</v>
      </c>
      <c r="I14" s="38">
        <f>SUM(UserInfo[4 - Deposit])</f>
        <v>0</v>
      </c>
      <c r="J14" s="38">
        <f>SUM(UserInfo[4 - Withdrawal])</f>
        <v>0</v>
      </c>
      <c r="K14" s="38">
        <f>Store_Setting[[#This Row],[Inbound
subtotal]]-Store_Setting[[#This Row],[Pickup
subtotal]]</f>
        <v>0</v>
      </c>
      <c r="L14" s="38">
        <f>SUMIFS(Store_History[Quantity],Store_History[Unique identifier],Store_Setting[[#This Row],[Unique
identifier]],Store_History[Type],$D$81)</f>
        <v>0</v>
      </c>
      <c r="M14" s="38">
        <f>SUMIFS(Store_History[Quantity],Store_History[Unique identifier],Store_Setting[[#This Row],[Unique
identifier]],Store_History[Type],$E$81)</f>
        <v>0</v>
      </c>
      <c r="N14" s="13" t="s">
        <v>84</v>
      </c>
      <c r="O14" s="13" t="s">
        <v>84</v>
      </c>
      <c r="P14" s="10" t="s">
        <v>280</v>
      </c>
      <c r="Q14" s="10" t="s">
        <v>281</v>
      </c>
      <c r="R14" s="10" t="s">
        <v>282</v>
      </c>
      <c r="S14" s="10" t="s">
        <v>283</v>
      </c>
      <c r="BD14" s="3" t="s">
        <v>430</v>
      </c>
    </row>
    <row r="15" spans="2:56" ht="40" customHeight="1" x14ac:dyDescent="0.4">
      <c r="B15" s="78"/>
      <c r="C15" s="79"/>
      <c r="D15" s="82" t="str">
        <f>CONCATENATE(Store_Setting[[#This Row],[Product
serial number]], IF(Store_Setting[[#This Row],[Product name]]="","", _xlfn.CONCAT(" | ",_xlfn.SINGLE(Store_Setting[Product name]))))</f>
        <v>5</v>
      </c>
      <c r="E15" s="10">
        <v>5</v>
      </c>
      <c r="F15" s="42"/>
      <c r="G15" s="83">
        <f>Store_Setting[[#This Row],[Negative
inventory
balance]]-SUM(Store_Setting[[#This Row],[Deposited]]-Store_Setting[[#This Row],[Withdrawn]])</f>
        <v>0</v>
      </c>
      <c r="H15" s="38">
        <f>SUM(UserInfo[5 - Remaining])</f>
        <v>0</v>
      </c>
      <c r="I15" s="38">
        <f>SUM(UserInfo[5 - Deposit])</f>
        <v>0</v>
      </c>
      <c r="J15" s="38">
        <f>SUM(UserInfo[5 - Withdrawal])</f>
        <v>0</v>
      </c>
      <c r="K15" s="38">
        <f>Store_Setting[[#This Row],[Inbound
subtotal]]-Store_Setting[[#This Row],[Pickup
subtotal]]</f>
        <v>0</v>
      </c>
      <c r="L15" s="38">
        <f>SUMIFS(Store_History[Quantity],Store_History[Unique identifier],Store_Setting[[#This Row],[Unique
identifier]],Store_History[Type],$D$81)</f>
        <v>0</v>
      </c>
      <c r="M15" s="38">
        <f>SUMIFS(Store_History[Quantity],Store_History[Unique identifier],Store_Setting[[#This Row],[Unique
identifier]],Store_History[Type],$E$81)</f>
        <v>0</v>
      </c>
      <c r="N15" s="13" t="s">
        <v>84</v>
      </c>
      <c r="O15" s="13" t="s">
        <v>84</v>
      </c>
      <c r="P15" s="10" t="s">
        <v>284</v>
      </c>
      <c r="Q15" s="10" t="s">
        <v>285</v>
      </c>
      <c r="R15" s="10" t="s">
        <v>286</v>
      </c>
      <c r="S15" s="10" t="s">
        <v>275</v>
      </c>
      <c r="BD15" s="3" t="s">
        <v>431</v>
      </c>
    </row>
    <row r="16" spans="2:56" ht="40" customHeight="1" x14ac:dyDescent="0.4">
      <c r="B16" s="78"/>
      <c r="C16" s="79"/>
      <c r="D16" s="82" t="str">
        <f>CONCATENATE(Store_Setting[[#This Row],[Product
serial number]], IF(Store_Setting[[#This Row],[Product name]]="","", _xlfn.CONCAT(" | ",_xlfn.SINGLE(Store_Setting[Product name]))))</f>
        <v>6</v>
      </c>
      <c r="E16" s="10">
        <v>6</v>
      </c>
      <c r="F16" s="42"/>
      <c r="G16" s="83">
        <f>Store_Setting[[#This Row],[Negative
inventory
balance]]-SUM(Store_Setting[[#This Row],[Deposited]]-Store_Setting[[#This Row],[Withdrawn]])</f>
        <v>0</v>
      </c>
      <c r="H16" s="38">
        <f>SUM(UserInfo[6 - Remaining])</f>
        <v>0</v>
      </c>
      <c r="I16" s="38">
        <f>SUM(UserInfo[6 - Deposit])</f>
        <v>0</v>
      </c>
      <c r="J16" s="38">
        <f>SUM(UserInfo[6 - Withdrawal])</f>
        <v>0</v>
      </c>
      <c r="K16" s="38">
        <f>Store_Setting[[#This Row],[Inbound
subtotal]]-Store_Setting[[#This Row],[Pickup
subtotal]]</f>
        <v>0</v>
      </c>
      <c r="L16" s="38">
        <f>SUMIFS(Store_History[Quantity],Store_History[Unique identifier],Store_Setting[[#This Row],[Unique
identifier]],Store_History[Type],$D$81)</f>
        <v>0</v>
      </c>
      <c r="M16" s="38">
        <f>SUMIFS(Store_History[Quantity],Store_History[Unique identifier],Store_Setting[[#This Row],[Unique
identifier]],Store_History[Type],$E$81)</f>
        <v>0</v>
      </c>
      <c r="N16" s="13" t="s">
        <v>84</v>
      </c>
      <c r="O16" s="13" t="s">
        <v>84</v>
      </c>
      <c r="P16" s="10" t="s">
        <v>287</v>
      </c>
      <c r="Q16" s="10" t="s">
        <v>288</v>
      </c>
      <c r="R16" s="10" t="s">
        <v>289</v>
      </c>
      <c r="S16" s="10" t="s">
        <v>276</v>
      </c>
      <c r="BD16" s="3" t="s">
        <v>432</v>
      </c>
    </row>
    <row r="17" spans="2:56" ht="40" customHeight="1" x14ac:dyDescent="0.4">
      <c r="B17" s="78"/>
      <c r="C17" s="79"/>
      <c r="D17" s="82" t="str">
        <f>CONCATENATE(Store_Setting[[#This Row],[Product
serial number]], IF(Store_Setting[[#This Row],[Product name]]="","", _xlfn.CONCAT(" | ",_xlfn.SINGLE(Store_Setting[Product name]))))</f>
        <v>7</v>
      </c>
      <c r="E17" s="10">
        <v>7</v>
      </c>
      <c r="F17" s="42"/>
      <c r="G17" s="83">
        <f>Store_Setting[[#This Row],[Negative
inventory
balance]]-SUM(Store_Setting[[#This Row],[Deposited]]-Store_Setting[[#This Row],[Withdrawn]])</f>
        <v>0</v>
      </c>
      <c r="H17" s="38">
        <f>SUM(UserInfo[7 - Remaining])</f>
        <v>0</v>
      </c>
      <c r="I17" s="38">
        <f>SUM(UserInfo[7 - Deposit])</f>
        <v>0</v>
      </c>
      <c r="J17" s="38">
        <f>SUM(UserInfo[7 - Withdrawal])</f>
        <v>0</v>
      </c>
      <c r="K17" s="38">
        <f>Store_Setting[[#This Row],[Inbound
subtotal]]-Store_Setting[[#This Row],[Pickup
subtotal]]</f>
        <v>0</v>
      </c>
      <c r="L17" s="38">
        <f>SUMIFS(Store_History[Quantity],Store_History[Unique identifier],Store_Setting[[#This Row],[Unique
identifier]],Store_History[Type],$D$81)</f>
        <v>0</v>
      </c>
      <c r="M17" s="38">
        <f>SUMIFS(Store_History[Quantity],Store_History[Unique identifier],Store_Setting[[#This Row],[Unique
identifier]],Store_History[Type],$E$81)</f>
        <v>0</v>
      </c>
      <c r="N17" s="13" t="s">
        <v>84</v>
      </c>
      <c r="O17" s="13" t="s">
        <v>84</v>
      </c>
      <c r="P17" s="10" t="s">
        <v>290</v>
      </c>
      <c r="Q17" s="10" t="s">
        <v>291</v>
      </c>
      <c r="R17" s="10" t="s">
        <v>292</v>
      </c>
      <c r="S17" s="10" t="s">
        <v>293</v>
      </c>
      <c r="BD17" s="3" t="s">
        <v>412</v>
      </c>
    </row>
    <row r="18" spans="2:56" ht="40" customHeight="1" x14ac:dyDescent="0.4">
      <c r="B18" s="78"/>
      <c r="C18" s="79"/>
      <c r="D18" s="82" t="str">
        <f>CONCATENATE(Store_Setting[[#This Row],[Product
serial number]], IF(Store_Setting[[#This Row],[Product name]]="","", _xlfn.CONCAT(" | ",_xlfn.SINGLE(Store_Setting[Product name]))))</f>
        <v>8</v>
      </c>
      <c r="E18" s="10">
        <v>8</v>
      </c>
      <c r="F18" s="42"/>
      <c r="G18" s="83">
        <f>Store_Setting[[#This Row],[Negative
inventory
balance]]-SUM(Store_Setting[[#This Row],[Deposited]]-Store_Setting[[#This Row],[Withdrawn]])</f>
        <v>0</v>
      </c>
      <c r="H18" s="38">
        <f>SUM(UserInfo[8 - Remaining])</f>
        <v>0</v>
      </c>
      <c r="I18" s="38">
        <f>SUM(UserInfo[8 - Deposit])</f>
        <v>0</v>
      </c>
      <c r="J18" s="38">
        <f>SUM(UserInfo[8 - Withdrawal])</f>
        <v>0</v>
      </c>
      <c r="K18" s="38">
        <f>Store_Setting[[#This Row],[Inbound
subtotal]]-Store_Setting[[#This Row],[Pickup
subtotal]]</f>
        <v>0</v>
      </c>
      <c r="L18" s="38">
        <f>SUMIFS(Store_History[Quantity],Store_History[Unique identifier],Store_Setting[[#This Row],[Unique
identifier]],Store_History[Type],$D$81)</f>
        <v>0</v>
      </c>
      <c r="M18" s="38">
        <f>SUMIFS(Store_History[Quantity],Store_History[Unique identifier],Store_Setting[[#This Row],[Unique
identifier]],Store_History[Type],$E$81)</f>
        <v>0</v>
      </c>
      <c r="N18" s="13" t="s">
        <v>84</v>
      </c>
      <c r="O18" s="13" t="s">
        <v>84</v>
      </c>
      <c r="P18" s="10" t="s">
        <v>294</v>
      </c>
      <c r="Q18" s="10" t="s">
        <v>295</v>
      </c>
      <c r="R18" s="10" t="s">
        <v>296</v>
      </c>
      <c r="S18" s="10" t="s">
        <v>278</v>
      </c>
      <c r="BD18" s="3" t="s">
        <v>433</v>
      </c>
    </row>
    <row r="19" spans="2:56" ht="40" customHeight="1" x14ac:dyDescent="0.4">
      <c r="B19" s="78"/>
      <c r="C19" s="79"/>
      <c r="D19" s="82" t="str">
        <f>CONCATENATE(Store_Setting[[#This Row],[Product
serial number]], IF(Store_Setting[[#This Row],[Product name]]="","", _xlfn.CONCAT(" | ",_xlfn.SINGLE(Store_Setting[Product name]))))</f>
        <v>9</v>
      </c>
      <c r="E19" s="10">
        <v>9</v>
      </c>
      <c r="F19" s="42"/>
      <c r="G19" s="83">
        <f>Store_Setting[[#This Row],[Negative
inventory
balance]]-SUM(Store_Setting[[#This Row],[Deposited]]-Store_Setting[[#This Row],[Withdrawn]])</f>
        <v>0</v>
      </c>
      <c r="H19" s="38">
        <f>SUM(UserInfo[9 - Remaining])</f>
        <v>0</v>
      </c>
      <c r="I19" s="38">
        <f>SUM(UserInfo[9 - Deposit])</f>
        <v>0</v>
      </c>
      <c r="J19" s="38">
        <f>SUM(UserInfo[9 - Withdrawal])</f>
        <v>0</v>
      </c>
      <c r="K19" s="38">
        <f>Store_Setting[[#This Row],[Inbound
subtotal]]-Store_Setting[[#This Row],[Pickup
subtotal]]</f>
        <v>0</v>
      </c>
      <c r="L19" s="38">
        <f>SUMIFS(Store_History[Quantity],Store_History[Unique identifier],Store_Setting[[#This Row],[Unique
identifier]],Store_History[Type],$D$81)</f>
        <v>0</v>
      </c>
      <c r="M19" s="38">
        <f>SUMIFS(Store_History[Quantity],Store_History[Unique identifier],Store_Setting[[#This Row],[Unique
identifier]],Store_History[Type],$E$81)</f>
        <v>0</v>
      </c>
      <c r="N19" s="13" t="s">
        <v>84</v>
      </c>
      <c r="O19" s="13" t="s">
        <v>84</v>
      </c>
      <c r="P19" s="10" t="s">
        <v>297</v>
      </c>
      <c r="Q19" s="10" t="s">
        <v>298</v>
      </c>
      <c r="R19" s="10" t="s">
        <v>299</v>
      </c>
      <c r="S19" s="10" t="s">
        <v>279</v>
      </c>
      <c r="BD19" s="3" t="s">
        <v>434</v>
      </c>
    </row>
    <row r="20" spans="2:56" ht="40" customHeight="1" x14ac:dyDescent="0.4">
      <c r="B20" s="78"/>
      <c r="C20" s="79"/>
      <c r="D20" s="82" t="str">
        <f>CONCATENATE(Store_Setting[[#This Row],[Product
serial number]], IF(Store_Setting[[#This Row],[Product name]]="","", _xlfn.CONCAT(" | ",_xlfn.SINGLE(Store_Setting[Product name]))))</f>
        <v>10</v>
      </c>
      <c r="E20" s="10">
        <v>10</v>
      </c>
      <c r="F20" s="42"/>
      <c r="G20" s="83">
        <f>Store_Setting[[#This Row],[Negative
inventory
balance]]-SUM(Store_Setting[[#This Row],[Deposited]]-Store_Setting[[#This Row],[Withdrawn]])</f>
        <v>0</v>
      </c>
      <c r="H20" s="38">
        <f>SUM(UserInfo[10 - Remaining])</f>
        <v>0</v>
      </c>
      <c r="I20" s="38">
        <f>SUM(UserInfo[10 - Deposit])</f>
        <v>0</v>
      </c>
      <c r="J20" s="38">
        <f>SUM(UserInfo[10 - Withdrawal])</f>
        <v>0</v>
      </c>
      <c r="K20" s="38">
        <f>Store_Setting[[#This Row],[Inbound
subtotal]]-Store_Setting[[#This Row],[Pickup
subtotal]]</f>
        <v>0</v>
      </c>
      <c r="L20" s="38">
        <f>SUMIFS(Store_History[Quantity],Store_History[Unique identifier],Store_Setting[[#This Row],[Unique
identifier]],Store_History[Type],$D$81)</f>
        <v>0</v>
      </c>
      <c r="M20" s="38">
        <f>SUMIFS(Store_History[Quantity],Store_History[Unique identifier],Store_Setting[[#This Row],[Unique
identifier]],Store_History[Type],$E$81)</f>
        <v>0</v>
      </c>
      <c r="N20" s="13" t="s">
        <v>84</v>
      </c>
      <c r="O20" s="13" t="s">
        <v>84</v>
      </c>
      <c r="P20" s="10" t="s">
        <v>300</v>
      </c>
      <c r="Q20" s="10" t="s">
        <v>301</v>
      </c>
      <c r="R20" s="10" t="s">
        <v>302</v>
      </c>
      <c r="S20" s="10" t="s">
        <v>303</v>
      </c>
      <c r="BD20" s="3" t="s">
        <v>421</v>
      </c>
    </row>
    <row r="21" spans="2:56" ht="40" customHeight="1" x14ac:dyDescent="0.4">
      <c r="B21" s="78"/>
      <c r="C21" s="79"/>
      <c r="D21" s="82" t="str">
        <f>CONCATENATE(Store_Setting[[#This Row],[Product
serial number]], IF(Store_Setting[[#This Row],[Product name]]="","", _xlfn.CONCAT(" | ",_xlfn.SINGLE(Store_Setting[Product name]))))</f>
        <v>11</v>
      </c>
      <c r="E21" s="10">
        <v>11</v>
      </c>
      <c r="F21" s="42"/>
      <c r="G21" s="83">
        <f>Store_Setting[[#This Row],[Negative
inventory
balance]]-SUM(Store_Setting[[#This Row],[Deposited]]-Store_Setting[[#This Row],[Withdrawn]])</f>
        <v>0</v>
      </c>
      <c r="H21" s="38">
        <f>SUM(UserInfo[11 - Remaining])</f>
        <v>0</v>
      </c>
      <c r="I21" s="38">
        <f>SUM(UserInfo[11 - Deposit])</f>
        <v>0</v>
      </c>
      <c r="J21" s="38">
        <f>SUM(UserInfo[11 - Withdrawal])</f>
        <v>0</v>
      </c>
      <c r="K21" s="38">
        <f>Store_Setting[[#This Row],[Inbound
subtotal]]-Store_Setting[[#This Row],[Pickup
subtotal]]</f>
        <v>0</v>
      </c>
      <c r="L21" s="38">
        <f>SUMIFS(Store_History[Quantity],Store_History[Unique identifier],Store_Setting[[#This Row],[Unique
identifier]],Store_History[Type],$D$81)</f>
        <v>0</v>
      </c>
      <c r="M21" s="38">
        <f>SUMIFS(Store_History[Quantity],Store_History[Unique identifier],Store_Setting[[#This Row],[Unique
identifier]],Store_History[Type],$E$81)</f>
        <v>0</v>
      </c>
      <c r="N21" s="13" t="s">
        <v>84</v>
      </c>
      <c r="O21" s="13" t="s">
        <v>84</v>
      </c>
      <c r="P21" s="10" t="s">
        <v>304</v>
      </c>
      <c r="Q21" s="10" t="s">
        <v>305</v>
      </c>
      <c r="R21" s="10" t="s">
        <v>306</v>
      </c>
      <c r="S21" s="10" t="s">
        <v>281</v>
      </c>
      <c r="BD21" s="89" t="s">
        <v>474</v>
      </c>
    </row>
    <row r="22" spans="2:56" ht="40" customHeight="1" x14ac:dyDescent="0.4">
      <c r="B22" s="78"/>
      <c r="C22" s="79"/>
      <c r="D22" s="82" t="str">
        <f>CONCATENATE(Store_Setting[[#This Row],[Product
serial number]], IF(Store_Setting[[#This Row],[Product name]]="","", _xlfn.CONCAT(" | ",_xlfn.SINGLE(Store_Setting[Product name]))))</f>
        <v>12</v>
      </c>
      <c r="E22" s="10">
        <v>12</v>
      </c>
      <c r="F22" s="42"/>
      <c r="G22" s="83">
        <f>Store_Setting[[#This Row],[Negative
inventory
balance]]-SUM(Store_Setting[[#This Row],[Deposited]]-Store_Setting[[#This Row],[Withdrawn]])</f>
        <v>0</v>
      </c>
      <c r="H22" s="38">
        <f>SUM(UserInfo[12 - Remaining])</f>
        <v>0</v>
      </c>
      <c r="I22" s="38">
        <f>SUM(UserInfo[12 - Deposit])</f>
        <v>0</v>
      </c>
      <c r="J22" s="38">
        <f>SUM(UserInfo[12 - Withdrawal])</f>
        <v>0</v>
      </c>
      <c r="K22" s="38">
        <f>Store_Setting[[#This Row],[Inbound
subtotal]]-Store_Setting[[#This Row],[Pickup
subtotal]]</f>
        <v>0</v>
      </c>
      <c r="L22" s="38">
        <f>SUMIFS(Store_History[Quantity],Store_History[Unique identifier],Store_Setting[[#This Row],[Unique
identifier]],Store_History[Type],$D$81)</f>
        <v>0</v>
      </c>
      <c r="M22" s="38">
        <f>SUMIFS(Store_History[Quantity],Store_History[Unique identifier],Store_Setting[[#This Row],[Unique
identifier]],Store_History[Type],$E$81)</f>
        <v>0</v>
      </c>
      <c r="N22" s="13" t="s">
        <v>84</v>
      </c>
      <c r="O22" s="13" t="s">
        <v>84</v>
      </c>
      <c r="P22" s="10" t="s">
        <v>307</v>
      </c>
      <c r="Q22" s="10" t="s">
        <v>308</v>
      </c>
      <c r="R22" s="10" t="s">
        <v>309</v>
      </c>
      <c r="S22" s="10" t="s">
        <v>282</v>
      </c>
      <c r="BB22" s="3" t="s">
        <v>435</v>
      </c>
      <c r="BD22" s="3" t="s">
        <v>437</v>
      </c>
    </row>
    <row r="23" spans="2:56" ht="40" customHeight="1" x14ac:dyDescent="0.4">
      <c r="B23" s="78"/>
      <c r="C23" s="79"/>
      <c r="D23" s="82" t="str">
        <f>CONCATENATE(Store_Setting[[#This Row],[Product
serial number]], IF(Store_Setting[[#This Row],[Product name]]="","", _xlfn.CONCAT(" | ",_xlfn.SINGLE(Store_Setting[Product name]))))</f>
        <v>13</v>
      </c>
      <c r="E23" s="10">
        <v>13</v>
      </c>
      <c r="F23" s="42"/>
      <c r="G23" s="83">
        <f>Store_Setting[[#This Row],[Negative
inventory
balance]]-SUM(Store_Setting[[#This Row],[Deposited]]-Store_Setting[[#This Row],[Withdrawn]])</f>
        <v>0</v>
      </c>
      <c r="H23" s="38">
        <f>SUM(UserInfo[13 - Remaining])</f>
        <v>0</v>
      </c>
      <c r="I23" s="38">
        <f>SUM(UserInfo[13 - Deposit])</f>
        <v>0</v>
      </c>
      <c r="J23" s="38">
        <f>SUM(UserInfo[13 - Withdrawal])</f>
        <v>0</v>
      </c>
      <c r="K23" s="38">
        <f>Store_Setting[[#This Row],[Inbound
subtotal]]-Store_Setting[[#This Row],[Pickup
subtotal]]</f>
        <v>0</v>
      </c>
      <c r="L23" s="38">
        <f>SUMIFS(Store_History[Quantity],Store_History[Unique identifier],Store_Setting[[#This Row],[Unique
identifier]],Store_History[Type],$D$81)</f>
        <v>0</v>
      </c>
      <c r="M23" s="38">
        <f>SUMIFS(Store_History[Quantity],Store_History[Unique identifier],Store_Setting[[#This Row],[Unique
identifier]],Store_History[Type],$E$81)</f>
        <v>0</v>
      </c>
      <c r="N23" s="13" t="s">
        <v>84</v>
      </c>
      <c r="O23" s="13" t="s">
        <v>84</v>
      </c>
      <c r="P23" s="10" t="s">
        <v>310</v>
      </c>
      <c r="Q23" s="10" t="s">
        <v>311</v>
      </c>
      <c r="R23" s="10" t="s">
        <v>312</v>
      </c>
      <c r="S23" s="10" t="s">
        <v>313</v>
      </c>
      <c r="BD23" s="3" t="s">
        <v>438</v>
      </c>
    </row>
    <row r="24" spans="2:56" ht="40" customHeight="1" x14ac:dyDescent="0.4">
      <c r="B24" s="78"/>
      <c r="C24" s="79"/>
      <c r="D24" s="82" t="str">
        <f>CONCATENATE(Store_Setting[[#This Row],[Product
serial number]], IF(Store_Setting[[#This Row],[Product name]]="","", _xlfn.CONCAT(" | ",_xlfn.SINGLE(Store_Setting[Product name]))))</f>
        <v>14</v>
      </c>
      <c r="E24" s="10">
        <v>14</v>
      </c>
      <c r="F24" s="42"/>
      <c r="G24" s="83">
        <f>Store_Setting[[#This Row],[Negative
inventory
balance]]-SUM(Store_Setting[[#This Row],[Deposited]]-Store_Setting[[#This Row],[Withdrawn]])</f>
        <v>0</v>
      </c>
      <c r="H24" s="38">
        <f>SUM(UserInfo[14 - Remaining])</f>
        <v>0</v>
      </c>
      <c r="I24" s="38">
        <f>SUM(UserInfo[14 - Deposit])</f>
        <v>0</v>
      </c>
      <c r="J24" s="38">
        <f>SUM(UserInfo[14 - Withdrawal])</f>
        <v>0</v>
      </c>
      <c r="K24" s="38">
        <f>Store_Setting[[#This Row],[Inbound
subtotal]]-Store_Setting[[#This Row],[Pickup
subtotal]]</f>
        <v>0</v>
      </c>
      <c r="L24" s="38">
        <f>SUMIFS(Store_History[Quantity],Store_History[Unique identifier],Store_Setting[[#This Row],[Unique
identifier]],Store_History[Type],$D$81)</f>
        <v>0</v>
      </c>
      <c r="M24" s="38">
        <f>SUMIFS(Store_History[Quantity],Store_History[Unique identifier],Store_Setting[[#This Row],[Unique
identifier]],Store_History[Type],$E$81)</f>
        <v>0</v>
      </c>
      <c r="N24" s="13" t="s">
        <v>84</v>
      </c>
      <c r="O24" s="13" t="s">
        <v>84</v>
      </c>
      <c r="P24" s="10" t="s">
        <v>314</v>
      </c>
      <c r="Q24" s="10" t="s">
        <v>315</v>
      </c>
      <c r="R24" s="10" t="s">
        <v>316</v>
      </c>
      <c r="S24" s="10" t="s">
        <v>285</v>
      </c>
      <c r="BD24" s="3" t="s">
        <v>439</v>
      </c>
    </row>
    <row r="25" spans="2:56" ht="40" customHeight="1" x14ac:dyDescent="0.4">
      <c r="B25" s="78"/>
      <c r="C25" s="79"/>
      <c r="D25" s="82" t="str">
        <f>CONCATENATE(Store_Setting[[#This Row],[Product
serial number]], IF(Store_Setting[[#This Row],[Product name]]="","", _xlfn.CONCAT(" | ",_xlfn.SINGLE(Store_Setting[Product name]))))</f>
        <v>15</v>
      </c>
      <c r="E25" s="10">
        <v>15</v>
      </c>
      <c r="F25" s="42"/>
      <c r="G25" s="83">
        <f>Store_Setting[[#This Row],[Negative
inventory
balance]]-SUM(Store_Setting[[#This Row],[Deposited]]-Store_Setting[[#This Row],[Withdrawn]])</f>
        <v>0</v>
      </c>
      <c r="H25" s="38">
        <f>SUM(UserInfo[15 - Remaining])</f>
        <v>0</v>
      </c>
      <c r="I25" s="38">
        <f>SUM(UserInfo[15 - Deposit])</f>
        <v>0</v>
      </c>
      <c r="J25" s="38">
        <f>SUM(UserInfo[15 - Withdrawal])</f>
        <v>0</v>
      </c>
      <c r="K25" s="38">
        <f>Store_Setting[[#This Row],[Inbound
subtotal]]-Store_Setting[[#This Row],[Pickup
subtotal]]</f>
        <v>0</v>
      </c>
      <c r="L25" s="38">
        <f>SUMIFS(Store_History[Quantity],Store_History[Unique identifier],Store_Setting[[#This Row],[Unique
identifier]],Store_History[Type],$D$81)</f>
        <v>0</v>
      </c>
      <c r="M25" s="38">
        <f>SUMIFS(Store_History[Quantity],Store_History[Unique identifier],Store_Setting[[#This Row],[Unique
identifier]],Store_History[Type],$E$81)</f>
        <v>0</v>
      </c>
      <c r="N25" s="13" t="s">
        <v>84</v>
      </c>
      <c r="O25" s="13" t="s">
        <v>84</v>
      </c>
      <c r="P25" s="10" t="s">
        <v>317</v>
      </c>
      <c r="Q25" s="10" t="s">
        <v>318</v>
      </c>
      <c r="R25" s="10" t="s">
        <v>319</v>
      </c>
      <c r="S25" s="10" t="s">
        <v>286</v>
      </c>
      <c r="BB25" s="3" t="s">
        <v>436</v>
      </c>
      <c r="BD25" s="3" t="s">
        <v>440</v>
      </c>
    </row>
    <row r="26" spans="2:56" ht="40" customHeight="1" x14ac:dyDescent="0.4">
      <c r="B26" s="78"/>
      <c r="C26" s="79"/>
      <c r="D26" s="82" t="str">
        <f>CONCATENATE(Store_Setting[[#This Row],[Product
serial number]], IF(Store_Setting[[#This Row],[Product name]]="","", _xlfn.CONCAT(" | ",_xlfn.SINGLE(Store_Setting[Product name]))))</f>
        <v>16</v>
      </c>
      <c r="E26" s="10">
        <v>16</v>
      </c>
      <c r="F26" s="42"/>
      <c r="G26" s="83">
        <f>Store_Setting[[#This Row],[Negative
inventory
balance]]-SUM(Store_Setting[[#This Row],[Deposited]]-Store_Setting[[#This Row],[Withdrawn]])</f>
        <v>0</v>
      </c>
      <c r="H26" s="38">
        <f>SUM(UserInfo[16 - Remaining])</f>
        <v>0</v>
      </c>
      <c r="I26" s="38">
        <f>SUM(UserInfo[16 - Deposit])</f>
        <v>0</v>
      </c>
      <c r="J26" s="38">
        <f>SUM(UserInfo[16 - Withdrawal])</f>
        <v>0</v>
      </c>
      <c r="K26" s="38">
        <f>Store_Setting[[#This Row],[Inbound
subtotal]]-Store_Setting[[#This Row],[Pickup
subtotal]]</f>
        <v>0</v>
      </c>
      <c r="L26" s="38">
        <f>SUMIFS(Store_History[Quantity],Store_History[Unique identifier],Store_Setting[[#This Row],[Unique
identifier]],Store_History[Type],$D$81)</f>
        <v>0</v>
      </c>
      <c r="M26" s="38">
        <f>SUMIFS(Store_History[Quantity],Store_History[Unique identifier],Store_Setting[[#This Row],[Unique
identifier]],Store_History[Type],$E$81)</f>
        <v>0</v>
      </c>
      <c r="N26" s="13" t="s">
        <v>84</v>
      </c>
      <c r="O26" s="13" t="s">
        <v>84</v>
      </c>
      <c r="P26" s="10" t="s">
        <v>320</v>
      </c>
      <c r="Q26" s="10" t="s">
        <v>321</v>
      </c>
      <c r="R26" s="10" t="s">
        <v>322</v>
      </c>
      <c r="S26" s="10" t="s">
        <v>323</v>
      </c>
      <c r="BD26" s="3" t="s">
        <v>441</v>
      </c>
    </row>
    <row r="27" spans="2:56" ht="40" customHeight="1" x14ac:dyDescent="0.4">
      <c r="B27" s="78"/>
      <c r="C27" s="79"/>
      <c r="D27" s="82" t="str">
        <f>CONCATENATE(Store_Setting[[#This Row],[Product
serial number]], IF(Store_Setting[[#This Row],[Product name]]="","", _xlfn.CONCAT(" | ",_xlfn.SINGLE(Store_Setting[Product name]))))</f>
        <v>17</v>
      </c>
      <c r="E27" s="10">
        <v>17</v>
      </c>
      <c r="F27" s="42"/>
      <c r="G27" s="83">
        <f>Store_Setting[[#This Row],[Negative
inventory
balance]]-SUM(Store_Setting[[#This Row],[Deposited]]-Store_Setting[[#This Row],[Withdrawn]])</f>
        <v>0</v>
      </c>
      <c r="H27" s="38">
        <f>SUM(UserInfo[17 - Remaining])</f>
        <v>0</v>
      </c>
      <c r="I27" s="38">
        <f>SUM(UserInfo[17 - Deposit])</f>
        <v>0</v>
      </c>
      <c r="J27" s="38">
        <f>SUM(UserInfo[17 - Withdrawal])</f>
        <v>0</v>
      </c>
      <c r="K27" s="38">
        <f>Store_Setting[[#This Row],[Inbound
subtotal]]-Store_Setting[[#This Row],[Pickup
subtotal]]</f>
        <v>0</v>
      </c>
      <c r="L27" s="38">
        <f>SUMIFS(Store_History[Quantity],Store_History[Unique identifier],Store_Setting[[#This Row],[Unique
identifier]],Store_History[Type],$D$81)</f>
        <v>0</v>
      </c>
      <c r="M27" s="38">
        <f>SUMIFS(Store_History[Quantity],Store_History[Unique identifier],Store_Setting[[#This Row],[Unique
identifier]],Store_History[Type],$E$81)</f>
        <v>0</v>
      </c>
      <c r="N27" s="13" t="s">
        <v>84</v>
      </c>
      <c r="O27" s="13" t="s">
        <v>84</v>
      </c>
      <c r="P27" s="10" t="s">
        <v>324</v>
      </c>
      <c r="Q27" s="10" t="s">
        <v>325</v>
      </c>
      <c r="R27" s="10" t="s">
        <v>326</v>
      </c>
      <c r="S27" s="10" t="s">
        <v>288</v>
      </c>
      <c r="BD27" s="3" t="s">
        <v>442</v>
      </c>
    </row>
    <row r="28" spans="2:56" ht="40" customHeight="1" x14ac:dyDescent="0.4">
      <c r="B28" s="78"/>
      <c r="C28" s="79"/>
      <c r="D28" s="82" t="str">
        <f>CONCATENATE(Store_Setting[[#This Row],[Product
serial number]], IF(Store_Setting[[#This Row],[Product name]]="","", _xlfn.CONCAT(" | ",_xlfn.SINGLE(Store_Setting[Product name]))))</f>
        <v>18</v>
      </c>
      <c r="E28" s="10">
        <v>18</v>
      </c>
      <c r="F28" s="42"/>
      <c r="G28" s="83">
        <f>Store_Setting[[#This Row],[Negative
inventory
balance]]-SUM(Store_Setting[[#This Row],[Deposited]]-Store_Setting[[#This Row],[Withdrawn]])</f>
        <v>0</v>
      </c>
      <c r="H28" s="38">
        <f>SUM(UserInfo[18 - Remaining])</f>
        <v>0</v>
      </c>
      <c r="I28" s="38">
        <f>SUM(UserInfo[18 - Deposit])</f>
        <v>0</v>
      </c>
      <c r="J28" s="38">
        <f>SUM(UserInfo[18 - Withdrawal])</f>
        <v>0</v>
      </c>
      <c r="K28" s="38">
        <f>Store_Setting[[#This Row],[Inbound
subtotal]]-Store_Setting[[#This Row],[Pickup
subtotal]]</f>
        <v>0</v>
      </c>
      <c r="L28" s="38">
        <f>SUMIFS(Store_History[Quantity],Store_History[Unique identifier],Store_Setting[[#This Row],[Unique
identifier]],Store_History[Type],$D$81)</f>
        <v>0</v>
      </c>
      <c r="M28" s="38">
        <f>SUMIFS(Store_History[Quantity],Store_History[Unique identifier],Store_Setting[[#This Row],[Unique
identifier]],Store_History[Type],$E$81)</f>
        <v>0</v>
      </c>
      <c r="N28" s="13" t="s">
        <v>84</v>
      </c>
      <c r="O28" s="13" t="s">
        <v>84</v>
      </c>
      <c r="P28" s="10" t="s">
        <v>327</v>
      </c>
      <c r="Q28" s="10" t="s">
        <v>328</v>
      </c>
      <c r="R28" s="10" t="s">
        <v>329</v>
      </c>
      <c r="S28" s="10" t="s">
        <v>289</v>
      </c>
      <c r="BD28" s="3" t="s">
        <v>443</v>
      </c>
    </row>
    <row r="29" spans="2:56" ht="40" customHeight="1" x14ac:dyDescent="0.4">
      <c r="B29" s="78"/>
      <c r="C29" s="79"/>
      <c r="D29" s="82" t="str">
        <f>CONCATENATE(Store_Setting[[#This Row],[Product
serial number]], IF(Store_Setting[[#This Row],[Product name]]="","", _xlfn.CONCAT(" | ",_xlfn.SINGLE(Store_Setting[Product name]))))</f>
        <v>19</v>
      </c>
      <c r="E29" s="10">
        <v>19</v>
      </c>
      <c r="F29" s="42"/>
      <c r="G29" s="83">
        <f>Store_Setting[[#This Row],[Negative
inventory
balance]]-SUM(Store_Setting[[#This Row],[Deposited]]-Store_Setting[[#This Row],[Withdrawn]])</f>
        <v>0</v>
      </c>
      <c r="H29" s="38">
        <f>SUM(UserInfo[19 - Remaining])</f>
        <v>0</v>
      </c>
      <c r="I29" s="38">
        <f>SUM(UserInfo[19 - Deposit])</f>
        <v>0</v>
      </c>
      <c r="J29" s="38">
        <f>SUM(UserInfo[19 - Withdrawal])</f>
        <v>0</v>
      </c>
      <c r="K29" s="38">
        <f>Store_Setting[[#This Row],[Inbound
subtotal]]-Store_Setting[[#This Row],[Pickup
subtotal]]</f>
        <v>0</v>
      </c>
      <c r="L29" s="38">
        <f>SUMIFS(Store_History[Quantity],Store_History[Unique identifier],Store_Setting[[#This Row],[Unique
identifier]],Store_History[Type],$D$81)</f>
        <v>0</v>
      </c>
      <c r="M29" s="38">
        <f>SUMIFS(Store_History[Quantity],Store_History[Unique identifier],Store_Setting[[#This Row],[Unique
identifier]],Store_History[Type],$E$81)</f>
        <v>0</v>
      </c>
      <c r="N29" s="13" t="s">
        <v>84</v>
      </c>
      <c r="O29" s="13" t="s">
        <v>84</v>
      </c>
      <c r="P29" s="10" t="s">
        <v>330</v>
      </c>
      <c r="Q29" s="10" t="s">
        <v>331</v>
      </c>
      <c r="R29" s="10" t="s">
        <v>332</v>
      </c>
      <c r="S29" s="10" t="s">
        <v>333</v>
      </c>
      <c r="BD29" s="3" t="s">
        <v>444</v>
      </c>
    </row>
    <row r="30" spans="2:56" ht="40" customHeight="1" x14ac:dyDescent="0.4">
      <c r="B30" s="78"/>
      <c r="C30" s="79"/>
      <c r="D30" s="82" t="str">
        <f>CONCATENATE(Store_Setting[[#This Row],[Product
serial number]], IF(Store_Setting[[#This Row],[Product name]]="","", _xlfn.CONCAT(" | ",_xlfn.SINGLE(Store_Setting[Product name]))))</f>
        <v>20</v>
      </c>
      <c r="E30" s="10">
        <v>20</v>
      </c>
      <c r="F30" s="42"/>
      <c r="G30" s="83">
        <f>Store_Setting[[#This Row],[Negative
inventory
balance]]-SUM(Store_Setting[[#This Row],[Deposited]]-Store_Setting[[#This Row],[Withdrawn]])</f>
        <v>0</v>
      </c>
      <c r="H30" s="38">
        <f>SUM(UserInfo[20 - Remaining])</f>
        <v>0</v>
      </c>
      <c r="I30" s="38">
        <f>SUM(UserInfo[20 - Deposit])</f>
        <v>0</v>
      </c>
      <c r="J30" s="38">
        <f>SUM(UserInfo[20 - Withdrawal])</f>
        <v>0</v>
      </c>
      <c r="K30" s="38">
        <f>Store_Setting[[#This Row],[Inbound
subtotal]]-Store_Setting[[#This Row],[Pickup
subtotal]]</f>
        <v>0</v>
      </c>
      <c r="L30" s="38">
        <f>SUMIFS(Store_History[Quantity],Store_History[Unique identifier],Store_Setting[[#This Row],[Unique
identifier]],Store_History[Type],$D$81)</f>
        <v>0</v>
      </c>
      <c r="M30" s="38">
        <f>SUMIFS(Store_History[Quantity],Store_History[Unique identifier],Store_Setting[[#This Row],[Unique
identifier]],Store_History[Type],$E$81)</f>
        <v>0</v>
      </c>
      <c r="N30" s="13" t="s">
        <v>84</v>
      </c>
      <c r="O30" s="13" t="s">
        <v>84</v>
      </c>
      <c r="P30" s="10" t="s">
        <v>334</v>
      </c>
      <c r="Q30" s="10" t="s">
        <v>335</v>
      </c>
      <c r="R30" s="10" t="s">
        <v>336</v>
      </c>
      <c r="S30" s="10" t="s">
        <v>291</v>
      </c>
      <c r="BD30" s="3" t="s">
        <v>445</v>
      </c>
    </row>
    <row r="31" spans="2:56" ht="40" customHeight="1" x14ac:dyDescent="0.4">
      <c r="B31" s="78"/>
      <c r="C31" s="79"/>
      <c r="D31" s="82" t="str">
        <f>CONCATENATE(Store_Setting[[#This Row],[Product
serial number]], IF(Store_Setting[[#This Row],[Product name]]="","", _xlfn.CONCAT(" | ",_xlfn.SINGLE(Store_Setting[Product name]))))</f>
        <v>21</v>
      </c>
      <c r="E31" s="10">
        <v>21</v>
      </c>
      <c r="F31" s="42"/>
      <c r="G31" s="83">
        <f>Store_Setting[[#This Row],[Negative
inventory
balance]]-SUM(Store_Setting[[#This Row],[Deposited]]-Store_Setting[[#This Row],[Withdrawn]])</f>
        <v>0</v>
      </c>
      <c r="H31" s="38">
        <f>SUM(UserInfo[21 - Remaining])</f>
        <v>0</v>
      </c>
      <c r="I31" s="38">
        <f>SUM(UserInfo[21 - Deposit])</f>
        <v>0</v>
      </c>
      <c r="J31" s="38">
        <f>SUM(UserInfo[21 - Withdrawal])</f>
        <v>0</v>
      </c>
      <c r="K31" s="38">
        <f>Store_Setting[[#This Row],[Inbound
subtotal]]-Store_Setting[[#This Row],[Pickup
subtotal]]</f>
        <v>0</v>
      </c>
      <c r="L31" s="38">
        <f>SUMIFS(Store_History[Quantity],Store_History[Unique identifier],Store_Setting[[#This Row],[Unique
identifier]],Store_History[Type],$D$81)</f>
        <v>0</v>
      </c>
      <c r="M31" s="38">
        <f>SUMIFS(Store_History[Quantity],Store_History[Unique identifier],Store_Setting[[#This Row],[Unique
identifier]],Store_History[Type],$E$81)</f>
        <v>0</v>
      </c>
      <c r="N31" s="13" t="s">
        <v>84</v>
      </c>
      <c r="O31" s="13" t="s">
        <v>84</v>
      </c>
      <c r="P31" s="10" t="s">
        <v>337</v>
      </c>
      <c r="Q31" s="10" t="s">
        <v>338</v>
      </c>
      <c r="R31" s="10" t="s">
        <v>339</v>
      </c>
      <c r="S31" s="10" t="s">
        <v>292</v>
      </c>
      <c r="BD31" s="3" t="s">
        <v>446</v>
      </c>
    </row>
    <row r="32" spans="2:56" ht="40" customHeight="1" x14ac:dyDescent="0.4">
      <c r="B32" s="78"/>
      <c r="C32" s="79"/>
      <c r="D32" s="82" t="str">
        <f>CONCATENATE(Store_Setting[[#This Row],[Product
serial number]], IF(Store_Setting[[#This Row],[Product name]]="","", _xlfn.CONCAT(" | ",_xlfn.SINGLE(Store_Setting[Product name]))))</f>
        <v>22</v>
      </c>
      <c r="E32" s="10">
        <v>22</v>
      </c>
      <c r="F32" s="42"/>
      <c r="G32" s="83">
        <f>Store_Setting[[#This Row],[Negative
inventory
balance]]-SUM(Store_Setting[[#This Row],[Deposited]]-Store_Setting[[#This Row],[Withdrawn]])</f>
        <v>0</v>
      </c>
      <c r="H32" s="38">
        <f>SUM(UserInfo[22 - Remaining])</f>
        <v>0</v>
      </c>
      <c r="I32" s="38">
        <f>SUM(UserInfo[22 - Deposit])</f>
        <v>0</v>
      </c>
      <c r="J32" s="38">
        <f>SUM(UserInfo[22 - Withdrawal])</f>
        <v>0</v>
      </c>
      <c r="K32" s="38">
        <f>Store_Setting[[#This Row],[Inbound
subtotal]]-Store_Setting[[#This Row],[Pickup
subtotal]]</f>
        <v>0</v>
      </c>
      <c r="L32" s="38">
        <f>SUMIFS(Store_History[Quantity],Store_History[Unique identifier],Store_Setting[[#This Row],[Unique
identifier]],Store_History[Type],$D$81)</f>
        <v>0</v>
      </c>
      <c r="M32" s="38">
        <f>SUMIFS(Store_History[Quantity],Store_History[Unique identifier],Store_Setting[[#This Row],[Unique
identifier]],Store_History[Type],$E$81)</f>
        <v>0</v>
      </c>
      <c r="N32" s="13" t="s">
        <v>84</v>
      </c>
      <c r="O32" s="13" t="s">
        <v>84</v>
      </c>
      <c r="P32" s="10" t="s">
        <v>340</v>
      </c>
      <c r="Q32" s="10" t="s">
        <v>341</v>
      </c>
      <c r="R32" s="10" t="s">
        <v>342</v>
      </c>
      <c r="S32" s="10" t="s">
        <v>343</v>
      </c>
      <c r="BD32" s="3" t="s">
        <v>447</v>
      </c>
    </row>
    <row r="33" spans="2:56" ht="40" customHeight="1" x14ac:dyDescent="0.4">
      <c r="B33" s="78"/>
      <c r="C33" s="79"/>
      <c r="D33" s="82" t="str">
        <f>CONCATENATE(Store_Setting[[#This Row],[Product
serial number]], IF(Store_Setting[[#This Row],[Product name]]="","", _xlfn.CONCAT(" | ",_xlfn.SINGLE(Store_Setting[Product name]))))</f>
        <v>23</v>
      </c>
      <c r="E33" s="10">
        <v>23</v>
      </c>
      <c r="F33" s="42"/>
      <c r="G33" s="83">
        <f>Store_Setting[[#This Row],[Negative
inventory
balance]]-SUM(Store_Setting[[#This Row],[Deposited]]-Store_Setting[[#This Row],[Withdrawn]])</f>
        <v>0</v>
      </c>
      <c r="H33" s="38">
        <f>SUM(UserInfo[23 - Remaining])</f>
        <v>0</v>
      </c>
      <c r="I33" s="38">
        <f>SUM(UserInfo[23 - Deposit])</f>
        <v>0</v>
      </c>
      <c r="J33" s="38">
        <f>SUM(UserInfo[23 - Withdrawal])</f>
        <v>0</v>
      </c>
      <c r="K33" s="38">
        <f>Store_Setting[[#This Row],[Inbound
subtotal]]-Store_Setting[[#This Row],[Pickup
subtotal]]</f>
        <v>0</v>
      </c>
      <c r="L33" s="38">
        <f>SUMIFS(Store_History[Quantity],Store_History[Unique identifier],Store_Setting[[#This Row],[Unique
identifier]],Store_History[Type],$D$81)</f>
        <v>0</v>
      </c>
      <c r="M33" s="38">
        <f>SUMIFS(Store_History[Quantity],Store_History[Unique identifier],Store_Setting[[#This Row],[Unique
identifier]],Store_History[Type],$E$81)</f>
        <v>0</v>
      </c>
      <c r="N33" s="13" t="s">
        <v>84</v>
      </c>
      <c r="O33" s="13" t="s">
        <v>84</v>
      </c>
      <c r="P33" s="10" t="s">
        <v>344</v>
      </c>
      <c r="Q33" s="10" t="s">
        <v>345</v>
      </c>
      <c r="R33" s="10" t="s">
        <v>346</v>
      </c>
      <c r="S33" s="10" t="s">
        <v>295</v>
      </c>
      <c r="BD33" s="3" t="s">
        <v>448</v>
      </c>
    </row>
    <row r="34" spans="2:56" ht="40" customHeight="1" x14ac:dyDescent="0.4">
      <c r="B34" s="78"/>
      <c r="C34" s="79"/>
      <c r="D34" s="82" t="str">
        <f>CONCATENATE(Store_Setting[[#This Row],[Product
serial number]], IF(Store_Setting[[#This Row],[Product name]]="","", _xlfn.CONCAT(" | ",_xlfn.SINGLE(Store_Setting[Product name]))))</f>
        <v>24</v>
      </c>
      <c r="E34" s="10">
        <v>24</v>
      </c>
      <c r="F34" s="42"/>
      <c r="G34" s="83">
        <f>Store_Setting[[#This Row],[Negative
inventory
balance]]-SUM(Store_Setting[[#This Row],[Deposited]]-Store_Setting[[#This Row],[Withdrawn]])</f>
        <v>0</v>
      </c>
      <c r="H34" s="38">
        <f>SUM(UserInfo[24 - Remaining])</f>
        <v>0</v>
      </c>
      <c r="I34" s="38">
        <f>SUM(UserInfo[24 - Deposit])</f>
        <v>0</v>
      </c>
      <c r="J34" s="38">
        <f>SUM(UserInfo[24 - Withdrawal])</f>
        <v>0</v>
      </c>
      <c r="K34" s="38">
        <f>Store_Setting[[#This Row],[Inbound
subtotal]]-Store_Setting[[#This Row],[Pickup
subtotal]]</f>
        <v>0</v>
      </c>
      <c r="L34" s="38">
        <f>SUMIFS(Store_History[Quantity],Store_History[Unique identifier],Store_Setting[[#This Row],[Unique
identifier]],Store_History[Type],$D$81)</f>
        <v>0</v>
      </c>
      <c r="M34" s="38">
        <f>SUMIFS(Store_History[Quantity],Store_History[Unique identifier],Store_Setting[[#This Row],[Unique
identifier]],Store_History[Type],$E$81)</f>
        <v>0</v>
      </c>
      <c r="N34" s="13" t="s">
        <v>84</v>
      </c>
      <c r="O34" s="13" t="s">
        <v>84</v>
      </c>
      <c r="P34" s="10" t="s">
        <v>347</v>
      </c>
      <c r="Q34" s="10" t="s">
        <v>348</v>
      </c>
      <c r="R34" s="10" t="s">
        <v>349</v>
      </c>
      <c r="S34" s="10" t="s">
        <v>296</v>
      </c>
      <c r="BD34" s="3" t="s">
        <v>449</v>
      </c>
    </row>
    <row r="35" spans="2:56" ht="40" customHeight="1" x14ac:dyDescent="0.4">
      <c r="B35" s="78"/>
      <c r="C35" s="79"/>
      <c r="D35" s="82" t="str">
        <f>CONCATENATE(Store_Setting[[#This Row],[Product
serial number]], IF(Store_Setting[[#This Row],[Product name]]="","", _xlfn.CONCAT(" | ",_xlfn.SINGLE(Store_Setting[Product name]))))</f>
        <v>25</v>
      </c>
      <c r="E35" s="10">
        <v>25</v>
      </c>
      <c r="F35" s="42"/>
      <c r="G35" s="83">
        <f>Store_Setting[[#This Row],[Negative
inventory
balance]]-SUM(Store_Setting[[#This Row],[Deposited]]-Store_Setting[[#This Row],[Withdrawn]])</f>
        <v>0</v>
      </c>
      <c r="H35" s="38">
        <f>SUM(UserInfo[25 - Remaining])</f>
        <v>0</v>
      </c>
      <c r="I35" s="38">
        <f>SUM(UserInfo[25 - Deposit])</f>
        <v>0</v>
      </c>
      <c r="J35" s="38">
        <f>SUM(UserInfo[25 - Withdrawal])</f>
        <v>0</v>
      </c>
      <c r="K35" s="38">
        <f>Store_Setting[[#This Row],[Inbound
subtotal]]-Store_Setting[[#This Row],[Pickup
subtotal]]</f>
        <v>0</v>
      </c>
      <c r="L35" s="38">
        <f>SUMIFS(Store_History[Quantity],Store_History[Unique identifier],Store_Setting[[#This Row],[Unique
identifier]],Store_History[Type],$D$81)</f>
        <v>0</v>
      </c>
      <c r="M35" s="38">
        <f>SUMIFS(Store_History[Quantity],Store_History[Unique identifier],Store_Setting[[#This Row],[Unique
identifier]],Store_History[Type],$E$81)</f>
        <v>0</v>
      </c>
      <c r="N35" s="13" t="s">
        <v>84</v>
      </c>
      <c r="O35" s="13" t="s">
        <v>84</v>
      </c>
      <c r="P35" s="10" t="s">
        <v>350</v>
      </c>
      <c r="Q35" s="10" t="s">
        <v>351</v>
      </c>
      <c r="R35" s="10" t="s">
        <v>352</v>
      </c>
      <c r="S35" s="10" t="s">
        <v>353</v>
      </c>
      <c r="BB35" s="3" t="s">
        <v>195</v>
      </c>
      <c r="BD35" s="3" t="s">
        <v>450</v>
      </c>
    </row>
    <row r="36" spans="2:56" ht="40" customHeight="1" x14ac:dyDescent="0.4">
      <c r="B36" s="78"/>
      <c r="C36" s="79"/>
      <c r="D36" s="82" t="str">
        <f>CONCATENATE(Store_Setting[[#This Row],[Product
serial number]], IF(Store_Setting[[#This Row],[Product name]]="","", _xlfn.CONCAT(" | ",_xlfn.SINGLE(Store_Setting[Product name]))))</f>
        <v>26</v>
      </c>
      <c r="E36" s="10">
        <v>26</v>
      </c>
      <c r="F36" s="42"/>
      <c r="G36" s="83">
        <f>Store_Setting[[#This Row],[Negative
inventory
balance]]-SUM(Store_Setting[[#This Row],[Deposited]]-Store_Setting[[#This Row],[Withdrawn]])</f>
        <v>0</v>
      </c>
      <c r="H36" s="38">
        <f>SUM(UserInfo[26 - Remaining])</f>
        <v>0</v>
      </c>
      <c r="I36" s="38">
        <f>SUM(UserInfo[26 - Deposit])</f>
        <v>0</v>
      </c>
      <c r="J36" s="38">
        <f>SUM(UserInfo[26 - Withdrawal])</f>
        <v>0</v>
      </c>
      <c r="K36" s="38">
        <f>Store_Setting[[#This Row],[Inbound
subtotal]]-Store_Setting[[#This Row],[Pickup
subtotal]]</f>
        <v>0</v>
      </c>
      <c r="L36" s="38">
        <f>SUMIFS(Store_History[Quantity],Store_History[Unique identifier],Store_Setting[[#This Row],[Unique
identifier]],Store_History[Type],$D$81)</f>
        <v>0</v>
      </c>
      <c r="M36" s="38">
        <f>SUMIFS(Store_History[Quantity],Store_History[Unique identifier],Store_Setting[[#This Row],[Unique
identifier]],Store_History[Type],$E$81)</f>
        <v>0</v>
      </c>
      <c r="N36" s="13" t="s">
        <v>84</v>
      </c>
      <c r="O36" s="13" t="s">
        <v>84</v>
      </c>
      <c r="P36" s="10" t="s">
        <v>354</v>
      </c>
      <c r="Q36" s="10" t="s">
        <v>355</v>
      </c>
      <c r="R36" s="10" t="s">
        <v>356</v>
      </c>
      <c r="S36" s="10" t="s">
        <v>298</v>
      </c>
      <c r="BD36" s="3" t="s">
        <v>451</v>
      </c>
    </row>
    <row r="37" spans="2:56" ht="40" customHeight="1" x14ac:dyDescent="0.4">
      <c r="B37" s="78"/>
      <c r="C37" s="79"/>
      <c r="D37" s="82" t="str">
        <f>CONCATENATE(Store_Setting[[#This Row],[Product
serial number]], IF(Store_Setting[[#This Row],[Product name]]="","", _xlfn.CONCAT(" | ",_xlfn.SINGLE(Store_Setting[Product name]))))</f>
        <v>27</v>
      </c>
      <c r="E37" s="10">
        <v>27</v>
      </c>
      <c r="F37" s="42"/>
      <c r="G37" s="83">
        <f>Store_Setting[[#This Row],[Negative
inventory
balance]]-SUM(Store_Setting[[#This Row],[Deposited]]-Store_Setting[[#This Row],[Withdrawn]])</f>
        <v>0</v>
      </c>
      <c r="H37" s="38">
        <f>SUM(UserInfo[27 - Remaining])</f>
        <v>0</v>
      </c>
      <c r="I37" s="38">
        <f>SUM(UserInfo[27 - Deposit])</f>
        <v>0</v>
      </c>
      <c r="J37" s="38">
        <f>SUM(UserInfo[27 - Withdrawal])</f>
        <v>0</v>
      </c>
      <c r="K37" s="38">
        <f>Store_Setting[[#This Row],[Inbound
subtotal]]-Store_Setting[[#This Row],[Pickup
subtotal]]</f>
        <v>0</v>
      </c>
      <c r="L37" s="38">
        <f>SUMIFS(Store_History[Quantity],Store_History[Unique identifier],Store_Setting[[#This Row],[Unique
identifier]],Store_History[Type],$D$81)</f>
        <v>0</v>
      </c>
      <c r="M37" s="38">
        <f>SUMIFS(Store_History[Quantity],Store_History[Unique identifier],Store_Setting[[#This Row],[Unique
identifier]],Store_History[Type],$E$81)</f>
        <v>0</v>
      </c>
      <c r="N37" s="13" t="s">
        <v>84</v>
      </c>
      <c r="O37" s="13" t="s">
        <v>84</v>
      </c>
      <c r="P37" s="10" t="s">
        <v>357</v>
      </c>
      <c r="Q37" s="10" t="s">
        <v>358</v>
      </c>
      <c r="R37" s="10" t="s">
        <v>359</v>
      </c>
      <c r="S37" s="10" t="s">
        <v>299</v>
      </c>
      <c r="BD37" s="3" t="s">
        <v>473</v>
      </c>
    </row>
    <row r="38" spans="2:56" ht="40" customHeight="1" x14ac:dyDescent="0.4">
      <c r="B38" s="78"/>
      <c r="C38" s="79"/>
      <c r="D38" s="82" t="str">
        <f>CONCATENATE(Store_Setting[[#This Row],[Product
serial number]], IF(Store_Setting[[#This Row],[Product name]]="","", _xlfn.CONCAT(" | ",_xlfn.SINGLE(Store_Setting[Product name]))))</f>
        <v>28</v>
      </c>
      <c r="E38" s="10">
        <v>28</v>
      </c>
      <c r="F38" s="42"/>
      <c r="G38" s="83">
        <f>Store_Setting[[#This Row],[Negative
inventory
balance]]-SUM(Store_Setting[[#This Row],[Deposited]]-Store_Setting[[#This Row],[Withdrawn]])</f>
        <v>0</v>
      </c>
      <c r="H38" s="38">
        <f>SUM(UserInfo[28 - Remaining])</f>
        <v>0</v>
      </c>
      <c r="I38" s="38">
        <f>SUM(UserInfo[28 - Deposit])</f>
        <v>0</v>
      </c>
      <c r="J38" s="38">
        <f>SUM(UserInfo[28 - Withdrawal])</f>
        <v>0</v>
      </c>
      <c r="K38" s="38">
        <f>Store_Setting[[#This Row],[Inbound
subtotal]]-Store_Setting[[#This Row],[Pickup
subtotal]]</f>
        <v>0</v>
      </c>
      <c r="L38" s="38">
        <f>SUMIFS(Store_History[Quantity],Store_History[Unique identifier],Store_Setting[[#This Row],[Unique
identifier]],Store_History[Type],$D$81)</f>
        <v>0</v>
      </c>
      <c r="M38" s="38">
        <f>SUMIFS(Store_History[Quantity],Store_History[Unique identifier],Store_Setting[[#This Row],[Unique
identifier]],Store_History[Type],$E$81)</f>
        <v>0</v>
      </c>
      <c r="N38" s="13" t="s">
        <v>84</v>
      </c>
      <c r="O38" s="13" t="s">
        <v>84</v>
      </c>
      <c r="P38" s="10" t="s">
        <v>360</v>
      </c>
      <c r="Q38" s="10" t="s">
        <v>361</v>
      </c>
      <c r="R38" s="10" t="s">
        <v>362</v>
      </c>
      <c r="S38" s="10" t="s">
        <v>363</v>
      </c>
      <c r="BD38" s="3" t="s">
        <v>471</v>
      </c>
    </row>
    <row r="39" spans="2:56" ht="40" customHeight="1" x14ac:dyDescent="0.4">
      <c r="B39" s="78"/>
      <c r="C39" s="79"/>
      <c r="D39" s="82" t="str">
        <f>CONCATENATE(Store_Setting[[#This Row],[Product
serial number]], IF(Store_Setting[[#This Row],[Product name]]="","", _xlfn.CONCAT(" | ",_xlfn.SINGLE(Store_Setting[Product name]))))</f>
        <v>29</v>
      </c>
      <c r="E39" s="10">
        <v>29</v>
      </c>
      <c r="F39" s="42"/>
      <c r="G39" s="83">
        <f>Store_Setting[[#This Row],[Negative
inventory
balance]]-SUM(Store_Setting[[#This Row],[Deposited]]-Store_Setting[[#This Row],[Withdrawn]])</f>
        <v>0</v>
      </c>
      <c r="H39" s="38">
        <f>SUM(UserInfo[29 - Remaining])</f>
        <v>0</v>
      </c>
      <c r="I39" s="38">
        <f>SUM(UserInfo[29 - Deposit])</f>
        <v>0</v>
      </c>
      <c r="J39" s="38">
        <f>SUM(UserInfo[29 - Withdrawal])</f>
        <v>0</v>
      </c>
      <c r="K39" s="38">
        <f>Store_Setting[[#This Row],[Inbound
subtotal]]-Store_Setting[[#This Row],[Pickup
subtotal]]</f>
        <v>0</v>
      </c>
      <c r="L39" s="38">
        <f>SUMIFS(Store_History[Quantity],Store_History[Unique identifier],Store_Setting[[#This Row],[Unique
identifier]],Store_History[Type],$D$81)</f>
        <v>0</v>
      </c>
      <c r="M39" s="38">
        <f>SUMIFS(Store_History[Quantity],Store_History[Unique identifier],Store_Setting[[#This Row],[Unique
identifier]],Store_History[Type],$E$81)</f>
        <v>0</v>
      </c>
      <c r="N39" s="13" t="s">
        <v>84</v>
      </c>
      <c r="O39" s="13" t="s">
        <v>84</v>
      </c>
      <c r="P39" s="10" t="s">
        <v>364</v>
      </c>
      <c r="Q39" s="10" t="s">
        <v>365</v>
      </c>
      <c r="R39" s="10" t="s">
        <v>366</v>
      </c>
      <c r="S39" s="10" t="s">
        <v>301</v>
      </c>
      <c r="BD39" s="3" t="s">
        <v>472</v>
      </c>
    </row>
    <row r="40" spans="2:56" ht="40" customHeight="1" x14ac:dyDescent="0.4">
      <c r="B40" s="78"/>
      <c r="C40" s="79"/>
      <c r="D40" s="82" t="str">
        <f>CONCATENATE(Store_Setting[[#This Row],[Product
serial number]], IF(Store_Setting[[#This Row],[Product name]]="","", _xlfn.CONCAT(" | ",_xlfn.SINGLE(Store_Setting[Product name]))))</f>
        <v>30</v>
      </c>
      <c r="E40" s="10">
        <v>30</v>
      </c>
      <c r="F40" s="42"/>
      <c r="G40" s="83">
        <f>Store_Setting[[#This Row],[Negative
inventory
balance]]-SUM(Store_Setting[[#This Row],[Deposited]]-Store_Setting[[#This Row],[Withdrawn]])</f>
        <v>0</v>
      </c>
      <c r="H40" s="38">
        <f>SUM(UserInfo[30 - Remaining])</f>
        <v>0</v>
      </c>
      <c r="I40" s="38">
        <f>SUM(UserInfo[30 - Deposit])</f>
        <v>0</v>
      </c>
      <c r="J40" s="38">
        <f>SUM(UserInfo[30 - Withdrawal])</f>
        <v>0</v>
      </c>
      <c r="K40" s="38">
        <f>Store_Setting[[#This Row],[Inbound
subtotal]]-Store_Setting[[#This Row],[Pickup
subtotal]]</f>
        <v>0</v>
      </c>
      <c r="L40" s="38">
        <f>SUMIFS(Store_History[Quantity],Store_History[Unique identifier],Store_Setting[[#This Row],[Unique
identifier]],Store_History[Type],$D$81)</f>
        <v>0</v>
      </c>
      <c r="M40" s="38">
        <f>SUMIFS(Store_History[Quantity],Store_History[Unique identifier],Store_Setting[[#This Row],[Unique
identifier]],Store_History[Type],$E$81)</f>
        <v>0</v>
      </c>
      <c r="N40" s="13" t="s">
        <v>84</v>
      </c>
      <c r="O40" s="13" t="s">
        <v>84</v>
      </c>
      <c r="P40" s="10" t="s">
        <v>367</v>
      </c>
      <c r="Q40" s="10" t="s">
        <v>368</v>
      </c>
      <c r="R40" s="10" t="s">
        <v>369</v>
      </c>
      <c r="S40" s="10" t="s">
        <v>302</v>
      </c>
    </row>
    <row r="41" spans="2:56" ht="40" customHeight="1" x14ac:dyDescent="0.4">
      <c r="B41" s="78"/>
      <c r="C41" s="79"/>
      <c r="D41" s="82" t="str">
        <f>CONCATENATE(Store_Setting[[#This Row],[Product
serial number]], IF(Store_Setting[[#This Row],[Product name]]="","", _xlfn.CONCAT(" | ",_xlfn.SINGLE(Store_Setting[Product name]))))</f>
        <v>31</v>
      </c>
      <c r="E41" s="10">
        <v>31</v>
      </c>
      <c r="F41" s="42"/>
      <c r="G41" s="83">
        <f>Store_Setting[[#This Row],[Negative
inventory
balance]]-SUM(Store_Setting[[#This Row],[Deposited]]-Store_Setting[[#This Row],[Withdrawn]])</f>
        <v>0</v>
      </c>
      <c r="H41" s="38">
        <f>SUM(UserInfo[31 - Remaining])</f>
        <v>0</v>
      </c>
      <c r="I41" s="38">
        <f>SUM(UserInfo[31 - Deposit])</f>
        <v>0</v>
      </c>
      <c r="J41" s="38">
        <f>SUM(UserInfo[31 - Withdrawal])</f>
        <v>0</v>
      </c>
      <c r="K41" s="38">
        <f>Store_Setting[[#This Row],[Inbound
subtotal]]-Store_Setting[[#This Row],[Pickup
subtotal]]</f>
        <v>0</v>
      </c>
      <c r="L41" s="38">
        <f>SUMIFS(Store_History[Quantity],Store_History[Unique identifier],Store_Setting[[#This Row],[Unique
identifier]],Store_History[Type],$D$81)</f>
        <v>0</v>
      </c>
      <c r="M41" s="38">
        <f>SUMIFS(Store_History[Quantity],Store_History[Unique identifier],Store_Setting[[#This Row],[Unique
identifier]],Store_History[Type],$E$81)</f>
        <v>0</v>
      </c>
      <c r="N41" s="13" t="s">
        <v>84</v>
      </c>
      <c r="O41" s="13" t="s">
        <v>84</v>
      </c>
      <c r="P41" s="10" t="s">
        <v>370</v>
      </c>
      <c r="Q41" s="10" t="s">
        <v>371</v>
      </c>
      <c r="R41" s="10" t="s">
        <v>372</v>
      </c>
      <c r="S41" s="10" t="s">
        <v>373</v>
      </c>
    </row>
    <row r="42" spans="2:56" ht="40" customHeight="1" x14ac:dyDescent="0.4">
      <c r="B42" s="78"/>
      <c r="C42" s="79"/>
      <c r="D42" s="82" t="str">
        <f>CONCATENATE(Store_Setting[[#This Row],[Product
serial number]], IF(Store_Setting[[#This Row],[Product name]]="","", _xlfn.CONCAT(" | ",_xlfn.SINGLE(Store_Setting[Product name]))))</f>
        <v>32</v>
      </c>
      <c r="E42" s="10">
        <v>32</v>
      </c>
      <c r="F42" s="42"/>
      <c r="G42" s="83">
        <f>Store_Setting[[#This Row],[Negative
inventory
balance]]-SUM(Store_Setting[[#This Row],[Deposited]]-Store_Setting[[#This Row],[Withdrawn]])</f>
        <v>0</v>
      </c>
      <c r="H42" s="38">
        <f>SUM(UserInfo[32 - Remaining])</f>
        <v>0</v>
      </c>
      <c r="I42" s="38">
        <f>SUM(UserInfo[32 - Deposit])</f>
        <v>0</v>
      </c>
      <c r="J42" s="38">
        <f>SUM(UserInfo[32 - Withdrawal])</f>
        <v>0</v>
      </c>
      <c r="K42" s="38">
        <f>Store_Setting[[#This Row],[Inbound
subtotal]]-Store_Setting[[#This Row],[Pickup
subtotal]]</f>
        <v>0</v>
      </c>
      <c r="L42" s="38">
        <f>SUMIFS(Store_History[Quantity],Store_History[Unique identifier],Store_Setting[[#This Row],[Unique
identifier]],Store_History[Type],$D$81)</f>
        <v>0</v>
      </c>
      <c r="M42" s="38">
        <f>SUMIFS(Store_History[Quantity],Store_History[Unique identifier],Store_Setting[[#This Row],[Unique
identifier]],Store_History[Type],$E$81)</f>
        <v>0</v>
      </c>
      <c r="N42" s="13" t="s">
        <v>84</v>
      </c>
      <c r="O42" s="13" t="s">
        <v>84</v>
      </c>
      <c r="P42" s="10" t="s">
        <v>374</v>
      </c>
      <c r="Q42" s="10" t="s">
        <v>375</v>
      </c>
      <c r="R42" s="10" t="s">
        <v>376</v>
      </c>
      <c r="S42" s="10" t="s">
        <v>305</v>
      </c>
    </row>
    <row r="43" spans="2:56" ht="40" customHeight="1" x14ac:dyDescent="0.4">
      <c r="B43" s="78"/>
      <c r="C43" s="79"/>
      <c r="D43" s="82" t="str">
        <f>CONCATENATE(Store_Setting[[#This Row],[Product
serial number]], IF(Store_Setting[[#This Row],[Product name]]="","", _xlfn.CONCAT(" | ",_xlfn.SINGLE(Store_Setting[Product name]))))</f>
        <v>33</v>
      </c>
      <c r="E43" s="10">
        <v>33</v>
      </c>
      <c r="F43" s="42"/>
      <c r="G43" s="83">
        <f>Store_Setting[[#This Row],[Negative
inventory
balance]]-SUM(Store_Setting[[#This Row],[Deposited]]-Store_Setting[[#This Row],[Withdrawn]])</f>
        <v>0</v>
      </c>
      <c r="H43" s="38">
        <f>SUM(UserInfo[33 - Remaining])</f>
        <v>0</v>
      </c>
      <c r="I43" s="38">
        <f>SUM(UserInfo[33 - Deposit])</f>
        <v>0</v>
      </c>
      <c r="J43" s="38">
        <f>SUM(UserInfo[33 - Withdrawal])</f>
        <v>0</v>
      </c>
      <c r="K43" s="38">
        <f>Store_Setting[[#This Row],[Inbound
subtotal]]-Store_Setting[[#This Row],[Pickup
subtotal]]</f>
        <v>0</v>
      </c>
      <c r="L43" s="38">
        <f>SUMIFS(Store_History[Quantity],Store_History[Unique identifier],Store_Setting[[#This Row],[Unique
identifier]],Store_History[Type],$D$81)</f>
        <v>0</v>
      </c>
      <c r="M43" s="38">
        <f>SUMIFS(Store_History[Quantity],Store_History[Unique identifier],Store_Setting[[#This Row],[Unique
identifier]],Store_History[Type],$E$81)</f>
        <v>0</v>
      </c>
      <c r="N43" s="13" t="s">
        <v>84</v>
      </c>
      <c r="O43" s="13" t="s">
        <v>84</v>
      </c>
      <c r="P43" s="10" t="s">
        <v>377</v>
      </c>
      <c r="Q43" s="10" t="s">
        <v>378</v>
      </c>
      <c r="R43" s="10" t="s">
        <v>379</v>
      </c>
      <c r="S43" s="10" t="s">
        <v>306</v>
      </c>
    </row>
    <row r="44" spans="2:56" ht="40" customHeight="1" x14ac:dyDescent="0.4">
      <c r="B44" s="78"/>
      <c r="C44" s="79"/>
      <c r="D44" s="82" t="str">
        <f>CONCATENATE(Store_Setting[[#This Row],[Product
serial number]], IF(Store_Setting[[#This Row],[Product name]]="","", _xlfn.CONCAT(" | ",_xlfn.SINGLE(Store_Setting[Product name]))))</f>
        <v>34</v>
      </c>
      <c r="E44" s="10">
        <v>34</v>
      </c>
      <c r="F44" s="42"/>
      <c r="G44" s="83">
        <f>Store_Setting[[#This Row],[Negative
inventory
balance]]-SUM(Store_Setting[[#This Row],[Deposited]]-Store_Setting[[#This Row],[Withdrawn]])</f>
        <v>0</v>
      </c>
      <c r="H44" s="38">
        <f>SUM(UserInfo[34 - Remaining])</f>
        <v>0</v>
      </c>
      <c r="I44" s="38">
        <f>SUM(UserInfo[34 - Deposit])</f>
        <v>0</v>
      </c>
      <c r="J44" s="38">
        <f>SUM(UserInfo[34 - Withdrawal])</f>
        <v>0</v>
      </c>
      <c r="K44" s="38">
        <f>Store_Setting[[#This Row],[Inbound
subtotal]]-Store_Setting[[#This Row],[Pickup
subtotal]]</f>
        <v>0</v>
      </c>
      <c r="L44" s="38">
        <f>SUMIFS(Store_History[Quantity],Store_History[Unique identifier],Store_Setting[[#This Row],[Unique
identifier]],Store_History[Type],$D$81)</f>
        <v>0</v>
      </c>
      <c r="M44" s="38">
        <f>SUMIFS(Store_History[Quantity],Store_History[Unique identifier],Store_Setting[[#This Row],[Unique
identifier]],Store_History[Type],$E$81)</f>
        <v>0</v>
      </c>
      <c r="N44" s="13" t="s">
        <v>84</v>
      </c>
      <c r="O44" s="13" t="s">
        <v>84</v>
      </c>
      <c r="P44" s="10" t="s">
        <v>380</v>
      </c>
      <c r="Q44" s="10" t="s">
        <v>381</v>
      </c>
      <c r="R44" s="10" t="s">
        <v>382</v>
      </c>
      <c r="S44" s="10" t="s">
        <v>383</v>
      </c>
    </row>
    <row r="45" spans="2:56" ht="40" customHeight="1" x14ac:dyDescent="0.4">
      <c r="B45" s="78"/>
      <c r="C45" s="79"/>
      <c r="D45" s="82" t="str">
        <f>CONCATENATE(Store_Setting[[#This Row],[Product
serial number]], IF(Store_Setting[[#This Row],[Product name]]="","", _xlfn.CONCAT(" | ",_xlfn.SINGLE(Store_Setting[Product name]))))</f>
        <v>35</v>
      </c>
      <c r="E45" s="10">
        <v>35</v>
      </c>
      <c r="F45" s="42"/>
      <c r="G45" s="83">
        <f>Store_Setting[[#This Row],[Negative
inventory
balance]]-SUM(Store_Setting[[#This Row],[Deposited]]-Store_Setting[[#This Row],[Withdrawn]])</f>
        <v>0</v>
      </c>
      <c r="H45" s="38">
        <f>SUM(UserInfo[35 - Remaining])</f>
        <v>0</v>
      </c>
      <c r="I45" s="38">
        <f>SUM(UserInfo[35 - Deposit])</f>
        <v>0</v>
      </c>
      <c r="J45" s="38">
        <f>SUM(UserInfo[35 - Withdrawal])</f>
        <v>0</v>
      </c>
      <c r="K45" s="38">
        <f>Store_Setting[[#This Row],[Inbound
subtotal]]-Store_Setting[[#This Row],[Pickup
subtotal]]</f>
        <v>0</v>
      </c>
      <c r="L45" s="38">
        <f>SUMIFS(Store_History[Quantity],Store_History[Unique identifier],Store_Setting[[#This Row],[Unique
identifier]],Store_History[Type],$D$81)</f>
        <v>0</v>
      </c>
      <c r="M45" s="38">
        <f>SUMIFS(Store_History[Quantity],Store_History[Unique identifier],Store_Setting[[#This Row],[Unique
identifier]],Store_History[Type],$E$81)</f>
        <v>0</v>
      </c>
      <c r="N45" s="13" t="s">
        <v>84</v>
      </c>
      <c r="O45" s="13" t="s">
        <v>84</v>
      </c>
      <c r="P45" s="10" t="s">
        <v>384</v>
      </c>
      <c r="Q45" s="10" t="s">
        <v>385</v>
      </c>
      <c r="R45" s="10" t="s">
        <v>386</v>
      </c>
      <c r="S45" s="10" t="s">
        <v>308</v>
      </c>
    </row>
    <row r="46" spans="2:56" ht="40" customHeight="1" x14ac:dyDescent="0.4">
      <c r="B46" s="78"/>
      <c r="C46" s="79"/>
      <c r="D46" s="82" t="str">
        <f>CONCATENATE(Store_Setting[[#This Row],[Product
serial number]], IF(Store_Setting[[#This Row],[Product name]]="","", _xlfn.CONCAT(" | ",_xlfn.SINGLE(Store_Setting[Product name]))))</f>
        <v>36</v>
      </c>
      <c r="E46" s="10">
        <v>36</v>
      </c>
      <c r="F46" s="42"/>
      <c r="G46" s="83">
        <f>Store_Setting[[#This Row],[Negative
inventory
balance]]-SUM(Store_Setting[[#This Row],[Deposited]]-Store_Setting[[#This Row],[Withdrawn]])</f>
        <v>0</v>
      </c>
      <c r="H46" s="38">
        <f>SUM(UserInfo[36 - Remaining])</f>
        <v>0</v>
      </c>
      <c r="I46" s="38">
        <f>SUM(UserInfo[36 - Deposit])</f>
        <v>0</v>
      </c>
      <c r="J46" s="38">
        <f>SUM(UserInfo[36 - Withdrawal])</f>
        <v>0</v>
      </c>
      <c r="K46" s="38">
        <f>Store_Setting[[#This Row],[Inbound
subtotal]]-Store_Setting[[#This Row],[Pickup
subtotal]]</f>
        <v>0</v>
      </c>
      <c r="L46" s="38">
        <f>SUMIFS(Store_History[Quantity],Store_History[Unique identifier],Store_Setting[[#This Row],[Unique
identifier]],Store_History[Type],$D$81)</f>
        <v>0</v>
      </c>
      <c r="M46" s="38">
        <f>SUMIFS(Store_History[Quantity],Store_History[Unique identifier],Store_Setting[[#This Row],[Unique
identifier]],Store_History[Type],$E$81)</f>
        <v>0</v>
      </c>
      <c r="N46" s="13" t="s">
        <v>84</v>
      </c>
      <c r="O46" s="13" t="s">
        <v>84</v>
      </c>
      <c r="P46" s="10" t="s">
        <v>387</v>
      </c>
      <c r="Q46" s="10" t="s">
        <v>388</v>
      </c>
      <c r="R46" s="10" t="s">
        <v>389</v>
      </c>
      <c r="S46" s="10" t="s">
        <v>309</v>
      </c>
    </row>
    <row r="47" spans="2:56" ht="40" customHeight="1" x14ac:dyDescent="0.4">
      <c r="B47" s="78"/>
      <c r="C47" s="79"/>
      <c r="D47" s="82" t="str">
        <f>CONCATENATE(Store_Setting[[#This Row],[Product
serial number]], IF(Store_Setting[[#This Row],[Product name]]="","", _xlfn.CONCAT(" | ",_xlfn.SINGLE(Store_Setting[Product name]))))</f>
        <v>37</v>
      </c>
      <c r="E47" s="10">
        <v>37</v>
      </c>
      <c r="F47" s="42"/>
      <c r="G47" s="83">
        <f>Store_Setting[[#This Row],[Negative
inventory
balance]]-SUM(Store_Setting[[#This Row],[Deposited]]-Store_Setting[[#This Row],[Withdrawn]])</f>
        <v>0</v>
      </c>
      <c r="H47" s="38">
        <f>SUM(UserInfo[37 - Remaining])</f>
        <v>0</v>
      </c>
      <c r="I47" s="38">
        <f>SUM(UserInfo[37 - Deposit])</f>
        <v>0</v>
      </c>
      <c r="J47" s="38">
        <f>SUM(UserInfo[37 - Withdrawal])</f>
        <v>0</v>
      </c>
      <c r="K47" s="38">
        <f>Store_Setting[[#This Row],[Inbound
subtotal]]-Store_Setting[[#This Row],[Pickup
subtotal]]</f>
        <v>0</v>
      </c>
      <c r="L47" s="38">
        <f>SUMIFS(Store_History[Quantity],Store_History[Unique identifier],Store_Setting[[#This Row],[Unique
identifier]],Store_History[Type],$D$81)</f>
        <v>0</v>
      </c>
      <c r="M47" s="38">
        <f>SUMIFS(Store_History[Quantity],Store_History[Unique identifier],Store_Setting[[#This Row],[Unique
identifier]],Store_History[Type],$E$81)</f>
        <v>0</v>
      </c>
      <c r="N47" s="13" t="s">
        <v>84</v>
      </c>
      <c r="O47" s="13" t="s">
        <v>84</v>
      </c>
      <c r="P47" s="10" t="s">
        <v>390</v>
      </c>
      <c r="Q47" s="10" t="s">
        <v>391</v>
      </c>
      <c r="R47" s="10" t="s">
        <v>392</v>
      </c>
      <c r="S47" s="10" t="s">
        <v>393</v>
      </c>
    </row>
    <row r="48" spans="2:56" ht="40" customHeight="1" x14ac:dyDescent="0.4">
      <c r="B48" s="78"/>
      <c r="C48" s="79"/>
      <c r="D48" s="82" t="str">
        <f>CONCATENATE(Store_Setting[[#This Row],[Product
serial number]], IF(Store_Setting[[#This Row],[Product name]]="","", _xlfn.CONCAT(" | ",_xlfn.SINGLE(Store_Setting[Product name]))))</f>
        <v>38</v>
      </c>
      <c r="E48" s="10">
        <v>38</v>
      </c>
      <c r="F48" s="42"/>
      <c r="G48" s="83">
        <f>Store_Setting[[#This Row],[Negative
inventory
balance]]-SUM(Store_Setting[[#This Row],[Deposited]]-Store_Setting[[#This Row],[Withdrawn]])</f>
        <v>0</v>
      </c>
      <c r="H48" s="38">
        <f>SUM(UserInfo[38 - Remaining])</f>
        <v>0</v>
      </c>
      <c r="I48" s="38">
        <f>SUM(UserInfo[38 - Deposit])</f>
        <v>0</v>
      </c>
      <c r="J48" s="38">
        <f>SUM(UserInfo[38 - Withdrawal])</f>
        <v>0</v>
      </c>
      <c r="K48" s="38">
        <f>Store_Setting[[#This Row],[Inbound
subtotal]]-Store_Setting[[#This Row],[Pickup
subtotal]]</f>
        <v>0</v>
      </c>
      <c r="L48" s="38">
        <f>SUMIFS(Store_History[Quantity],Store_History[Unique identifier],Store_Setting[[#This Row],[Unique
identifier]],Store_History[Type],$D$81)</f>
        <v>0</v>
      </c>
      <c r="M48" s="38">
        <f>SUMIFS(Store_History[Quantity],Store_History[Unique identifier],Store_Setting[[#This Row],[Unique
identifier]],Store_History[Type],$E$81)</f>
        <v>0</v>
      </c>
      <c r="N48" s="13" t="s">
        <v>84</v>
      </c>
      <c r="O48" s="13" t="s">
        <v>84</v>
      </c>
      <c r="P48" s="10" t="s">
        <v>394</v>
      </c>
      <c r="Q48" s="10" t="s">
        <v>395</v>
      </c>
      <c r="R48" s="10" t="s">
        <v>396</v>
      </c>
      <c r="S48" s="10" t="s">
        <v>311</v>
      </c>
    </row>
    <row r="49" spans="2:19" ht="40" customHeight="1" x14ac:dyDescent="0.4">
      <c r="B49" s="78"/>
      <c r="C49" s="79"/>
      <c r="D49" s="82" t="str">
        <f>CONCATENATE(Store_Setting[[#This Row],[Product
serial number]], IF(Store_Setting[[#This Row],[Product name]]="","", _xlfn.CONCAT(" | ",_xlfn.SINGLE(Store_Setting[Product name]))))</f>
        <v>39</v>
      </c>
      <c r="E49" s="10">
        <v>39</v>
      </c>
      <c r="F49" s="42"/>
      <c r="G49" s="83">
        <f>Store_Setting[[#This Row],[Negative
inventory
balance]]-SUM(Store_Setting[[#This Row],[Deposited]]-Store_Setting[[#This Row],[Withdrawn]])</f>
        <v>0</v>
      </c>
      <c r="H49" s="38">
        <f>SUM(UserInfo[39 - Remaining])</f>
        <v>0</v>
      </c>
      <c r="I49" s="38">
        <f>SUM(UserInfo[39 - Deposit])</f>
        <v>0</v>
      </c>
      <c r="J49" s="38">
        <f>SUM(UserInfo[39 - Withdrawal])</f>
        <v>0</v>
      </c>
      <c r="K49" s="38">
        <f>Store_Setting[[#This Row],[Inbound
subtotal]]-Store_Setting[[#This Row],[Pickup
subtotal]]</f>
        <v>0</v>
      </c>
      <c r="L49" s="38">
        <f>SUMIFS(Store_History[Quantity],Store_History[Unique identifier],Store_Setting[[#This Row],[Unique
identifier]],Store_History[Type],$D$81)</f>
        <v>0</v>
      </c>
      <c r="M49" s="38">
        <f>SUMIFS(Store_History[Quantity],Store_History[Unique identifier],Store_Setting[[#This Row],[Unique
identifier]],Store_History[Type],$E$81)</f>
        <v>0</v>
      </c>
      <c r="N49" s="13" t="s">
        <v>84</v>
      </c>
      <c r="O49" s="13" t="s">
        <v>84</v>
      </c>
      <c r="P49" s="10" t="s">
        <v>397</v>
      </c>
      <c r="Q49" s="10" t="s">
        <v>398</v>
      </c>
      <c r="R49" s="10" t="s">
        <v>399</v>
      </c>
      <c r="S49" s="10" t="s">
        <v>312</v>
      </c>
    </row>
    <row r="50" spans="2:19" ht="40" customHeight="1" x14ac:dyDescent="0.4">
      <c r="B50" s="78"/>
      <c r="C50" s="79"/>
      <c r="D50" s="82" t="str">
        <f>CONCATENATE(Store_Setting[[#This Row],[Product
serial number]], IF(Store_Setting[[#This Row],[Product name]]="","", _xlfn.CONCAT(" | ",_xlfn.SINGLE(Store_Setting[Product name]))))</f>
        <v>40</v>
      </c>
      <c r="E50" s="10">
        <v>40</v>
      </c>
      <c r="F50" s="42"/>
      <c r="G50" s="83">
        <f>Store_Setting[[#This Row],[Negative
inventory
balance]]-SUM(Store_Setting[[#This Row],[Deposited]]-Store_Setting[[#This Row],[Withdrawn]])</f>
        <v>0</v>
      </c>
      <c r="H50" s="38">
        <f>SUM(UserInfo[40 - Remaining])</f>
        <v>0</v>
      </c>
      <c r="I50" s="38">
        <f>SUM(UserInfo[40 - Deposit])</f>
        <v>0</v>
      </c>
      <c r="J50" s="38">
        <f>SUM(UserInfo[40 - Withdrawal])</f>
        <v>0</v>
      </c>
      <c r="K50" s="38">
        <f>Store_Setting[[#This Row],[Inbound
subtotal]]-Store_Setting[[#This Row],[Pickup
subtotal]]</f>
        <v>0</v>
      </c>
      <c r="L50" s="38">
        <f>SUMIFS(Store_History[Quantity],Store_History[Unique identifier],Store_Setting[[#This Row],[Unique
identifier]],Store_History[Type],$D$81)</f>
        <v>0</v>
      </c>
      <c r="M50" s="38">
        <f>SUMIFS(Store_History[Quantity],Store_History[Unique identifier],Store_Setting[[#This Row],[Unique
identifier]],Store_History[Type],$E$81)</f>
        <v>0</v>
      </c>
      <c r="N50" s="13" t="s">
        <v>84</v>
      </c>
      <c r="O50" s="13" t="s">
        <v>84</v>
      </c>
      <c r="P50" s="10" t="s">
        <v>400</v>
      </c>
      <c r="Q50" s="10" t="s">
        <v>401</v>
      </c>
      <c r="R50" s="10" t="s">
        <v>402</v>
      </c>
      <c r="S50" s="10" t="s">
        <v>403</v>
      </c>
    </row>
    <row r="51" spans="2:19" ht="8.15" customHeight="1" x14ac:dyDescent="0.4"/>
    <row r="52" spans="2:19" ht="40" customHeight="1" x14ac:dyDescent="0.4">
      <c r="B52" s="78" t="s">
        <v>53</v>
      </c>
      <c r="C52" s="79" t="s">
        <v>197</v>
      </c>
      <c r="D52" s="84" t="s">
        <v>87</v>
      </c>
      <c r="E52" s="85"/>
      <c r="F52" s="85"/>
      <c r="G52" s="85"/>
      <c r="H52" s="85"/>
      <c r="I52" s="85"/>
      <c r="J52" s="85"/>
      <c r="K52" s="85"/>
      <c r="L52" s="85"/>
      <c r="M52" s="85"/>
      <c r="N52" s="85"/>
      <c r="O52" s="85"/>
    </row>
    <row r="53" spans="2:19" ht="40" customHeight="1" x14ac:dyDescent="0.4">
      <c r="B53" s="78"/>
      <c r="C53" s="79" t="s">
        <v>198</v>
      </c>
      <c r="D53" s="86" t="s">
        <v>86</v>
      </c>
      <c r="E53" s="86" t="s">
        <v>87</v>
      </c>
      <c r="F53" s="86"/>
      <c r="G53" s="87"/>
      <c r="H53" s="87"/>
      <c r="I53" s="87"/>
      <c r="J53" s="87"/>
      <c r="K53" s="87"/>
      <c r="L53" s="87"/>
      <c r="M53" s="87"/>
      <c r="N53" s="87"/>
      <c r="O53" s="87"/>
    </row>
    <row r="54" spans="2:19" ht="40" customHeight="1" x14ac:dyDescent="0.4">
      <c r="B54" s="78"/>
      <c r="C54" s="79" t="s">
        <v>196</v>
      </c>
      <c r="D54" s="86"/>
      <c r="E54" s="86"/>
      <c r="F54" s="86"/>
      <c r="G54" s="87"/>
      <c r="H54" s="87"/>
      <c r="I54" s="87"/>
      <c r="J54" s="87"/>
      <c r="K54" s="87"/>
      <c r="L54" s="87"/>
      <c r="M54" s="87"/>
      <c r="N54" s="87"/>
      <c r="O54" s="87"/>
    </row>
    <row r="55" spans="2:19" ht="8.15" customHeight="1" x14ac:dyDescent="0.4">
      <c r="B55" s="88"/>
      <c r="D55" s="89"/>
      <c r="E55" s="89"/>
      <c r="F55" s="89"/>
      <c r="G55" s="89"/>
      <c r="H55" s="89"/>
      <c r="I55" s="89"/>
      <c r="J55" s="89"/>
      <c r="K55" s="89"/>
      <c r="L55" s="89"/>
      <c r="M55" s="89"/>
    </row>
    <row r="56" spans="2:19" ht="40" customHeight="1" x14ac:dyDescent="0.4">
      <c r="B56" s="78" t="s">
        <v>54</v>
      </c>
      <c r="C56" s="85"/>
      <c r="D56" s="90" t="s">
        <v>71</v>
      </c>
      <c r="E56" s="90" t="s">
        <v>72</v>
      </c>
      <c r="F56" s="90" t="s">
        <v>73</v>
      </c>
      <c r="G56" s="91" t="s">
        <v>74</v>
      </c>
      <c r="H56" s="91" t="s">
        <v>1</v>
      </c>
      <c r="I56" s="91" t="s">
        <v>75</v>
      </c>
      <c r="J56" s="91" t="s">
        <v>409</v>
      </c>
      <c r="K56" s="91" t="s">
        <v>410</v>
      </c>
      <c r="L56" s="91" t="s">
        <v>90</v>
      </c>
      <c r="M56" s="91" t="s">
        <v>464</v>
      </c>
      <c r="N56" s="91" t="s">
        <v>422</v>
      </c>
      <c r="O56" s="92"/>
    </row>
    <row r="57" spans="2:19" ht="40" customHeight="1" x14ac:dyDescent="0.4">
      <c r="B57" s="78"/>
      <c r="C57" s="85" t="s">
        <v>62</v>
      </c>
      <c r="D57" s="93" t="s">
        <v>84</v>
      </c>
      <c r="E57" s="93" t="s">
        <v>85</v>
      </c>
      <c r="F57" s="93" t="s">
        <v>85</v>
      </c>
      <c r="G57" s="93" t="s">
        <v>85</v>
      </c>
      <c r="H57" s="93" t="s">
        <v>85</v>
      </c>
      <c r="I57" s="93" t="s">
        <v>85</v>
      </c>
      <c r="J57" s="94" t="s">
        <v>411</v>
      </c>
      <c r="K57" s="92"/>
      <c r="L57" s="92"/>
      <c r="M57" s="92"/>
      <c r="N57" s="92"/>
      <c r="O57" s="92"/>
    </row>
    <row r="58" spans="2:19" ht="50.05" customHeight="1" x14ac:dyDescent="0.4">
      <c r="B58" s="78"/>
      <c r="C58" s="85" t="s">
        <v>413</v>
      </c>
      <c r="D58" s="93" t="s">
        <v>412</v>
      </c>
      <c r="E58" s="93" t="s">
        <v>412</v>
      </c>
      <c r="F58" s="93" t="s">
        <v>433</v>
      </c>
      <c r="G58" s="93" t="s">
        <v>433</v>
      </c>
      <c r="H58" s="93" t="s">
        <v>433</v>
      </c>
      <c r="I58" s="93" t="s">
        <v>433</v>
      </c>
      <c r="J58" s="93" t="s">
        <v>412</v>
      </c>
      <c r="K58" s="93" t="s">
        <v>412</v>
      </c>
      <c r="L58" s="93" t="s">
        <v>412</v>
      </c>
      <c r="M58" s="93" t="s">
        <v>412</v>
      </c>
      <c r="N58" s="93" t="s">
        <v>412</v>
      </c>
      <c r="O58" s="92"/>
    </row>
    <row r="59" spans="2:19" ht="50.05" customHeight="1" x14ac:dyDescent="0.4">
      <c r="B59" s="78"/>
      <c r="C59" s="85" t="s">
        <v>414</v>
      </c>
      <c r="D59" s="93" t="s">
        <v>412</v>
      </c>
      <c r="E59" s="93" t="s">
        <v>412</v>
      </c>
      <c r="F59" s="93" t="s">
        <v>412</v>
      </c>
      <c r="G59" s="93" t="s">
        <v>412</v>
      </c>
      <c r="H59" s="93" t="s">
        <v>412</v>
      </c>
      <c r="I59" s="93" t="s">
        <v>412</v>
      </c>
      <c r="J59" s="94"/>
      <c r="K59" s="93" t="s">
        <v>412</v>
      </c>
      <c r="L59" s="93" t="s">
        <v>412</v>
      </c>
      <c r="M59" s="94"/>
      <c r="N59" s="92"/>
      <c r="O59" s="92"/>
    </row>
    <row r="60" spans="2:19" ht="50.05" customHeight="1" x14ac:dyDescent="0.4">
      <c r="B60" s="78"/>
      <c r="C60" s="85" t="s">
        <v>452</v>
      </c>
      <c r="D60" s="93" t="s">
        <v>85</v>
      </c>
      <c r="E60" s="94" t="s">
        <v>83</v>
      </c>
      <c r="F60" s="95"/>
      <c r="G60" s="95"/>
      <c r="H60" s="95"/>
      <c r="I60" s="95"/>
      <c r="J60" s="95"/>
      <c r="K60" s="95"/>
      <c r="L60" s="95"/>
      <c r="M60" s="95"/>
      <c r="N60" s="92"/>
      <c r="O60" s="92"/>
    </row>
    <row r="61" spans="2:19" ht="50.05" customHeight="1" x14ac:dyDescent="0.4">
      <c r="B61" s="78"/>
      <c r="C61" s="85" t="s">
        <v>252</v>
      </c>
      <c r="D61" s="93" t="s">
        <v>84</v>
      </c>
      <c r="E61" s="94" t="s">
        <v>254</v>
      </c>
      <c r="F61" s="95"/>
      <c r="G61" s="95"/>
      <c r="H61" s="95"/>
      <c r="I61" s="95"/>
      <c r="J61" s="95"/>
      <c r="K61" s="95"/>
      <c r="L61" s="95"/>
      <c r="M61" s="95"/>
      <c r="N61" s="92"/>
      <c r="O61" s="92"/>
    </row>
    <row r="62" spans="2:19" ht="40" customHeight="1" x14ac:dyDescent="0.4">
      <c r="B62" s="78"/>
      <c r="C62" s="85" t="s">
        <v>417</v>
      </c>
      <c r="D62" s="93" t="s">
        <v>84</v>
      </c>
      <c r="E62" s="94" t="s">
        <v>416</v>
      </c>
      <c r="F62" s="95"/>
      <c r="G62" s="95"/>
      <c r="H62" s="95"/>
      <c r="I62" s="95"/>
      <c r="J62" s="95"/>
      <c r="K62" s="95"/>
      <c r="L62" s="95"/>
      <c r="M62" s="95"/>
      <c r="N62" s="92"/>
      <c r="O62" s="92"/>
    </row>
    <row r="63" spans="2:19" ht="50.05" customHeight="1" x14ac:dyDescent="0.4">
      <c r="B63" s="78"/>
      <c r="C63" s="85" t="s">
        <v>255</v>
      </c>
      <c r="D63" s="93" t="s">
        <v>84</v>
      </c>
      <c r="E63" s="94" t="s">
        <v>253</v>
      </c>
      <c r="F63" s="95"/>
      <c r="G63" s="95"/>
      <c r="H63" s="95"/>
      <c r="I63" s="95"/>
      <c r="J63" s="95"/>
      <c r="K63" s="95"/>
      <c r="L63" s="95"/>
      <c r="M63" s="95"/>
      <c r="N63" s="92"/>
      <c r="O63" s="92"/>
    </row>
    <row r="64" spans="2:19" ht="8.15" customHeight="1" x14ac:dyDescent="0.4">
      <c r="B64" s="88"/>
      <c r="C64" s="89"/>
      <c r="D64" s="89"/>
      <c r="E64" s="89"/>
      <c r="F64" s="89"/>
      <c r="G64" s="89"/>
      <c r="H64" s="89"/>
      <c r="I64" s="89"/>
      <c r="J64" s="89"/>
      <c r="K64" s="89"/>
      <c r="L64" s="89"/>
      <c r="M64" s="89"/>
    </row>
    <row r="65" spans="2:15" ht="40" customHeight="1" x14ac:dyDescent="0.4">
      <c r="B65" s="78" t="s">
        <v>55</v>
      </c>
      <c r="C65" s="85" t="s">
        <v>98</v>
      </c>
      <c r="D65" s="84" t="s">
        <v>188</v>
      </c>
      <c r="E65" s="84" t="s">
        <v>189</v>
      </c>
      <c r="F65" s="84" t="s">
        <v>69</v>
      </c>
      <c r="G65" s="84" t="s">
        <v>190</v>
      </c>
      <c r="H65" s="84" t="s">
        <v>191</v>
      </c>
      <c r="I65" s="84" t="s">
        <v>70</v>
      </c>
      <c r="J65" s="84" t="s">
        <v>192</v>
      </c>
      <c r="K65" s="84"/>
      <c r="L65" s="84"/>
      <c r="M65" s="84"/>
      <c r="N65" s="84"/>
      <c r="O65" s="84"/>
    </row>
    <row r="66" spans="2:15" ht="50.05" customHeight="1" x14ac:dyDescent="0.4">
      <c r="B66" s="78"/>
      <c r="C66" s="85" t="s">
        <v>63</v>
      </c>
      <c r="D66" s="93" t="s">
        <v>84</v>
      </c>
      <c r="E66" s="94" t="s">
        <v>82</v>
      </c>
      <c r="F66" s="95"/>
      <c r="G66" s="95"/>
      <c r="H66" s="95"/>
      <c r="I66" s="95"/>
      <c r="J66" s="95"/>
      <c r="K66" s="95"/>
      <c r="L66" s="95"/>
      <c r="M66" s="95"/>
      <c r="N66" s="92"/>
      <c r="O66" s="92"/>
    </row>
    <row r="67" spans="2:15" ht="50.05" customHeight="1" x14ac:dyDescent="0.4">
      <c r="B67" s="78"/>
      <c r="C67" s="85" t="s">
        <v>256</v>
      </c>
      <c r="D67" s="93" t="s">
        <v>84</v>
      </c>
      <c r="E67" s="94" t="s">
        <v>258</v>
      </c>
      <c r="F67" s="95"/>
      <c r="G67" s="95"/>
      <c r="H67" s="95"/>
      <c r="I67" s="95"/>
      <c r="J67" s="95"/>
      <c r="K67" s="95"/>
      <c r="L67" s="95"/>
      <c r="M67" s="95"/>
      <c r="N67" s="92"/>
      <c r="O67" s="92"/>
    </row>
    <row r="68" spans="2:15" ht="50.05" customHeight="1" x14ac:dyDescent="0.4">
      <c r="B68" s="78"/>
      <c r="C68" s="85" t="s">
        <v>257</v>
      </c>
      <c r="D68" s="93" t="s">
        <v>84</v>
      </c>
      <c r="E68" s="94" t="s">
        <v>259</v>
      </c>
      <c r="F68" s="95"/>
      <c r="G68" s="95"/>
      <c r="H68" s="95"/>
      <c r="I68" s="95"/>
      <c r="J68" s="95"/>
      <c r="K68" s="95"/>
      <c r="L68" s="95"/>
      <c r="M68" s="95"/>
      <c r="N68" s="92"/>
      <c r="O68" s="92"/>
    </row>
    <row r="69" spans="2:15" ht="8.15" customHeight="1" x14ac:dyDescent="0.4">
      <c r="B69" s="88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</row>
    <row r="70" spans="2:15" ht="55" customHeight="1" x14ac:dyDescent="0.4">
      <c r="B70" s="78" t="s">
        <v>56</v>
      </c>
      <c r="C70" s="85" t="s">
        <v>419</v>
      </c>
      <c r="D70" s="96" t="s">
        <v>462</v>
      </c>
      <c r="E70" s="93">
        <v>1</v>
      </c>
      <c r="F70" s="94" t="s">
        <v>463</v>
      </c>
      <c r="G70" s="92"/>
      <c r="H70" s="92"/>
      <c r="I70" s="92"/>
      <c r="J70" s="92"/>
      <c r="K70" s="92"/>
      <c r="L70" s="92"/>
      <c r="M70" s="92"/>
      <c r="N70" s="92"/>
      <c r="O70" s="92"/>
    </row>
    <row r="71" spans="2:15" ht="55" customHeight="1" x14ac:dyDescent="0.4">
      <c r="B71" s="78"/>
      <c r="C71" s="85" t="s">
        <v>461</v>
      </c>
      <c r="D71" s="90" t="s">
        <v>465</v>
      </c>
      <c r="E71" s="93" t="s">
        <v>84</v>
      </c>
      <c r="F71" s="94"/>
      <c r="G71" s="92"/>
      <c r="H71" s="92"/>
      <c r="I71" s="92"/>
      <c r="J71" s="92"/>
      <c r="K71" s="92"/>
      <c r="L71" s="92"/>
      <c r="M71" s="92"/>
      <c r="N71" s="92"/>
      <c r="O71" s="92"/>
    </row>
    <row r="72" spans="2:15" ht="40" customHeight="1" x14ac:dyDescent="0.4">
      <c r="B72" s="78"/>
      <c r="C72" s="85"/>
      <c r="D72" s="90" t="s">
        <v>453</v>
      </c>
      <c r="E72" s="93" t="s">
        <v>84</v>
      </c>
      <c r="F72" s="94"/>
      <c r="G72" s="92"/>
      <c r="H72" s="92"/>
      <c r="I72" s="92"/>
      <c r="J72" s="92"/>
      <c r="K72" s="92"/>
      <c r="L72" s="92"/>
      <c r="M72" s="92"/>
      <c r="N72" s="92"/>
      <c r="O72" s="92"/>
    </row>
    <row r="73" spans="2:15" ht="40" customHeight="1" x14ac:dyDescent="0.4">
      <c r="B73" s="78"/>
      <c r="C73" s="85"/>
      <c r="D73" s="90" t="s">
        <v>195</v>
      </c>
      <c r="E73" s="93" t="s">
        <v>84</v>
      </c>
      <c r="F73" s="94"/>
      <c r="G73" s="92"/>
      <c r="H73" s="92"/>
      <c r="I73" s="92"/>
      <c r="J73" s="92"/>
      <c r="K73" s="92"/>
      <c r="L73" s="92"/>
      <c r="M73" s="92"/>
      <c r="N73" s="92"/>
      <c r="O73" s="92"/>
    </row>
    <row r="74" spans="2:15" ht="8.25" customHeight="1" x14ac:dyDescent="0.4">
      <c r="B74" s="88"/>
      <c r="D74" s="89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</row>
    <row r="75" spans="2:15" ht="65.05" customHeight="1" x14ac:dyDescent="0.4">
      <c r="B75" s="78" t="s">
        <v>57</v>
      </c>
      <c r="C75" s="79" t="s">
        <v>456</v>
      </c>
      <c r="D75" s="90" t="s">
        <v>457</v>
      </c>
      <c r="E75" s="90" t="s">
        <v>467</v>
      </c>
      <c r="F75" s="90" t="s">
        <v>468</v>
      </c>
      <c r="G75" s="90" t="s">
        <v>469</v>
      </c>
      <c r="H75" s="94" t="s">
        <v>466</v>
      </c>
      <c r="I75" s="92"/>
      <c r="J75" s="92"/>
      <c r="K75" s="92"/>
      <c r="L75" s="92"/>
      <c r="M75" s="92"/>
      <c r="N75" s="92"/>
      <c r="O75" s="92"/>
    </row>
    <row r="76" spans="2:15" ht="50.05" customHeight="1" x14ac:dyDescent="0.4">
      <c r="B76" s="78"/>
      <c r="C76" s="79"/>
      <c r="D76" s="93" t="s">
        <v>85</v>
      </c>
      <c r="E76" s="93" t="s">
        <v>85</v>
      </c>
      <c r="F76" s="93" t="s">
        <v>85</v>
      </c>
      <c r="G76" s="93" t="s">
        <v>84</v>
      </c>
      <c r="H76" s="92"/>
      <c r="I76" s="92"/>
      <c r="J76" s="92"/>
      <c r="K76" s="92"/>
      <c r="L76" s="92"/>
      <c r="M76" s="92"/>
      <c r="N76" s="92"/>
      <c r="O76" s="92"/>
    </row>
    <row r="77" spans="2:15" ht="40" customHeight="1" x14ac:dyDescent="0.4">
      <c r="B77" s="78"/>
      <c r="C77" s="79"/>
      <c r="D77" s="90" t="s">
        <v>455</v>
      </c>
      <c r="E77" s="97"/>
      <c r="F77" s="98"/>
      <c r="G77" s="98"/>
      <c r="H77" s="98"/>
      <c r="I77" s="98"/>
      <c r="J77" s="98"/>
      <c r="K77" s="98"/>
      <c r="L77" s="98"/>
      <c r="M77" s="98"/>
      <c r="N77" s="98"/>
      <c r="O77" s="80"/>
    </row>
    <row r="78" spans="2:15" ht="8.15" hidden="1" customHeight="1" x14ac:dyDescent="0.4">
      <c r="C78" s="89"/>
    </row>
    <row r="79" spans="2:15" ht="40" hidden="1" customHeight="1" x14ac:dyDescent="0.4">
      <c r="B79" s="99" t="s">
        <v>58</v>
      </c>
      <c r="C79" s="85" t="s">
        <v>96</v>
      </c>
      <c r="D79" s="100" t="s">
        <v>65</v>
      </c>
      <c r="E79" s="100" t="s">
        <v>67</v>
      </c>
      <c r="F79" s="101"/>
      <c r="G79" s="101"/>
      <c r="H79" s="101"/>
      <c r="I79" s="101"/>
      <c r="J79" s="101"/>
      <c r="K79" s="101"/>
      <c r="L79" s="101"/>
      <c r="M79" s="101"/>
      <c r="N79" s="101"/>
      <c r="O79" s="101"/>
    </row>
    <row r="80" spans="2:15" ht="8.15" hidden="1" customHeight="1" x14ac:dyDescent="0.4">
      <c r="B80" s="88"/>
      <c r="C80" s="89"/>
      <c r="D80" s="89"/>
      <c r="E80" s="89"/>
      <c r="F80" s="89"/>
      <c r="G80" s="89"/>
      <c r="H80" s="89"/>
      <c r="I80" s="89"/>
      <c r="J80" s="89"/>
      <c r="K80" s="89"/>
      <c r="L80" s="89"/>
      <c r="M80" s="89"/>
      <c r="N80" s="89"/>
      <c r="O80" s="89"/>
    </row>
    <row r="81" spans="2:15" ht="40" hidden="1" customHeight="1" x14ac:dyDescent="0.4">
      <c r="B81" s="99" t="s">
        <v>418</v>
      </c>
      <c r="C81" s="85" t="s">
        <v>64</v>
      </c>
      <c r="D81" s="100" t="s">
        <v>66</v>
      </c>
      <c r="E81" s="100" t="s">
        <v>68</v>
      </c>
      <c r="F81" s="101"/>
      <c r="G81" s="101"/>
      <c r="H81" s="101"/>
      <c r="I81" s="101"/>
      <c r="J81" s="101"/>
      <c r="K81" s="101"/>
      <c r="L81" s="101"/>
      <c r="M81" s="101"/>
      <c r="N81" s="101"/>
      <c r="O81" s="101"/>
    </row>
    <row r="82" spans="2:15" ht="8.15" hidden="1" customHeight="1" x14ac:dyDescent="0.4">
      <c r="B82" s="88"/>
      <c r="C82" s="89"/>
      <c r="D82" s="89"/>
      <c r="E82" s="89"/>
      <c r="F82" s="89"/>
      <c r="G82" s="89"/>
      <c r="H82" s="89"/>
      <c r="I82" s="89"/>
      <c r="J82" s="89"/>
      <c r="K82" s="89"/>
      <c r="L82" s="89"/>
      <c r="M82" s="89"/>
      <c r="N82" s="89"/>
      <c r="O82" s="89"/>
    </row>
    <row r="83" spans="2:15" ht="40" hidden="1" customHeight="1" x14ac:dyDescent="0.4">
      <c r="B83" s="99" t="s">
        <v>454</v>
      </c>
      <c r="C83" s="85" t="s">
        <v>72</v>
      </c>
      <c r="D83" s="100" t="s">
        <v>193</v>
      </c>
      <c r="E83" s="100" t="s">
        <v>194</v>
      </c>
      <c r="F83" s="101"/>
      <c r="G83" s="101"/>
      <c r="H83" s="101"/>
      <c r="I83" s="101"/>
      <c r="J83" s="101"/>
      <c r="K83" s="101"/>
      <c r="L83" s="101"/>
      <c r="M83" s="101"/>
      <c r="N83" s="101"/>
      <c r="O83" s="101"/>
    </row>
    <row r="84" spans="2:15" ht="8.15" customHeight="1" x14ac:dyDescent="0.4">
      <c r="B84" s="88"/>
      <c r="D84" s="89"/>
      <c r="E84" s="89"/>
      <c r="F84" s="89"/>
      <c r="G84" s="89"/>
      <c r="H84" s="89"/>
      <c r="I84" s="89"/>
      <c r="J84" s="89"/>
      <c r="K84" s="89"/>
      <c r="L84" s="89"/>
      <c r="M84" s="89"/>
      <c r="N84" s="89"/>
      <c r="O84" s="89"/>
    </row>
    <row r="85" spans="2:15" ht="40" customHeight="1" x14ac:dyDescent="0.4">
      <c r="B85" s="99" t="s">
        <v>241</v>
      </c>
      <c r="C85" s="102" t="s">
        <v>48</v>
      </c>
      <c r="D85" s="94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85" s="92"/>
      <c r="F85" s="79"/>
      <c r="G85" s="79"/>
      <c r="H85" s="79"/>
      <c r="I85" s="79"/>
      <c r="J85" s="79"/>
      <c r="K85" s="79"/>
      <c r="L85" s="79"/>
      <c r="M85" s="79"/>
      <c r="N85" s="79"/>
      <c r="O85" s="79"/>
    </row>
    <row r="86" spans="2:15" ht="40" customHeight="1" x14ac:dyDescent="0.4">
      <c r="B86" s="99"/>
      <c r="C86" s="103" t="s">
        <v>61</v>
      </c>
      <c r="D86" s="94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86" s="92"/>
      <c r="F86" s="79"/>
      <c r="G86" s="79"/>
      <c r="H86" s="79"/>
      <c r="I86" s="79"/>
      <c r="J86" s="79"/>
      <c r="K86" s="79"/>
      <c r="L86" s="79"/>
      <c r="M86" s="79"/>
      <c r="N86" s="79"/>
      <c r="O86" s="79"/>
    </row>
    <row r="87" spans="2:15" ht="40" customHeight="1" x14ac:dyDescent="0.4">
      <c r="B87" s="99"/>
      <c r="C87" s="102" t="s">
        <v>195</v>
      </c>
      <c r="D87" s="94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7" s="92"/>
      <c r="F87" s="79"/>
      <c r="G87" s="104"/>
      <c r="H87" s="79"/>
      <c r="I87" s="79"/>
      <c r="J87" s="79"/>
      <c r="K87" s="79"/>
      <c r="L87" s="79"/>
      <c r="M87" s="79"/>
      <c r="N87" s="79"/>
      <c r="O87" s="79"/>
    </row>
    <row r="88" spans="2:15" ht="40" customHeight="1" x14ac:dyDescent="0.4">
      <c r="B88" s="99"/>
      <c r="C88" s="102" t="s">
        <v>49</v>
      </c>
      <c r="D88" s="94" t="str">
        <f>_xlfn.CONCAT("Shared ", COUNTA(Get_Staff_Member)," employees")</f>
        <v>Shared 2 employees</v>
      </c>
      <c r="E88" s="92"/>
      <c r="F88" s="79"/>
      <c r="G88" s="79"/>
      <c r="H88" s="79"/>
      <c r="I88" s="79"/>
      <c r="J88" s="79"/>
      <c r="K88" s="79"/>
      <c r="L88" s="79"/>
      <c r="M88" s="79"/>
      <c r="N88" s="79"/>
      <c r="O88" s="79"/>
    </row>
    <row r="89" spans="2:15" ht="40" customHeight="1" x14ac:dyDescent="0.4">
      <c r="B89" s="99"/>
      <c r="C89" s="102" t="s">
        <v>98</v>
      </c>
      <c r="D89" s="94" t="str">
        <f>_xlfn.CONCAT("Has been set ", COUNTA(Get_Work_Unit)," units")</f>
        <v>Has been set 7 units</v>
      </c>
      <c r="E89" s="92"/>
      <c r="F89" s="79"/>
      <c r="G89" s="79"/>
      <c r="H89" s="79"/>
      <c r="I89" s="79"/>
      <c r="J89" s="79"/>
      <c r="K89" s="79"/>
      <c r="L89" s="79"/>
      <c r="M89" s="79"/>
      <c r="N89" s="79"/>
      <c r="O89" s="79"/>
    </row>
    <row r="90" spans="2:15" ht="16" customHeight="1" x14ac:dyDescent="0.4"/>
    <row r="91" spans="2:15" ht="40" customHeight="1" x14ac:dyDescent="0.4">
      <c r="B91" s="105" t="s">
        <v>59</v>
      </c>
      <c r="C91" s="106"/>
      <c r="D91" s="106"/>
      <c r="E91" s="106"/>
    </row>
    <row r="92" spans="2:15" ht="40" customHeight="1" x14ac:dyDescent="0.4">
      <c r="B92" s="96" t="s">
        <v>458</v>
      </c>
      <c r="C92" s="107" t="s">
        <v>23</v>
      </c>
      <c r="D92" s="108"/>
      <c r="E92" s="108"/>
    </row>
    <row r="93" spans="2:15" ht="40" customHeight="1" x14ac:dyDescent="0.4">
      <c r="B93" s="109" t="s">
        <v>460</v>
      </c>
      <c r="C93" s="110" t="s">
        <v>0</v>
      </c>
      <c r="D93" s="111"/>
      <c r="E93" s="111"/>
    </row>
    <row r="94" spans="2:15" ht="40" customHeight="1" x14ac:dyDescent="0.4">
      <c r="B94" s="96" t="s">
        <v>459</v>
      </c>
      <c r="C94" s="107" t="s">
        <v>22</v>
      </c>
      <c r="D94" s="108"/>
      <c r="E94" s="108"/>
    </row>
    <row r="95" spans="2:15" ht="40" customHeight="1" x14ac:dyDescent="0.4">
      <c r="B95" s="109" t="s">
        <v>60</v>
      </c>
      <c r="C95" s="107" t="s">
        <v>408</v>
      </c>
      <c r="D95" s="107"/>
      <c r="E95" s="107"/>
    </row>
    <row r="96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1:E73 D76:G76" xr:uid="{74448FB4-19CD-48A8-B0C3-0146D7793234}">
      <formula1>"Yes, No"</formula1>
    </dataValidation>
    <dataValidation type="list" allowBlank="1" showInputMessage="1" showErrorMessage="1" sqref="D58:I59 K58:L59 J58 M58:N58" xr:uid="{5737977B-6E7A-48B7-AC34-80B1A9FE708F}">
      <formula1>"Display, Not shown"</formula1>
    </dataValidation>
    <dataValidation type="list" allowBlank="1" showInputMessage="1" showErrorMessage="1" sqref="E74" xr:uid="{0105E628-22D3-4798-BE42-81765477FA35}">
      <formula1>"是, 否"</formula1>
    </dataValidation>
    <dataValidation type="list" allowBlank="1" showInputMessage="1" showErrorMessage="1" sqref="E70" xr:uid="{56AC5D48-726B-4308-B483-1878BFB1168B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9" scale="4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49" customWidth="1"/>
    <col min="3" max="3" width="22.69140625" style="49" customWidth="1"/>
    <col min="4" max="4" width="25.69140625" style="49" customWidth="1"/>
    <col min="5" max="5" width="44.69140625" style="49" customWidth="1"/>
    <col min="6" max="6" width="5.69140625" style="49" customWidth="1"/>
    <col min="7" max="8" width="2.69140625" style="49" customWidth="1"/>
    <col min="9" max="16384" width="9.15234375" style="49" hidden="1"/>
  </cols>
  <sheetData>
    <row r="1" spans="2:7" s="5" customFormat="1" ht="6" customHeight="1" x14ac:dyDescent="0.4"/>
    <row r="2" spans="2:7" s="2" customFormat="1" ht="55" customHeight="1" x14ac:dyDescent="0.4">
      <c r="B2" s="112" t="str">
        <f>CONCATENATE(IF(Setting!D7="","",_xlfn.CONCAT(Setting!D7," - ")),"Added new warehousing pickup")</f>
        <v>Yi - Added new warehousing pickup</v>
      </c>
      <c r="C2" s="21"/>
      <c r="D2" s="21"/>
    </row>
    <row r="3" spans="2:7" ht="14.15" customHeight="1" x14ac:dyDescent="0.4"/>
    <row r="4" spans="2:7" ht="14.15" customHeight="1" x14ac:dyDescent="0.4">
      <c r="B4" s="3"/>
      <c r="C4" s="3"/>
      <c r="D4" s="3"/>
      <c r="E4" s="3"/>
      <c r="F4" s="3"/>
      <c r="G4" s="3"/>
    </row>
    <row r="5" spans="2:7" ht="35.15" customHeight="1" x14ac:dyDescent="0.4">
      <c r="B5" s="3"/>
      <c r="C5" s="50" t="s">
        <v>243</v>
      </c>
      <c r="D5" s="51"/>
      <c r="E5" s="52"/>
      <c r="F5" s="53"/>
      <c r="G5" s="3"/>
    </row>
    <row r="6" spans="2:7" ht="14.15" customHeight="1" x14ac:dyDescent="0.4">
      <c r="B6" s="3"/>
      <c r="C6" s="3"/>
      <c r="D6" s="3"/>
      <c r="E6" s="3"/>
      <c r="F6" s="3"/>
      <c r="G6" s="3"/>
    </row>
    <row r="7" spans="2:7" ht="35.15" customHeight="1" x14ac:dyDescent="0.4">
      <c r="B7" s="3"/>
      <c r="C7" s="3" t="s">
        <v>76</v>
      </c>
      <c r="D7" s="63" t="s">
        <v>95</v>
      </c>
      <c r="E7" s="67"/>
      <c r="F7" s="58">
        <v>-1</v>
      </c>
      <c r="G7" s="3"/>
    </row>
    <row r="8" spans="2:7" ht="35.15" customHeight="1" x14ac:dyDescent="0.4">
      <c r="B8" s="3"/>
      <c r="C8" s="3"/>
      <c r="D8" s="68" t="s">
        <v>244</v>
      </c>
      <c r="E8" s="69" t="str">
        <f>IFERROR(VLOOKUP(E7,Store_Setting[[Unique
identifier]:[Pickup
subtotal]],2,0)&amp;"","")</f>
        <v/>
      </c>
      <c r="F8" s="3"/>
      <c r="G8" s="3"/>
    </row>
    <row r="9" spans="2:7" ht="35.15" customHeight="1" x14ac:dyDescent="0.4">
      <c r="B9" s="3"/>
      <c r="C9" s="3"/>
      <c r="D9" s="68" t="s">
        <v>240</v>
      </c>
      <c r="E9" s="69" t="str">
        <f>IFERROR(VLOOKUP(E7,Store_Setting[[Unique
identifier]:[Pickup
subtotal]],3,0)&amp;"","")</f>
        <v/>
      </c>
      <c r="F9" s="3"/>
      <c r="G9" s="3"/>
    </row>
    <row r="10" spans="2:7" ht="15" customHeight="1" x14ac:dyDescent="0.4">
      <c r="B10" s="3"/>
      <c r="C10" s="3"/>
      <c r="D10" s="3"/>
      <c r="E10" s="3"/>
      <c r="F10" s="3"/>
      <c r="G10" s="3"/>
    </row>
    <row r="11" spans="2:7" ht="35.15" customHeight="1" x14ac:dyDescent="0.4">
      <c r="B11" s="3"/>
      <c r="C11" s="3" t="s">
        <v>94</v>
      </c>
      <c r="D11" s="63" t="s">
        <v>96</v>
      </c>
      <c r="E11" s="70"/>
      <c r="F11" s="60">
        <v>-1</v>
      </c>
      <c r="G11" s="3"/>
    </row>
    <row r="12" spans="2:7" ht="35.15" customHeight="1" x14ac:dyDescent="0.4">
      <c r="B12" s="3"/>
      <c r="C12" s="3"/>
      <c r="D12" s="63" t="s">
        <v>97</v>
      </c>
      <c r="E12" s="71"/>
      <c r="F12" s="60">
        <v>-1</v>
      </c>
      <c r="G12" s="3"/>
    </row>
    <row r="13" spans="2:7" ht="35.15" customHeight="1" x14ac:dyDescent="0.4">
      <c r="B13" s="3"/>
      <c r="C13" s="3"/>
      <c r="D13" s="63" t="s">
        <v>98</v>
      </c>
      <c r="E13" s="67"/>
      <c r="F13" s="58">
        <v>-1</v>
      </c>
      <c r="G13" s="3"/>
    </row>
    <row r="14" spans="2:7" ht="15" customHeight="1" x14ac:dyDescent="0.4">
      <c r="B14" s="3"/>
      <c r="C14" s="3"/>
      <c r="D14" s="3"/>
      <c r="E14" s="3"/>
      <c r="F14" s="3"/>
      <c r="G14" s="3"/>
    </row>
    <row r="15" spans="2:7" ht="35.15" customHeight="1" x14ac:dyDescent="0.4">
      <c r="B15" s="3"/>
      <c r="C15" s="3"/>
      <c r="D15" s="63" t="s">
        <v>90</v>
      </c>
      <c r="E15" s="57"/>
      <c r="F15" s="58"/>
      <c r="G15" s="3"/>
    </row>
    <row r="16" spans="2:7" ht="15" customHeight="1" x14ac:dyDescent="0.4">
      <c r="B16" s="3"/>
      <c r="C16" s="3"/>
      <c r="D16" s="3"/>
      <c r="E16" s="3"/>
      <c r="F16" s="3"/>
      <c r="G16" s="3"/>
    </row>
    <row r="17" spans="2:7" ht="35.15" customHeight="1" x14ac:dyDescent="0.4">
      <c r="B17" s="3"/>
      <c r="C17" s="3" t="s">
        <v>245</v>
      </c>
      <c r="D17" s="63" t="s">
        <v>91</v>
      </c>
      <c r="E17" s="70" t="s">
        <v>87</v>
      </c>
      <c r="F17" s="60">
        <v>1</v>
      </c>
      <c r="G17" s="3"/>
    </row>
    <row r="18" spans="2:7" ht="14.15" customHeight="1" x14ac:dyDescent="0.4">
      <c r="B18" s="3"/>
      <c r="C18" s="3"/>
      <c r="D18" s="3"/>
      <c r="E18" s="3"/>
      <c r="F18" s="3"/>
      <c r="G18" s="3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6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4" width="14.69140625" style="18" customWidth="1"/>
    <col min="5" max="5" width="12.69140625" style="17" customWidth="1"/>
    <col min="6" max="6" width="12.69140625" style="18" customWidth="1"/>
    <col min="7" max="7" width="22.69140625" style="19" customWidth="1"/>
    <col min="8" max="8" width="14.69140625" style="18" customWidth="1"/>
    <col min="9" max="9" width="22.69140625" style="47" customWidth="1"/>
    <col min="10" max="10" width="14.69140625" style="3" customWidth="1"/>
    <col min="11" max="11" width="2.69140625" style="3" customWidth="1"/>
    <col min="12" max="16384" width="9.15234375" style="3" hidden="1"/>
  </cols>
  <sheetData>
    <row r="1" spans="2:10" s="5" customFormat="1" ht="6" customHeight="1" x14ac:dyDescent="0.4"/>
    <row r="2" spans="2:10" s="2" customFormat="1" ht="55" customHeight="1" x14ac:dyDescent="0.4">
      <c r="B2" s="112" t="str">
        <f>CONCATENATE(IF(Setting!D7="","", _xlfn.CONCAT(Setting!D7, " - ")), "Pick up goods from warehouse")</f>
        <v>Yi - Pick up goods from warehouse</v>
      </c>
      <c r="D2" s="26"/>
      <c r="I2" s="64"/>
    </row>
    <row r="3" spans="2:10" ht="8.15" customHeight="1" x14ac:dyDescent="0.4">
      <c r="C3" s="3"/>
      <c r="D3" s="3"/>
      <c r="E3" s="3"/>
      <c r="F3" s="3"/>
      <c r="G3" s="3"/>
      <c r="H3" s="3"/>
      <c r="I3" s="3"/>
    </row>
    <row r="4" spans="2:10" ht="40" customHeight="1" x14ac:dyDescent="0.4">
      <c r="B4" s="9" t="s">
        <v>100</v>
      </c>
      <c r="C4" s="9" t="s">
        <v>95</v>
      </c>
      <c r="D4" s="9" t="s">
        <v>96</v>
      </c>
      <c r="E4" s="9" t="s">
        <v>97</v>
      </c>
      <c r="F4" s="9" t="s">
        <v>98</v>
      </c>
      <c r="G4" s="9" t="s">
        <v>99</v>
      </c>
      <c r="H4" s="9" t="s">
        <v>91</v>
      </c>
      <c r="I4" s="9" t="s">
        <v>90</v>
      </c>
      <c r="J4" s="9" t="s">
        <v>420</v>
      </c>
    </row>
    <row r="5" spans="2:10" ht="40" customHeight="1" x14ac:dyDescent="0.4">
      <c r="B5" s="10" cm="1">
        <f t="array" ref="B5">SNGKI</f>
        <v>1</v>
      </c>
      <c r="C5" s="11" t="s">
        <v>45</v>
      </c>
      <c r="D5" s="13" t="s">
        <v>66</v>
      </c>
      <c r="E5" s="65"/>
      <c r="F5" s="13"/>
      <c r="G5" s="14"/>
      <c r="H5" s="13" t="s">
        <v>87</v>
      </c>
      <c r="I5" s="42" t="s">
        <v>470</v>
      </c>
      <c r="J5" s="66" t="s">
        <v>434</v>
      </c>
    </row>
  </sheetData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53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0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49" customWidth="1"/>
    <col min="3" max="3" width="22.69140625" style="49" customWidth="1"/>
    <col min="4" max="4" width="25.69140625" style="49" customWidth="1"/>
    <col min="5" max="5" width="44.69140625" style="49" customWidth="1"/>
    <col min="6" max="6" width="5.69140625" style="49" customWidth="1"/>
    <col min="7" max="8" width="2.69140625" style="49" customWidth="1"/>
    <col min="9" max="16384" width="9.15234375" style="49" hidden="1"/>
  </cols>
  <sheetData>
    <row r="1" spans="1:8" ht="6" customHeight="1" x14ac:dyDescent="0.4">
      <c r="A1" s="22"/>
      <c r="B1" s="22"/>
      <c r="C1" s="22"/>
      <c r="D1" s="22"/>
      <c r="E1" s="22"/>
      <c r="F1" s="22"/>
      <c r="G1" s="22"/>
      <c r="H1" s="22"/>
    </row>
    <row r="2" spans="1:8" ht="55" customHeight="1" x14ac:dyDescent="0.4">
      <c r="A2" s="2"/>
      <c r="B2" s="112" t="str">
        <f>CONCATENATE(IF(Setting!D7="","", _xlfn.CONCAT(Setting!D7, " - ")), "Add new member")</f>
        <v>Yi - Add new member</v>
      </c>
      <c r="C2" s="21"/>
      <c r="D2" s="21"/>
      <c r="E2" s="2"/>
      <c r="F2" s="2"/>
      <c r="G2" s="2"/>
      <c r="H2" s="2"/>
    </row>
    <row r="3" spans="1:8" ht="14.15" customHeight="1" x14ac:dyDescent="0.4"/>
    <row r="4" spans="1:8" ht="14.15" customHeight="1" x14ac:dyDescent="0.4">
      <c r="B4" s="3"/>
      <c r="C4" s="3"/>
      <c r="D4" s="3"/>
      <c r="E4" s="3"/>
      <c r="F4" s="3"/>
      <c r="G4" s="3"/>
    </row>
    <row r="5" spans="1:8" ht="35.15" customHeight="1" x14ac:dyDescent="0.4">
      <c r="B5" s="3"/>
      <c r="C5" s="50" t="s">
        <v>243</v>
      </c>
      <c r="D5" s="51"/>
      <c r="E5" s="52"/>
      <c r="F5" s="53"/>
      <c r="G5" s="3"/>
    </row>
    <row r="6" spans="1:8" ht="14.15" customHeight="1" x14ac:dyDescent="0.4">
      <c r="B6" s="3"/>
      <c r="C6" s="3"/>
      <c r="D6" s="3"/>
      <c r="E6" s="3"/>
      <c r="F6" s="3"/>
      <c r="G6" s="3"/>
    </row>
    <row r="7" spans="1:8" ht="35.15" customHeight="1" x14ac:dyDescent="0.4">
      <c r="B7" s="3"/>
      <c r="C7" s="3" t="s">
        <v>92</v>
      </c>
      <c r="D7" s="54" t="s">
        <v>95</v>
      </c>
      <c r="E7" s="55" t="str">
        <f>CONCATENATE(IF(E8="","", _xlfn.CONCAT(E8)), IF(E9="","", _xlfn.CONCAT(" ",E9)), IF(E14="","", _xlfn.CONCAT(" | ",E14)))</f>
        <v/>
      </c>
      <c r="F7" s="3"/>
      <c r="G7" s="3"/>
    </row>
    <row r="8" spans="1:8" ht="35.15" customHeight="1" x14ac:dyDescent="0.4">
      <c r="B8" s="3"/>
      <c r="C8" s="3"/>
      <c r="D8" s="56" t="s">
        <v>88</v>
      </c>
      <c r="E8" s="57"/>
      <c r="F8" s="58">
        <v>-1</v>
      </c>
      <c r="G8" s="3"/>
    </row>
    <row r="9" spans="1:8" ht="35.15" customHeight="1" x14ac:dyDescent="0.4">
      <c r="B9" s="3"/>
      <c r="C9" s="3"/>
      <c r="D9" s="56" t="s">
        <v>71</v>
      </c>
      <c r="E9" s="59"/>
      <c r="F9" s="60">
        <v>-1</v>
      </c>
      <c r="G9" s="3"/>
    </row>
    <row r="10" spans="1:8" ht="35.15" customHeight="1" x14ac:dyDescent="0.4">
      <c r="B10" s="3"/>
      <c r="C10" s="3"/>
      <c r="D10" s="56" t="s">
        <v>72</v>
      </c>
      <c r="E10" s="59"/>
      <c r="F10" s="60"/>
      <c r="G10" s="3"/>
    </row>
    <row r="11" spans="1:8" ht="35.15" customHeight="1" x14ac:dyDescent="0.4">
      <c r="B11" s="3"/>
      <c r="C11" s="3"/>
      <c r="D11" s="56" t="s">
        <v>186</v>
      </c>
      <c r="E11" s="61"/>
      <c r="F11" s="60"/>
      <c r="G11" s="3"/>
    </row>
    <row r="12" spans="1:8" ht="35.15" customHeight="1" x14ac:dyDescent="0.4">
      <c r="B12" s="3"/>
      <c r="C12" s="3"/>
      <c r="D12" s="56" t="s">
        <v>74</v>
      </c>
      <c r="E12" s="62"/>
      <c r="F12" s="60"/>
      <c r="G12" s="3"/>
    </row>
    <row r="13" spans="1:8" ht="15" customHeight="1" x14ac:dyDescent="0.4">
      <c r="B13" s="3"/>
      <c r="C13" s="3"/>
      <c r="D13" s="3"/>
      <c r="E13" s="3"/>
      <c r="F13" s="3"/>
      <c r="G13" s="3"/>
    </row>
    <row r="14" spans="1:8" ht="35.15" customHeight="1" x14ac:dyDescent="0.4">
      <c r="B14" s="3"/>
      <c r="C14" s="3" t="s">
        <v>93</v>
      </c>
      <c r="D14" s="56" t="s">
        <v>89</v>
      </c>
      <c r="E14" s="59"/>
      <c r="F14" s="60">
        <v>-1</v>
      </c>
      <c r="G14" s="3"/>
    </row>
    <row r="15" spans="1:8" ht="35.15" customHeight="1" x14ac:dyDescent="0.4">
      <c r="B15" s="3"/>
      <c r="C15" s="3"/>
      <c r="D15" s="56" t="s">
        <v>1</v>
      </c>
      <c r="E15" s="59"/>
      <c r="F15" s="60"/>
      <c r="G15" s="3"/>
    </row>
    <row r="16" spans="1:8" ht="35.15" customHeight="1" x14ac:dyDescent="0.4">
      <c r="B16" s="3"/>
      <c r="C16" s="3"/>
      <c r="D16" s="56" t="s">
        <v>75</v>
      </c>
      <c r="E16" s="57"/>
      <c r="F16" s="58"/>
      <c r="G16" s="3"/>
    </row>
    <row r="17" spans="2:7" ht="15" customHeight="1" x14ac:dyDescent="0.4">
      <c r="B17" s="3"/>
      <c r="C17" s="3"/>
      <c r="D17" s="3"/>
      <c r="E17" s="3"/>
      <c r="F17" s="3"/>
      <c r="G17" s="3"/>
    </row>
    <row r="18" spans="2:7" ht="35.15" customHeight="1" x14ac:dyDescent="0.4">
      <c r="B18" s="3"/>
      <c r="C18" s="3"/>
      <c r="D18" s="63" t="s">
        <v>90</v>
      </c>
      <c r="E18" s="57"/>
      <c r="F18" s="58"/>
      <c r="G18" s="3"/>
    </row>
    <row r="19" spans="2:7" ht="15" customHeight="1" x14ac:dyDescent="0.4">
      <c r="B19" s="3"/>
      <c r="C19" s="3"/>
      <c r="D19" s="3"/>
      <c r="E19" s="3"/>
      <c r="F19" s="3"/>
      <c r="G19" s="3"/>
    </row>
    <row r="20" spans="2:7" ht="35.15" customHeight="1" x14ac:dyDescent="0.4">
      <c r="B20" s="3"/>
      <c r="C20" s="3" t="s">
        <v>245</v>
      </c>
      <c r="D20" s="63" t="s">
        <v>91</v>
      </c>
      <c r="E20" s="59" t="s">
        <v>87</v>
      </c>
      <c r="F20" s="60">
        <v>1</v>
      </c>
      <c r="G20" s="3"/>
    </row>
    <row r="21" spans="2:7" ht="14.15" customHeight="1" x14ac:dyDescent="0.4">
      <c r="B21" s="3"/>
      <c r="C21" s="3"/>
      <c r="D21" s="3"/>
      <c r="E21" s="3"/>
      <c r="F21" s="3"/>
      <c r="G21" s="3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43" customWidth="1"/>
    <col min="4" max="4" width="16.69140625" style="30" customWidth="1"/>
    <col min="5" max="6" width="16.69140625" style="30" hidden="1" customWidth="1"/>
    <col min="7" max="7" width="16.69140625" style="30" customWidth="1"/>
    <col min="8" max="123" width="16.69140625" style="30" hidden="1" customWidth="1"/>
    <col min="124" max="124" width="12.69140625" style="44" customWidth="1"/>
    <col min="125" max="125" width="14.69140625" style="45" customWidth="1"/>
    <col min="126" max="126" width="12.69140625" style="18" customWidth="1"/>
    <col min="127" max="127" width="24.69140625" style="46" hidden="1" customWidth="1"/>
    <col min="128" max="128" width="12.69140625" style="18" hidden="1" customWidth="1"/>
    <col min="129" max="129" width="20.69140625" style="46" customWidth="1"/>
    <col min="130" max="130" width="28.69140625" style="46" hidden="1" customWidth="1"/>
    <col min="131" max="131" width="44.69140625" style="46" hidden="1" customWidth="1"/>
    <col min="132" max="132" width="22.69140625" style="19" customWidth="1"/>
    <col min="133" max="133" width="14.69140625" style="18" customWidth="1"/>
    <col min="134" max="134" width="22.69140625" style="47" customWidth="1"/>
    <col min="135" max="135" width="14.69140625" style="30" customWidth="1"/>
    <col min="136" max="137" width="14.69140625" style="48" customWidth="1"/>
    <col min="138" max="138" width="14.69140625" style="114" customWidth="1"/>
    <col min="139" max="139" width="2.69140625" style="8" customWidth="1"/>
    <col min="140" max="16384" width="9.15234375" style="8" hidden="1"/>
  </cols>
  <sheetData>
    <row r="1" spans="1:138" s="25" customFormat="1" ht="6" customHeight="1" x14ac:dyDescent="0.4">
      <c r="A1" s="22"/>
      <c r="B1" s="22"/>
      <c r="C1" s="22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3"/>
      <c r="BX1" s="23"/>
      <c r="BY1" s="23"/>
      <c r="BZ1" s="23"/>
      <c r="CA1" s="23"/>
      <c r="CB1" s="23"/>
      <c r="CC1" s="23"/>
      <c r="CD1" s="23"/>
      <c r="CE1" s="23"/>
      <c r="CF1" s="23"/>
      <c r="CG1" s="23"/>
      <c r="CH1" s="23"/>
      <c r="CI1" s="23"/>
      <c r="CJ1" s="23"/>
      <c r="CK1" s="23"/>
      <c r="CL1" s="23"/>
      <c r="CM1" s="23"/>
      <c r="CN1" s="23"/>
      <c r="CO1" s="23"/>
      <c r="CP1" s="23"/>
      <c r="CQ1" s="23"/>
      <c r="CR1" s="23"/>
      <c r="CS1" s="23"/>
      <c r="CT1" s="23"/>
      <c r="CU1" s="23"/>
      <c r="CV1" s="23"/>
      <c r="CW1" s="23"/>
      <c r="CX1" s="23"/>
      <c r="CY1" s="23"/>
      <c r="CZ1" s="23"/>
      <c r="DA1" s="23"/>
      <c r="DB1" s="23"/>
      <c r="DC1" s="23"/>
      <c r="DD1" s="23"/>
      <c r="DE1" s="23"/>
      <c r="DF1" s="23"/>
      <c r="DG1" s="23"/>
      <c r="DH1" s="23"/>
      <c r="DI1" s="23"/>
      <c r="DJ1" s="23"/>
      <c r="DK1" s="23"/>
      <c r="DL1" s="23"/>
      <c r="DM1" s="23"/>
      <c r="DN1" s="23"/>
      <c r="DO1" s="23"/>
      <c r="DP1" s="23"/>
      <c r="DQ1" s="23"/>
      <c r="DR1" s="23"/>
      <c r="DS1" s="23"/>
      <c r="DT1" s="22"/>
      <c r="DU1" s="22"/>
      <c r="DV1" s="22"/>
      <c r="DW1" s="22"/>
      <c r="DX1" s="22"/>
      <c r="DY1" s="22"/>
      <c r="DZ1" s="22"/>
      <c r="EA1" s="22"/>
      <c r="EB1" s="22"/>
      <c r="EC1" s="22"/>
      <c r="ED1" s="22"/>
      <c r="EE1" s="22"/>
      <c r="EF1" s="24"/>
      <c r="EG1" s="24"/>
    </row>
    <row r="2" spans="1:138" s="29" customFormat="1" ht="55" customHeight="1" x14ac:dyDescent="0.4">
      <c r="A2" s="2"/>
      <c r="B2" s="112" t="str">
        <f>CONCATENATE(IF(Setting!D7="","",_xlfn.CONCAT(Setting!D7," - ")),"Memberdetails")</f>
        <v>Yi - Memberdetails</v>
      </c>
      <c r="C2" s="2"/>
      <c r="D2" s="26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8"/>
      <c r="EG2" s="28"/>
    </row>
    <row r="3" spans="1:138" ht="8.15" customHeight="1" x14ac:dyDescent="0.4">
      <c r="C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1"/>
      <c r="EF3" s="31"/>
      <c r="EG3" s="31"/>
      <c r="EH3" s="8"/>
    </row>
    <row r="4" spans="1:138" s="3" customFormat="1" ht="40" customHeight="1" x14ac:dyDescent="0.4">
      <c r="C4" s="32"/>
      <c r="D4" s="5" t="str">
        <f>_xlfn.CONCAT(Setting!F11)</f>
        <v>1</v>
      </c>
      <c r="E4" s="5" t="str">
        <f>_xlfn.CONCAT(Setting!F11," - History record")</f>
        <v>1 - History record</v>
      </c>
      <c r="F4" s="5"/>
      <c r="G4" s="6" t="str">
        <f>_xlfn.CONCAT(Setting!F12)</f>
        <v>2</v>
      </c>
      <c r="H4" s="6" t="str">
        <f>_xlfn.CONCAT(Setting!F12," - History record")</f>
        <v>2 - History record</v>
      </c>
      <c r="I4" s="6"/>
      <c r="J4" s="5" t="str">
        <f>_xlfn.CONCAT(Setting!F13)</f>
        <v/>
      </c>
      <c r="K4" s="5" t="str">
        <f>_xlfn.CONCAT(Setting!F13," - History record")</f>
        <v xml:space="preserve"> - History record</v>
      </c>
      <c r="L4" s="5"/>
      <c r="M4" s="6" t="str">
        <f>_xlfn.CONCAT(Setting!F14)</f>
        <v/>
      </c>
      <c r="N4" s="6" t="str">
        <f>_xlfn.CONCAT(Setting!F14," - History record")</f>
        <v xml:space="preserve"> - History record</v>
      </c>
      <c r="O4" s="6"/>
      <c r="P4" s="5" t="str">
        <f>_xlfn.CONCAT(Setting!F15)</f>
        <v/>
      </c>
      <c r="Q4" s="5" t="str">
        <f>_xlfn.CONCAT(Setting!F15," - History record")</f>
        <v xml:space="preserve"> - History record</v>
      </c>
      <c r="R4" s="5"/>
      <c r="S4" s="6" t="str">
        <f>_xlfn.CONCAT(Setting!F16)</f>
        <v/>
      </c>
      <c r="T4" s="6" t="str">
        <f>_xlfn.CONCAT(Setting!F16," - History record")</f>
        <v xml:space="preserve"> - History record</v>
      </c>
      <c r="U4" s="6"/>
      <c r="V4" s="5" t="str">
        <f>_xlfn.CONCAT(Setting!F17)</f>
        <v/>
      </c>
      <c r="W4" s="5" t="str">
        <f>_xlfn.CONCAT(Setting!F17," - History record")</f>
        <v xml:space="preserve"> - History record</v>
      </c>
      <c r="X4" s="5"/>
      <c r="Y4" s="6" t="str">
        <f>_xlfn.CONCAT(Setting!F18)</f>
        <v/>
      </c>
      <c r="Z4" s="6" t="str">
        <f>_xlfn.CONCAT(Setting!F18," - History record")</f>
        <v xml:space="preserve"> - History record</v>
      </c>
      <c r="AA4" s="6"/>
      <c r="AB4" s="5" t="str">
        <f>_xlfn.CONCAT(Setting!F19)</f>
        <v/>
      </c>
      <c r="AC4" s="5" t="str">
        <f>_xlfn.CONCAT(Setting!F19," - History record")</f>
        <v xml:space="preserve"> - History record</v>
      </c>
      <c r="AD4" s="5"/>
      <c r="AE4" s="6" t="str">
        <f>_xlfn.CONCAT(Setting!F20)</f>
        <v/>
      </c>
      <c r="AF4" s="6" t="str">
        <f>_xlfn.CONCAT(Setting!F20," - History record")</f>
        <v xml:space="preserve"> - History record</v>
      </c>
      <c r="AG4" s="6"/>
      <c r="AH4" s="5" t="str">
        <f>_xlfn.CONCAT(Setting!F21)</f>
        <v/>
      </c>
      <c r="AI4" s="5" t="str">
        <f>_xlfn.CONCAT(Setting!F21," - History record")</f>
        <v xml:space="preserve"> - History record</v>
      </c>
      <c r="AJ4" s="5"/>
      <c r="AK4" s="6" t="str">
        <f>_xlfn.CONCAT(Setting!F22)</f>
        <v/>
      </c>
      <c r="AL4" s="6" t="str">
        <f>_xlfn.CONCAT(Setting!F22," - History record")</f>
        <v xml:space="preserve"> - History record</v>
      </c>
      <c r="AM4" s="6"/>
      <c r="AN4" s="5" t="str">
        <f>_xlfn.CONCAT(Setting!F23)</f>
        <v/>
      </c>
      <c r="AO4" s="5" t="str">
        <f>_xlfn.CONCAT(Setting!F23," - History record")</f>
        <v xml:space="preserve"> - History record</v>
      </c>
      <c r="AP4" s="5"/>
      <c r="AQ4" s="6" t="str">
        <f>_xlfn.CONCAT(Setting!F24)</f>
        <v/>
      </c>
      <c r="AR4" s="6" t="str">
        <f>_xlfn.CONCAT(Setting!F24," - History record")</f>
        <v xml:space="preserve"> - History record</v>
      </c>
      <c r="AS4" s="6"/>
      <c r="AT4" s="5" t="str">
        <f>_xlfn.CONCAT(Setting!F25)</f>
        <v/>
      </c>
      <c r="AU4" s="5" t="str">
        <f>_xlfn.CONCAT(Setting!F25," - History record")</f>
        <v xml:space="preserve"> - History record</v>
      </c>
      <c r="AV4" s="5"/>
      <c r="AW4" s="6" t="str">
        <f>_xlfn.CONCAT(Setting!F26)</f>
        <v/>
      </c>
      <c r="AX4" s="6" t="str">
        <f>_xlfn.CONCAT(Setting!F26," - History record")</f>
        <v xml:space="preserve"> - History record</v>
      </c>
      <c r="AY4" s="6"/>
      <c r="AZ4" s="5" t="str">
        <f>_xlfn.CONCAT(Setting!F27)</f>
        <v/>
      </c>
      <c r="BA4" s="5" t="str">
        <f>_xlfn.CONCAT(Setting!F27," - History record")</f>
        <v xml:space="preserve"> - History record</v>
      </c>
      <c r="BB4" s="5"/>
      <c r="BC4" s="6" t="str">
        <f>_xlfn.CONCAT(Setting!F28)</f>
        <v/>
      </c>
      <c r="BD4" s="6" t="str">
        <f>_xlfn.CONCAT(Setting!F28," - History record")</f>
        <v xml:space="preserve"> - History record</v>
      </c>
      <c r="BE4" s="6"/>
      <c r="BF4" s="5" t="str">
        <f>_xlfn.CONCAT(Setting!F29)</f>
        <v/>
      </c>
      <c r="BG4" s="5" t="str">
        <f>_xlfn.CONCAT(Setting!F29," - History record")</f>
        <v xml:space="preserve"> - History record</v>
      </c>
      <c r="BH4" s="5"/>
      <c r="BI4" s="6" t="str">
        <f>_xlfn.CONCAT(Setting!F30)</f>
        <v/>
      </c>
      <c r="BJ4" s="6" t="str">
        <f>_xlfn.CONCAT(Setting!F30," - History record")</f>
        <v xml:space="preserve"> - History record</v>
      </c>
      <c r="BK4" s="6"/>
      <c r="BL4" s="33" t="str">
        <f>_xlfn.CONCAT(Setting!F31)</f>
        <v/>
      </c>
      <c r="BM4" s="33" t="str">
        <f>_xlfn.CONCAT(Setting!F31," - History record")</f>
        <v xml:space="preserve"> - History record</v>
      </c>
      <c r="BN4" s="33"/>
      <c r="BO4" s="6" t="str">
        <f>_xlfn.CONCAT(Setting!F32)</f>
        <v/>
      </c>
      <c r="BP4" s="6" t="str">
        <f>_xlfn.CONCAT(Setting!F32," - History record")</f>
        <v xml:space="preserve"> - History record</v>
      </c>
      <c r="BQ4" s="6"/>
      <c r="BR4" s="33" t="str">
        <f>_xlfn.CONCAT(Setting!F33)</f>
        <v/>
      </c>
      <c r="BS4" s="33" t="str">
        <f>_xlfn.CONCAT(Setting!F33," - History record")</f>
        <v xml:space="preserve"> - History record</v>
      </c>
      <c r="BT4" s="33"/>
      <c r="BU4" s="6" t="str">
        <f>_xlfn.CONCAT(Setting!F34)</f>
        <v/>
      </c>
      <c r="BV4" s="6" t="str">
        <f>_xlfn.CONCAT(Setting!F34," - History record")</f>
        <v xml:space="preserve"> - History record</v>
      </c>
      <c r="BW4" s="6"/>
      <c r="BX4" s="33" t="str">
        <f>_xlfn.CONCAT(Setting!F35)</f>
        <v/>
      </c>
      <c r="BY4" s="33" t="str">
        <f>_xlfn.CONCAT(Setting!F35," - History record")</f>
        <v xml:space="preserve"> - History record</v>
      </c>
      <c r="BZ4" s="33"/>
      <c r="CA4" s="6" t="str">
        <f>_xlfn.CONCAT(Setting!F36)</f>
        <v/>
      </c>
      <c r="CB4" s="6" t="str">
        <f>_xlfn.CONCAT(Setting!F36," - History record")</f>
        <v xml:space="preserve"> - History record</v>
      </c>
      <c r="CC4" s="6"/>
      <c r="CD4" s="33" t="str">
        <f>_xlfn.CONCAT(Setting!F37)</f>
        <v/>
      </c>
      <c r="CE4" s="33" t="str">
        <f>_xlfn.CONCAT(Setting!F37," - History record")</f>
        <v xml:space="preserve"> - History record</v>
      </c>
      <c r="CF4" s="33"/>
      <c r="CG4" s="6" t="str">
        <f>_xlfn.CONCAT(Setting!F38)</f>
        <v/>
      </c>
      <c r="CH4" s="6" t="str">
        <f>_xlfn.CONCAT(Setting!F38," - History record")</f>
        <v xml:space="preserve"> - History record</v>
      </c>
      <c r="CI4" s="6"/>
      <c r="CJ4" s="33" t="str">
        <f>_xlfn.CONCAT(Setting!F39)</f>
        <v/>
      </c>
      <c r="CK4" s="33" t="str">
        <f>_xlfn.CONCAT(Setting!F39," - History record")</f>
        <v xml:space="preserve"> - History record</v>
      </c>
      <c r="CL4" s="33"/>
      <c r="CM4" s="6" t="str">
        <f>_xlfn.CONCAT(Setting!F40)</f>
        <v/>
      </c>
      <c r="CN4" s="6" t="str">
        <f>_xlfn.CONCAT(Setting!F40," - History record")</f>
        <v xml:space="preserve"> - History record</v>
      </c>
      <c r="CO4" s="6"/>
      <c r="CP4" s="33" t="str">
        <f>_xlfn.CONCAT(Setting!F41)</f>
        <v/>
      </c>
      <c r="CQ4" s="33" t="str">
        <f>_xlfn.CONCAT(Setting!F41," - History record")</f>
        <v xml:space="preserve"> - History record</v>
      </c>
      <c r="CR4" s="33"/>
      <c r="CS4" s="6" t="str">
        <f>_xlfn.CONCAT(Setting!F42)</f>
        <v/>
      </c>
      <c r="CT4" s="6" t="str">
        <f>_xlfn.CONCAT(Setting!F42," - History record")</f>
        <v xml:space="preserve"> - History record</v>
      </c>
      <c r="CU4" s="6"/>
      <c r="CV4" s="33" t="str">
        <f>_xlfn.CONCAT(Setting!F43)</f>
        <v/>
      </c>
      <c r="CW4" s="33" t="str">
        <f>_xlfn.CONCAT(Setting!F43," - History record")</f>
        <v xml:space="preserve"> - History record</v>
      </c>
      <c r="CX4" s="33"/>
      <c r="CY4" s="6" t="str">
        <f>_xlfn.CONCAT(Setting!F44)</f>
        <v/>
      </c>
      <c r="CZ4" s="6" t="str">
        <f>_xlfn.CONCAT(Setting!F44," - History record")</f>
        <v xml:space="preserve"> - History record</v>
      </c>
      <c r="DA4" s="6"/>
      <c r="DB4" s="33" t="str">
        <f>_xlfn.CONCAT(Setting!F45)</f>
        <v/>
      </c>
      <c r="DC4" s="33" t="str">
        <f>_xlfn.CONCAT(Setting!F45," - History record")</f>
        <v xml:space="preserve"> - History record</v>
      </c>
      <c r="DD4" s="33"/>
      <c r="DE4" s="6" t="str">
        <f>_xlfn.CONCAT(Setting!F46)</f>
        <v/>
      </c>
      <c r="DF4" s="6" t="str">
        <f>_xlfn.CONCAT(Setting!F46," - History record")</f>
        <v xml:space="preserve"> - History record</v>
      </c>
      <c r="DG4" s="6"/>
      <c r="DH4" s="33" t="str">
        <f>_xlfn.CONCAT(Setting!F47)</f>
        <v/>
      </c>
      <c r="DI4" s="33" t="str">
        <f>_xlfn.CONCAT(Setting!F47," - History record")</f>
        <v xml:space="preserve"> - History record</v>
      </c>
      <c r="DJ4" s="33"/>
      <c r="DK4" s="6" t="str">
        <f>_xlfn.CONCAT(Setting!F48)</f>
        <v/>
      </c>
      <c r="DL4" s="6" t="str">
        <f>_xlfn.CONCAT(Setting!F48," - History record")</f>
        <v xml:space="preserve"> - History record</v>
      </c>
      <c r="DM4" s="6"/>
      <c r="DN4" s="33" t="str">
        <f>_xlfn.CONCAT(Setting!F49)</f>
        <v/>
      </c>
      <c r="DO4" s="33" t="str">
        <f>_xlfn.CONCAT(Setting!F49," - History record")</f>
        <v xml:space="preserve"> - History record</v>
      </c>
      <c r="DP4" s="33"/>
      <c r="DQ4" s="6" t="str">
        <f>_xlfn.CONCAT(Setting!F50)</f>
        <v/>
      </c>
      <c r="DR4" s="6" t="str">
        <f>_xlfn.CONCAT(Setting!F50," - History record")</f>
        <v xml:space="preserve"> - History record</v>
      </c>
      <c r="DS4" s="6"/>
      <c r="DT4" s="117" t="s">
        <v>183</v>
      </c>
      <c r="DU4" s="117"/>
      <c r="DV4" s="117"/>
      <c r="DW4" s="117"/>
      <c r="DX4" s="117"/>
      <c r="DY4" s="117" t="s">
        <v>184</v>
      </c>
      <c r="DZ4" s="117"/>
      <c r="EA4" s="117"/>
      <c r="EB4" s="117" t="s">
        <v>185</v>
      </c>
      <c r="EC4" s="117"/>
      <c r="ED4" s="34" t="s">
        <v>415</v>
      </c>
      <c r="EE4" s="118" t="s">
        <v>260</v>
      </c>
      <c r="EF4" s="118"/>
      <c r="EG4" s="118"/>
      <c r="EH4" s="7" t="s">
        <v>422</v>
      </c>
    </row>
    <row r="5" spans="1:138" s="3" customFormat="1" ht="8.15" customHeight="1" x14ac:dyDescent="0.4"/>
    <row r="6" spans="1:138" s="3" customFormat="1" ht="40" customHeight="1" x14ac:dyDescent="0.4">
      <c r="B6" s="9" t="s">
        <v>100</v>
      </c>
      <c r="C6" s="9" t="s">
        <v>95</v>
      </c>
      <c r="D6" s="9" t="s">
        <v>202</v>
      </c>
      <c r="E6" s="9" t="s">
        <v>101</v>
      </c>
      <c r="F6" s="9" t="s">
        <v>102</v>
      </c>
      <c r="G6" s="9" t="s">
        <v>203</v>
      </c>
      <c r="H6" s="9" t="s">
        <v>103</v>
      </c>
      <c r="I6" s="9" t="s">
        <v>104</v>
      </c>
      <c r="J6" s="9" t="s">
        <v>204</v>
      </c>
      <c r="K6" s="9" t="s">
        <v>105</v>
      </c>
      <c r="L6" s="9" t="s">
        <v>106</v>
      </c>
      <c r="M6" s="9" t="s">
        <v>205</v>
      </c>
      <c r="N6" s="9" t="s">
        <v>107</v>
      </c>
      <c r="O6" s="9" t="s">
        <v>108</v>
      </c>
      <c r="P6" s="9" t="s">
        <v>206</v>
      </c>
      <c r="Q6" s="9" t="s">
        <v>109</v>
      </c>
      <c r="R6" s="9" t="s">
        <v>110</v>
      </c>
      <c r="S6" s="9" t="s">
        <v>207</v>
      </c>
      <c r="T6" s="9" t="s">
        <v>111</v>
      </c>
      <c r="U6" s="9" t="s">
        <v>112</v>
      </c>
      <c r="V6" s="9" t="s">
        <v>208</v>
      </c>
      <c r="W6" s="9" t="s">
        <v>113</v>
      </c>
      <c r="X6" s="9" t="s">
        <v>114</v>
      </c>
      <c r="Y6" s="9" t="s">
        <v>209</v>
      </c>
      <c r="Z6" s="9" t="s">
        <v>115</v>
      </c>
      <c r="AA6" s="9" t="s">
        <v>116</v>
      </c>
      <c r="AB6" s="9" t="s">
        <v>210</v>
      </c>
      <c r="AC6" s="9" t="s">
        <v>117</v>
      </c>
      <c r="AD6" s="9" t="s">
        <v>118</v>
      </c>
      <c r="AE6" s="9" t="s">
        <v>211</v>
      </c>
      <c r="AF6" s="9" t="s">
        <v>119</v>
      </c>
      <c r="AG6" s="9" t="s">
        <v>120</v>
      </c>
      <c r="AH6" s="9" t="s">
        <v>212</v>
      </c>
      <c r="AI6" s="9" t="s">
        <v>121</v>
      </c>
      <c r="AJ6" s="9" t="s">
        <v>122</v>
      </c>
      <c r="AK6" s="9" t="s">
        <v>213</v>
      </c>
      <c r="AL6" s="9" t="s">
        <v>123</v>
      </c>
      <c r="AM6" s="9" t="s">
        <v>124</v>
      </c>
      <c r="AN6" s="9" t="s">
        <v>214</v>
      </c>
      <c r="AO6" s="9" t="s">
        <v>125</v>
      </c>
      <c r="AP6" s="9" t="s">
        <v>126</v>
      </c>
      <c r="AQ6" s="9" t="s">
        <v>215</v>
      </c>
      <c r="AR6" s="9" t="s">
        <v>127</v>
      </c>
      <c r="AS6" s="9" t="s">
        <v>128</v>
      </c>
      <c r="AT6" s="9" t="s">
        <v>216</v>
      </c>
      <c r="AU6" s="9" t="s">
        <v>129</v>
      </c>
      <c r="AV6" s="9" t="s">
        <v>130</v>
      </c>
      <c r="AW6" s="9" t="s">
        <v>217</v>
      </c>
      <c r="AX6" s="9" t="s">
        <v>131</v>
      </c>
      <c r="AY6" s="9" t="s">
        <v>132</v>
      </c>
      <c r="AZ6" s="9" t="s">
        <v>218</v>
      </c>
      <c r="BA6" s="9" t="s">
        <v>133</v>
      </c>
      <c r="BB6" s="9" t="s">
        <v>134</v>
      </c>
      <c r="BC6" s="9" t="s">
        <v>219</v>
      </c>
      <c r="BD6" s="9" t="s">
        <v>135</v>
      </c>
      <c r="BE6" s="9" t="s">
        <v>136</v>
      </c>
      <c r="BF6" s="9" t="s">
        <v>220</v>
      </c>
      <c r="BG6" s="9" t="s">
        <v>137</v>
      </c>
      <c r="BH6" s="9" t="s">
        <v>138</v>
      </c>
      <c r="BI6" s="9" t="s">
        <v>221</v>
      </c>
      <c r="BJ6" s="9" t="s">
        <v>139</v>
      </c>
      <c r="BK6" s="9" t="s">
        <v>140</v>
      </c>
      <c r="BL6" s="9" t="s">
        <v>222</v>
      </c>
      <c r="BM6" s="9" t="s">
        <v>141</v>
      </c>
      <c r="BN6" s="9" t="s">
        <v>142</v>
      </c>
      <c r="BO6" s="9" t="s">
        <v>223</v>
      </c>
      <c r="BP6" s="9" t="s">
        <v>143</v>
      </c>
      <c r="BQ6" s="9" t="s">
        <v>144</v>
      </c>
      <c r="BR6" s="9" t="s">
        <v>224</v>
      </c>
      <c r="BS6" s="9" t="s">
        <v>145</v>
      </c>
      <c r="BT6" s="9" t="s">
        <v>146</v>
      </c>
      <c r="BU6" s="9" t="s">
        <v>225</v>
      </c>
      <c r="BV6" s="9" t="s">
        <v>147</v>
      </c>
      <c r="BW6" s="9" t="s">
        <v>148</v>
      </c>
      <c r="BX6" s="9" t="s">
        <v>226</v>
      </c>
      <c r="BY6" s="9" t="s">
        <v>149</v>
      </c>
      <c r="BZ6" s="9" t="s">
        <v>150</v>
      </c>
      <c r="CA6" s="9" t="s">
        <v>227</v>
      </c>
      <c r="CB6" s="9" t="s">
        <v>151</v>
      </c>
      <c r="CC6" s="9" t="s">
        <v>152</v>
      </c>
      <c r="CD6" s="9" t="s">
        <v>153</v>
      </c>
      <c r="CE6" s="9" t="s">
        <v>154</v>
      </c>
      <c r="CF6" s="9" t="s">
        <v>155</v>
      </c>
      <c r="CG6" s="9" t="s">
        <v>228</v>
      </c>
      <c r="CH6" s="9" t="s">
        <v>156</v>
      </c>
      <c r="CI6" s="9" t="s">
        <v>157</v>
      </c>
      <c r="CJ6" s="9" t="s">
        <v>229</v>
      </c>
      <c r="CK6" s="9" t="s">
        <v>158</v>
      </c>
      <c r="CL6" s="9" t="s">
        <v>159</v>
      </c>
      <c r="CM6" s="9" t="s">
        <v>230</v>
      </c>
      <c r="CN6" s="9" t="s">
        <v>160</v>
      </c>
      <c r="CO6" s="9" t="s">
        <v>161</v>
      </c>
      <c r="CP6" s="9" t="s">
        <v>231</v>
      </c>
      <c r="CQ6" s="9" t="s">
        <v>162</v>
      </c>
      <c r="CR6" s="9" t="s">
        <v>163</v>
      </c>
      <c r="CS6" s="9" t="s">
        <v>232</v>
      </c>
      <c r="CT6" s="9" t="s">
        <v>164</v>
      </c>
      <c r="CU6" s="9" t="s">
        <v>165</v>
      </c>
      <c r="CV6" s="9" t="s">
        <v>233</v>
      </c>
      <c r="CW6" s="9" t="s">
        <v>166</v>
      </c>
      <c r="CX6" s="9" t="s">
        <v>167</v>
      </c>
      <c r="CY6" s="9" t="s">
        <v>234</v>
      </c>
      <c r="CZ6" s="9" t="s">
        <v>168</v>
      </c>
      <c r="DA6" s="9" t="s">
        <v>169</v>
      </c>
      <c r="DB6" s="9" t="s">
        <v>235</v>
      </c>
      <c r="DC6" s="9" t="s">
        <v>170</v>
      </c>
      <c r="DD6" s="9" t="s">
        <v>171</v>
      </c>
      <c r="DE6" s="9" t="s">
        <v>236</v>
      </c>
      <c r="DF6" s="9" t="s">
        <v>172</v>
      </c>
      <c r="DG6" s="9" t="s">
        <v>173</v>
      </c>
      <c r="DH6" s="9" t="s">
        <v>174</v>
      </c>
      <c r="DI6" s="9" t="s">
        <v>175</v>
      </c>
      <c r="DJ6" s="9" t="s">
        <v>176</v>
      </c>
      <c r="DK6" s="9" t="s">
        <v>237</v>
      </c>
      <c r="DL6" s="9" t="s">
        <v>177</v>
      </c>
      <c r="DM6" s="9" t="s">
        <v>178</v>
      </c>
      <c r="DN6" s="9" t="s">
        <v>238</v>
      </c>
      <c r="DO6" s="9" t="s">
        <v>179</v>
      </c>
      <c r="DP6" s="9" t="s">
        <v>180</v>
      </c>
      <c r="DQ6" s="9" t="s">
        <v>239</v>
      </c>
      <c r="DR6" s="9" t="s">
        <v>181</v>
      </c>
      <c r="DS6" s="9" t="s">
        <v>182</v>
      </c>
      <c r="DT6" s="9" t="s">
        <v>88</v>
      </c>
      <c r="DU6" s="9" t="s">
        <v>71</v>
      </c>
      <c r="DV6" s="9" t="s">
        <v>72</v>
      </c>
      <c r="DW6" s="9" t="s">
        <v>186</v>
      </c>
      <c r="DX6" s="9" t="s">
        <v>74</v>
      </c>
      <c r="DY6" s="9" t="s">
        <v>89</v>
      </c>
      <c r="DZ6" s="9" t="s">
        <v>1</v>
      </c>
      <c r="EA6" s="9" t="s">
        <v>75</v>
      </c>
      <c r="EB6" s="35" t="s">
        <v>187</v>
      </c>
      <c r="EC6" s="9" t="s">
        <v>91</v>
      </c>
      <c r="ED6" s="9" t="s">
        <v>90</v>
      </c>
      <c r="EE6" s="36" t="s">
        <v>264</v>
      </c>
      <c r="EF6" s="36" t="s">
        <v>265</v>
      </c>
      <c r="EG6" s="36" t="s">
        <v>263</v>
      </c>
      <c r="EH6" s="9" t="s">
        <v>420</v>
      </c>
    </row>
    <row r="7" spans="1:138" ht="40" customHeight="1" x14ac:dyDescent="0.4">
      <c r="B7" s="10" cm="1">
        <f t="array" ref="B7">SN</f>
        <v>1</v>
      </c>
      <c r="C7" s="37" t="str" cm="1">
        <f t="array" ref="C7">GUID</f>
        <v>Feng Yi | 9955</v>
      </c>
      <c r="D7" s="38" cm="1">
        <f t="array" ref="D7">Get_1_Calc</f>
        <v>0</v>
      </c>
      <c r="E7" s="38" cm="1">
        <f t="array" ref="E7">Get_1_Add</f>
        <v>0</v>
      </c>
      <c r="F7" s="38" cm="1">
        <f t="array" ref="F7">Get_1_Del</f>
        <v>0</v>
      </c>
      <c r="G7" s="38" cm="1">
        <f t="array" ref="G7">Get_2_Calc</f>
        <v>0</v>
      </c>
      <c r="H7" s="38" cm="1">
        <f t="array" ref="H7">Get_2_Add</f>
        <v>0</v>
      </c>
      <c r="I7" s="38" cm="1">
        <f t="array" ref="I7">Get_2_Del</f>
        <v>0</v>
      </c>
      <c r="J7" s="38" cm="1">
        <f t="array" ref="J7">Get_3_Calc</f>
        <v>0</v>
      </c>
      <c r="K7" s="38" cm="1">
        <f t="array" ref="K7">Get_3_Add</f>
        <v>0</v>
      </c>
      <c r="L7" s="38" cm="1">
        <f t="array" ref="L7">Get_3_Del</f>
        <v>0</v>
      </c>
      <c r="M7" s="38" cm="1">
        <f t="array" ref="M7">Get_4_Calc</f>
        <v>0</v>
      </c>
      <c r="N7" s="38" cm="1">
        <f t="array" ref="N7">Get_4_Add</f>
        <v>0</v>
      </c>
      <c r="O7" s="38" cm="1">
        <f t="array" ref="O7">Get_4_Del</f>
        <v>0</v>
      </c>
      <c r="P7" s="38" cm="1">
        <f t="array" ref="P7">Get_5_Calc</f>
        <v>0</v>
      </c>
      <c r="Q7" s="38" cm="1">
        <f t="array" ref="Q7">Get_5_Add</f>
        <v>0</v>
      </c>
      <c r="R7" s="38" cm="1">
        <f t="array" ref="R7">Get_5_Del</f>
        <v>0</v>
      </c>
      <c r="S7" s="38" cm="1">
        <f t="array" ref="S7">Get_6_Calc</f>
        <v>0</v>
      </c>
      <c r="T7" s="38" cm="1">
        <f t="array" ref="T7">Get_6_Add</f>
        <v>0</v>
      </c>
      <c r="U7" s="38" cm="1">
        <f t="array" ref="U7">Get_6_Del</f>
        <v>0</v>
      </c>
      <c r="V7" s="38" cm="1">
        <f t="array" ref="V7">Get_7_Calc</f>
        <v>0</v>
      </c>
      <c r="W7" s="38" cm="1">
        <f t="array" ref="W7">Get_7_Add</f>
        <v>0</v>
      </c>
      <c r="X7" s="38" cm="1">
        <f t="array" ref="X7">Get_7_Del</f>
        <v>0</v>
      </c>
      <c r="Y7" s="38" cm="1">
        <f t="array" ref="Y7">Get_8_Calc</f>
        <v>0</v>
      </c>
      <c r="Z7" s="38" cm="1">
        <f t="array" ref="Z7">Get_8_Add</f>
        <v>0</v>
      </c>
      <c r="AA7" s="38" cm="1">
        <f t="array" ref="AA7">Get_8_Del</f>
        <v>0</v>
      </c>
      <c r="AB7" s="38" cm="1">
        <f t="array" ref="AB7">Get_9_Calc</f>
        <v>0</v>
      </c>
      <c r="AC7" s="38" cm="1">
        <f t="array" ref="AC7">Get_9_Add</f>
        <v>0</v>
      </c>
      <c r="AD7" s="38" cm="1">
        <f t="array" ref="AD7">Get_9_Del</f>
        <v>0</v>
      </c>
      <c r="AE7" s="38" cm="1">
        <f t="array" ref="AE7">Get_10_Calc</f>
        <v>0</v>
      </c>
      <c r="AF7" s="38" cm="1">
        <f t="array" ref="AF7">Get_10_Add</f>
        <v>0</v>
      </c>
      <c r="AG7" s="38" cm="1">
        <f t="array" ref="AG7">Get_10_Del</f>
        <v>0</v>
      </c>
      <c r="AH7" s="38" cm="1">
        <f t="array" ref="AH7">Get_11_Calc</f>
        <v>0</v>
      </c>
      <c r="AI7" s="38" cm="1">
        <f t="array" ref="AI7">Get_11_Add</f>
        <v>0</v>
      </c>
      <c r="AJ7" s="38" cm="1">
        <f t="array" ref="AJ7">Get_11_Del</f>
        <v>0</v>
      </c>
      <c r="AK7" s="38" cm="1">
        <f t="array" ref="AK7">Get_12_Calc</f>
        <v>0</v>
      </c>
      <c r="AL7" s="38" cm="1">
        <f t="array" ref="AL7">Get_12_Add</f>
        <v>0</v>
      </c>
      <c r="AM7" s="38" cm="1">
        <f t="array" ref="AM7">Get_12_Del</f>
        <v>0</v>
      </c>
      <c r="AN7" s="38" cm="1">
        <f t="array" ref="AN7">Get_13_Calc</f>
        <v>0</v>
      </c>
      <c r="AO7" s="38" cm="1">
        <f t="array" ref="AO7">Get_13_Add</f>
        <v>0</v>
      </c>
      <c r="AP7" s="38" cm="1">
        <f t="array" ref="AP7">Get_13_Del</f>
        <v>0</v>
      </c>
      <c r="AQ7" s="38" cm="1">
        <f t="array" ref="AQ7">Get_14_Calc</f>
        <v>0</v>
      </c>
      <c r="AR7" s="38" cm="1">
        <f t="array" ref="AR7">Get_14_Add</f>
        <v>0</v>
      </c>
      <c r="AS7" s="38" cm="1">
        <f t="array" ref="AS7">Get_14_Del</f>
        <v>0</v>
      </c>
      <c r="AT7" s="38" cm="1">
        <f t="array" ref="AT7">Get_15_Calc</f>
        <v>0</v>
      </c>
      <c r="AU7" s="38" cm="1">
        <f t="array" ref="AU7">Get_15_Add</f>
        <v>0</v>
      </c>
      <c r="AV7" s="38" cm="1">
        <f t="array" ref="AV7">Get_15_Del</f>
        <v>0</v>
      </c>
      <c r="AW7" s="38" cm="1">
        <f t="array" ref="AW7">Get_16_Calc</f>
        <v>0</v>
      </c>
      <c r="AX7" s="38" cm="1">
        <f t="array" ref="AX7">Get_16_Add</f>
        <v>0</v>
      </c>
      <c r="AY7" s="38" cm="1">
        <f t="array" ref="AY7">Get_16_Del</f>
        <v>0</v>
      </c>
      <c r="AZ7" s="38" cm="1">
        <f t="array" ref="AZ7">Get_17_Calc</f>
        <v>0</v>
      </c>
      <c r="BA7" s="38" cm="1">
        <f t="array" ref="BA7">Get_17_Add</f>
        <v>0</v>
      </c>
      <c r="BB7" s="38" cm="1">
        <f t="array" ref="BB7">Get_17_Del</f>
        <v>0</v>
      </c>
      <c r="BC7" s="38" cm="1">
        <f t="array" ref="BC7">Get_18_Calc</f>
        <v>0</v>
      </c>
      <c r="BD7" s="38" cm="1">
        <f t="array" ref="BD7">Get_18_Add</f>
        <v>0</v>
      </c>
      <c r="BE7" s="38" cm="1">
        <f t="array" ref="BE7">Get_18_Del</f>
        <v>0</v>
      </c>
      <c r="BF7" s="38" cm="1">
        <f t="array" ref="BF7">Get_19_Calc</f>
        <v>0</v>
      </c>
      <c r="BG7" s="38" cm="1">
        <f t="array" ref="BG7">Get_19_Add</f>
        <v>0</v>
      </c>
      <c r="BH7" s="38" cm="1">
        <f t="array" ref="BH7">Get_19_Del</f>
        <v>0</v>
      </c>
      <c r="BI7" s="38" cm="1">
        <f t="array" ref="BI7">Get_20_Calc</f>
        <v>0</v>
      </c>
      <c r="BJ7" s="38" cm="1">
        <f t="array" ref="BJ7">Get_20_Add</f>
        <v>0</v>
      </c>
      <c r="BK7" s="38" cm="1">
        <f t="array" ref="BK7">Get_20_Del</f>
        <v>0</v>
      </c>
      <c r="BL7" s="38" cm="1">
        <f t="array" ref="BL7">Get_21_Calc</f>
        <v>0</v>
      </c>
      <c r="BM7" s="38" cm="1">
        <f t="array" ref="BM7">Get_21_Add</f>
        <v>0</v>
      </c>
      <c r="BN7" s="38" cm="1">
        <f t="array" ref="BN7">Get_21_Del</f>
        <v>0</v>
      </c>
      <c r="BO7" s="38" cm="1">
        <f t="array" ref="BO7">Get_22_Calc</f>
        <v>0</v>
      </c>
      <c r="BP7" s="38" cm="1">
        <f t="array" ref="BP7">Get_22_Add</f>
        <v>0</v>
      </c>
      <c r="BQ7" s="38" cm="1">
        <f t="array" ref="BQ7">Get_22_Del</f>
        <v>0</v>
      </c>
      <c r="BR7" s="38" cm="1">
        <f t="array" ref="BR7">Get_23_Calc</f>
        <v>0</v>
      </c>
      <c r="BS7" s="38" cm="1">
        <f t="array" ref="BS7">Get_23_Add</f>
        <v>0</v>
      </c>
      <c r="BT7" s="38" cm="1">
        <f t="array" ref="BT7">Get_23_Del</f>
        <v>0</v>
      </c>
      <c r="BU7" s="38" cm="1">
        <f t="array" ref="BU7">Get_24_Calc</f>
        <v>0</v>
      </c>
      <c r="BV7" s="38" cm="1">
        <f t="array" ref="BV7">Get_24_Add</f>
        <v>0</v>
      </c>
      <c r="BW7" s="38" cm="1">
        <f t="array" ref="BW7">Get_24_Del</f>
        <v>0</v>
      </c>
      <c r="BX7" s="38" cm="1">
        <f t="array" ref="BX7">Get_25_Calc</f>
        <v>0</v>
      </c>
      <c r="BY7" s="38" cm="1">
        <f t="array" ref="BY7">Get_25_Add</f>
        <v>0</v>
      </c>
      <c r="BZ7" s="38" cm="1">
        <f t="array" ref="BZ7">Get_25_Del</f>
        <v>0</v>
      </c>
      <c r="CA7" s="38" cm="1">
        <f t="array" ref="CA7">Get_26_Calc</f>
        <v>0</v>
      </c>
      <c r="CB7" s="38" cm="1">
        <f t="array" ref="CB7">Get_26_Add</f>
        <v>0</v>
      </c>
      <c r="CC7" s="38" cm="1">
        <f t="array" ref="CC7">Get_26_Del</f>
        <v>0</v>
      </c>
      <c r="CD7" s="38" cm="1">
        <f t="array" ref="CD7">Get_27_Calc</f>
        <v>0</v>
      </c>
      <c r="CE7" s="38" cm="1">
        <f t="array" ref="CE7">Get_27_Add</f>
        <v>0</v>
      </c>
      <c r="CF7" s="38" cm="1">
        <f t="array" ref="CF7">Get_27_Del</f>
        <v>0</v>
      </c>
      <c r="CG7" s="38" cm="1">
        <f t="array" ref="CG7">Get_28_Calc</f>
        <v>0</v>
      </c>
      <c r="CH7" s="38" cm="1">
        <f t="array" ref="CH7">Get_28_Add</f>
        <v>0</v>
      </c>
      <c r="CI7" s="38" cm="1">
        <f t="array" ref="CI7">Get_28_Del</f>
        <v>0</v>
      </c>
      <c r="CJ7" s="38" cm="1">
        <f t="array" ref="CJ7">Get_29_Calc</f>
        <v>0</v>
      </c>
      <c r="CK7" s="38" cm="1">
        <f t="array" ref="CK7">Get_29_Add</f>
        <v>0</v>
      </c>
      <c r="CL7" s="38" cm="1">
        <f t="array" ref="CL7">Get_29_Del</f>
        <v>0</v>
      </c>
      <c r="CM7" s="38" cm="1">
        <f t="array" ref="CM7">Get_30_Calc</f>
        <v>0</v>
      </c>
      <c r="CN7" s="38" cm="1">
        <f t="array" ref="CN7">Get_30_Add</f>
        <v>0</v>
      </c>
      <c r="CO7" s="38" cm="1">
        <f t="array" ref="CO7">Get_30_Del</f>
        <v>0</v>
      </c>
      <c r="CP7" s="38" cm="1">
        <f t="array" ref="CP7">Get_31_Calc</f>
        <v>0</v>
      </c>
      <c r="CQ7" s="38" cm="1">
        <f t="array" ref="CQ7">Get_31_Add</f>
        <v>0</v>
      </c>
      <c r="CR7" s="38" cm="1">
        <f t="array" ref="CR7">Get_31_Del</f>
        <v>0</v>
      </c>
      <c r="CS7" s="38" cm="1">
        <f t="array" ref="CS7">Get_32_Calc</f>
        <v>0</v>
      </c>
      <c r="CT7" s="38" cm="1">
        <f t="array" ref="CT7">Get_32_Add</f>
        <v>0</v>
      </c>
      <c r="CU7" s="38" cm="1">
        <f t="array" ref="CU7">Get_32_Del</f>
        <v>0</v>
      </c>
      <c r="CV7" s="38" cm="1">
        <f t="array" ref="CV7">Get_33_Calc</f>
        <v>0</v>
      </c>
      <c r="CW7" s="38" cm="1">
        <f t="array" ref="CW7">Get_33_Add</f>
        <v>0</v>
      </c>
      <c r="CX7" s="38" cm="1">
        <f t="array" ref="CX7">Get_33_Del</f>
        <v>0</v>
      </c>
      <c r="CY7" s="38" cm="1">
        <f t="array" ref="CY7">Get_34_Calc</f>
        <v>0</v>
      </c>
      <c r="CZ7" s="38" cm="1">
        <f t="array" ref="CZ7">Get_34_Add</f>
        <v>0</v>
      </c>
      <c r="DA7" s="38" cm="1">
        <f t="array" ref="DA7">Get_34_Del</f>
        <v>0</v>
      </c>
      <c r="DB7" s="38" cm="1">
        <f t="array" ref="DB7">Get_35_Calc</f>
        <v>0</v>
      </c>
      <c r="DC7" s="38" cm="1">
        <f t="array" ref="DC7">Get_35_Add</f>
        <v>0</v>
      </c>
      <c r="DD7" s="38" cm="1">
        <f t="array" ref="DD7">Get_35_Del</f>
        <v>0</v>
      </c>
      <c r="DE7" s="38" cm="1">
        <f t="array" ref="DE7">Get_36_Calc</f>
        <v>0</v>
      </c>
      <c r="DF7" s="38" cm="1">
        <f t="array" ref="DF7">Get_36_Add</f>
        <v>0</v>
      </c>
      <c r="DG7" s="38" cm="1">
        <f t="array" ref="DG7">Get_36_Del</f>
        <v>0</v>
      </c>
      <c r="DH7" s="38" cm="1">
        <f t="array" ref="DH7">Get_37_Calc</f>
        <v>0</v>
      </c>
      <c r="DI7" s="38" cm="1">
        <f t="array" ref="DI7">Get_37_Add</f>
        <v>0</v>
      </c>
      <c r="DJ7" s="38" cm="1">
        <f t="array" ref="DJ7">Get_37_Del</f>
        <v>0</v>
      </c>
      <c r="DK7" s="38" cm="1">
        <f t="array" ref="DK7">Get_38_Calc</f>
        <v>0</v>
      </c>
      <c r="DL7" s="38" cm="1">
        <f t="array" ref="DL7">Get_38_Add</f>
        <v>0</v>
      </c>
      <c r="DM7" s="38" cm="1">
        <f t="array" ref="DM7">Get_38_Del</f>
        <v>0</v>
      </c>
      <c r="DN7" s="38" cm="1">
        <f t="array" ref="DN7">Get_39_Calc</f>
        <v>0</v>
      </c>
      <c r="DO7" s="38" cm="1">
        <f t="array" ref="DO7">Get_39_Add</f>
        <v>0</v>
      </c>
      <c r="DP7" s="38" cm="1">
        <f t="array" ref="DP7">Get_39_Del</f>
        <v>0</v>
      </c>
      <c r="DQ7" s="38" cm="1">
        <f t="array" ref="DQ7">Get_40_Calc</f>
        <v>0</v>
      </c>
      <c r="DR7" s="38" cm="1">
        <f t="array" ref="DR7">Get_40_Add</f>
        <v>0</v>
      </c>
      <c r="DS7" s="38" cm="1">
        <f t="array" ref="DS7">Get_40_Del</f>
        <v>0</v>
      </c>
      <c r="DT7" s="39" t="s">
        <v>199</v>
      </c>
      <c r="DU7" s="40" t="s">
        <v>0</v>
      </c>
      <c r="DV7" s="41" t="s">
        <v>193</v>
      </c>
      <c r="DW7" s="41"/>
      <c r="DX7" s="13"/>
      <c r="DY7" s="41" t="s">
        <v>46</v>
      </c>
      <c r="DZ7" s="41" t="s">
        <v>44</v>
      </c>
      <c r="EA7" s="41"/>
      <c r="EB7" s="14"/>
      <c r="EC7" s="13" t="s">
        <v>87</v>
      </c>
      <c r="ED7" s="42" t="s">
        <v>470</v>
      </c>
      <c r="EE7" s="38" cm="1">
        <f t="array" ref="EE7">History_Total</f>
        <v>1</v>
      </c>
      <c r="EF7" s="38" cm="1">
        <f t="array" ref="EF7">History_Saved</f>
        <v>1</v>
      </c>
      <c r="EG7" s="38" cm="1">
        <f t="array" ref="EG7">History_Withdraw</f>
        <v>0</v>
      </c>
      <c r="EH7" s="81" t="s">
        <v>434</v>
      </c>
    </row>
    <row r="8" spans="1:138" ht="40" customHeight="1" x14ac:dyDescent="0.4">
      <c r="B8" s="10" cm="1">
        <f t="array" ref="B8">SN</f>
        <v>2</v>
      </c>
      <c r="C8" s="37" t="str" cm="1">
        <f t="array" ref="C8">GUID</f>
        <v>Li Yi | 7551</v>
      </c>
      <c r="D8" s="38" cm="1">
        <f t="array" ref="D8">Get_1_Calc</f>
        <v>0</v>
      </c>
      <c r="E8" s="38" cm="1">
        <f t="array" ref="E8">Get_1_Add</f>
        <v>0</v>
      </c>
      <c r="F8" s="38" cm="1">
        <f t="array" ref="F8">Get_1_Del</f>
        <v>0</v>
      </c>
      <c r="G8" s="38" cm="1">
        <f t="array" ref="G8">Get_2_Calc</f>
        <v>0</v>
      </c>
      <c r="H8" s="38" cm="1">
        <f t="array" ref="H8">Get_2_Add</f>
        <v>0</v>
      </c>
      <c r="I8" s="38" cm="1">
        <f t="array" ref="I8">Get_2_Del</f>
        <v>0</v>
      </c>
      <c r="J8" s="38" cm="1">
        <f t="array" ref="J8">Get_3_Calc</f>
        <v>0</v>
      </c>
      <c r="K8" s="38" cm="1">
        <f t="array" ref="K8">Get_3_Add</f>
        <v>0</v>
      </c>
      <c r="L8" s="38" cm="1">
        <f t="array" ref="L8">Get_3_Del</f>
        <v>0</v>
      </c>
      <c r="M8" s="38" cm="1">
        <f t="array" ref="M8">Get_4_Calc</f>
        <v>0</v>
      </c>
      <c r="N8" s="38" cm="1">
        <f t="array" ref="N8">Get_4_Add</f>
        <v>0</v>
      </c>
      <c r="O8" s="38" cm="1">
        <f t="array" ref="O8">Get_4_Del</f>
        <v>0</v>
      </c>
      <c r="P8" s="38" cm="1">
        <f t="array" ref="P8">Get_5_Calc</f>
        <v>0</v>
      </c>
      <c r="Q8" s="38" cm="1">
        <f t="array" ref="Q8">Get_5_Add</f>
        <v>0</v>
      </c>
      <c r="R8" s="38" cm="1">
        <f t="array" ref="R8">Get_5_Del</f>
        <v>0</v>
      </c>
      <c r="S8" s="38" cm="1">
        <f t="array" ref="S8">Get_6_Calc</f>
        <v>0</v>
      </c>
      <c r="T8" s="38" cm="1">
        <f t="array" ref="T8">Get_6_Add</f>
        <v>0</v>
      </c>
      <c r="U8" s="38" cm="1">
        <f t="array" ref="U8">Get_6_Del</f>
        <v>0</v>
      </c>
      <c r="V8" s="38" cm="1">
        <f t="array" ref="V8">Get_7_Calc</f>
        <v>0</v>
      </c>
      <c r="W8" s="38" cm="1">
        <f t="array" ref="W8">Get_7_Add</f>
        <v>0</v>
      </c>
      <c r="X8" s="38" cm="1">
        <f t="array" ref="X8">Get_7_Del</f>
        <v>0</v>
      </c>
      <c r="Y8" s="38" cm="1">
        <f t="array" ref="Y8">Get_8_Calc</f>
        <v>0</v>
      </c>
      <c r="Z8" s="38" cm="1">
        <f t="array" ref="Z8">Get_8_Add</f>
        <v>0</v>
      </c>
      <c r="AA8" s="38" cm="1">
        <f t="array" ref="AA8">Get_8_Del</f>
        <v>0</v>
      </c>
      <c r="AB8" s="38" cm="1">
        <f t="array" ref="AB8">Get_9_Calc</f>
        <v>0</v>
      </c>
      <c r="AC8" s="38" cm="1">
        <f t="array" ref="AC8">Get_9_Add</f>
        <v>0</v>
      </c>
      <c r="AD8" s="38" cm="1">
        <f t="array" ref="AD8">Get_9_Del</f>
        <v>0</v>
      </c>
      <c r="AE8" s="38" cm="1">
        <f t="array" ref="AE8">Get_10_Calc</f>
        <v>0</v>
      </c>
      <c r="AF8" s="38" cm="1">
        <f t="array" ref="AF8">Get_10_Add</f>
        <v>0</v>
      </c>
      <c r="AG8" s="38" cm="1">
        <f t="array" ref="AG8">Get_10_Del</f>
        <v>0</v>
      </c>
      <c r="AH8" s="38" cm="1">
        <f t="array" ref="AH8">Get_11_Calc</f>
        <v>0</v>
      </c>
      <c r="AI8" s="38" cm="1">
        <f t="array" ref="AI8">Get_11_Add</f>
        <v>0</v>
      </c>
      <c r="AJ8" s="38" cm="1">
        <f t="array" ref="AJ8">Get_11_Del</f>
        <v>0</v>
      </c>
      <c r="AK8" s="38" cm="1">
        <f t="array" ref="AK8">Get_12_Calc</f>
        <v>0</v>
      </c>
      <c r="AL8" s="38" cm="1">
        <f t="array" ref="AL8">Get_12_Add</f>
        <v>0</v>
      </c>
      <c r="AM8" s="38" cm="1">
        <f t="array" ref="AM8">Get_12_Del</f>
        <v>0</v>
      </c>
      <c r="AN8" s="38" cm="1">
        <f t="array" ref="AN8">Get_13_Calc</f>
        <v>0</v>
      </c>
      <c r="AO8" s="38" cm="1">
        <f t="array" ref="AO8">Get_13_Add</f>
        <v>0</v>
      </c>
      <c r="AP8" s="38" cm="1">
        <f t="array" ref="AP8">Get_13_Del</f>
        <v>0</v>
      </c>
      <c r="AQ8" s="38" cm="1">
        <f t="array" ref="AQ8">Get_14_Calc</f>
        <v>0</v>
      </c>
      <c r="AR8" s="38" cm="1">
        <f t="array" ref="AR8">Get_14_Add</f>
        <v>0</v>
      </c>
      <c r="AS8" s="38" cm="1">
        <f t="array" ref="AS8">Get_14_Del</f>
        <v>0</v>
      </c>
      <c r="AT8" s="38" cm="1">
        <f t="array" ref="AT8">Get_15_Calc</f>
        <v>0</v>
      </c>
      <c r="AU8" s="38" cm="1">
        <f t="array" ref="AU8">Get_15_Add</f>
        <v>0</v>
      </c>
      <c r="AV8" s="38" cm="1">
        <f t="array" ref="AV8">Get_15_Del</f>
        <v>0</v>
      </c>
      <c r="AW8" s="38" cm="1">
        <f t="array" ref="AW8">Get_16_Calc</f>
        <v>0</v>
      </c>
      <c r="AX8" s="38" cm="1">
        <f t="array" ref="AX8">Get_16_Add</f>
        <v>0</v>
      </c>
      <c r="AY8" s="38" cm="1">
        <f t="array" ref="AY8">Get_16_Del</f>
        <v>0</v>
      </c>
      <c r="AZ8" s="38" cm="1">
        <f t="array" ref="AZ8">Get_17_Calc</f>
        <v>0</v>
      </c>
      <c r="BA8" s="38" cm="1">
        <f t="array" ref="BA8">Get_17_Add</f>
        <v>0</v>
      </c>
      <c r="BB8" s="38" cm="1">
        <f t="array" ref="BB8">Get_17_Del</f>
        <v>0</v>
      </c>
      <c r="BC8" s="38" cm="1">
        <f t="array" ref="BC8">Get_18_Calc</f>
        <v>0</v>
      </c>
      <c r="BD8" s="38" cm="1">
        <f t="array" ref="BD8">Get_18_Add</f>
        <v>0</v>
      </c>
      <c r="BE8" s="38" cm="1">
        <f t="array" ref="BE8">Get_18_Del</f>
        <v>0</v>
      </c>
      <c r="BF8" s="38" cm="1">
        <f t="array" ref="BF8">Get_19_Calc</f>
        <v>0</v>
      </c>
      <c r="BG8" s="38" cm="1">
        <f t="array" ref="BG8">Get_19_Add</f>
        <v>0</v>
      </c>
      <c r="BH8" s="38" cm="1">
        <f t="array" ref="BH8">Get_19_Del</f>
        <v>0</v>
      </c>
      <c r="BI8" s="38" cm="1">
        <f t="array" ref="BI8">Get_20_Calc</f>
        <v>0</v>
      </c>
      <c r="BJ8" s="38" cm="1">
        <f t="array" ref="BJ8">Get_20_Add</f>
        <v>0</v>
      </c>
      <c r="BK8" s="38" cm="1">
        <f t="array" ref="BK8">Get_20_Del</f>
        <v>0</v>
      </c>
      <c r="BL8" s="38" cm="1">
        <f t="array" ref="BL8">Get_21_Calc</f>
        <v>0</v>
      </c>
      <c r="BM8" s="38" cm="1">
        <f t="array" ref="BM8">Get_21_Add</f>
        <v>0</v>
      </c>
      <c r="BN8" s="38" cm="1">
        <f t="array" ref="BN8">Get_21_Del</f>
        <v>0</v>
      </c>
      <c r="BO8" s="38" cm="1">
        <f t="array" ref="BO8">Get_22_Calc</f>
        <v>0</v>
      </c>
      <c r="BP8" s="38" cm="1">
        <f t="array" ref="BP8">Get_22_Add</f>
        <v>0</v>
      </c>
      <c r="BQ8" s="38" cm="1">
        <f t="array" ref="BQ8">Get_22_Del</f>
        <v>0</v>
      </c>
      <c r="BR8" s="38" cm="1">
        <f t="array" ref="BR8">Get_23_Calc</f>
        <v>0</v>
      </c>
      <c r="BS8" s="38" cm="1">
        <f t="array" ref="BS8">Get_23_Add</f>
        <v>0</v>
      </c>
      <c r="BT8" s="38" cm="1">
        <f t="array" ref="BT8">Get_23_Del</f>
        <v>0</v>
      </c>
      <c r="BU8" s="38" cm="1">
        <f t="array" ref="BU8">Get_24_Calc</f>
        <v>0</v>
      </c>
      <c r="BV8" s="38" cm="1">
        <f t="array" ref="BV8">Get_24_Add</f>
        <v>0</v>
      </c>
      <c r="BW8" s="38" cm="1">
        <f t="array" ref="BW8">Get_24_Del</f>
        <v>0</v>
      </c>
      <c r="BX8" s="38" cm="1">
        <f t="array" ref="BX8">Get_25_Calc</f>
        <v>0</v>
      </c>
      <c r="BY8" s="38" cm="1">
        <f t="array" ref="BY8">Get_25_Add</f>
        <v>0</v>
      </c>
      <c r="BZ8" s="38" cm="1">
        <f t="array" ref="BZ8">Get_25_Del</f>
        <v>0</v>
      </c>
      <c r="CA8" s="38" cm="1">
        <f t="array" ref="CA8">Get_26_Calc</f>
        <v>0</v>
      </c>
      <c r="CB8" s="38" cm="1">
        <f t="array" ref="CB8">Get_26_Add</f>
        <v>0</v>
      </c>
      <c r="CC8" s="38" cm="1">
        <f t="array" ref="CC8">Get_26_Del</f>
        <v>0</v>
      </c>
      <c r="CD8" s="38" cm="1">
        <f t="array" ref="CD8">Get_27_Calc</f>
        <v>0</v>
      </c>
      <c r="CE8" s="38" cm="1">
        <f t="array" ref="CE8">Get_27_Add</f>
        <v>0</v>
      </c>
      <c r="CF8" s="38" cm="1">
        <f t="array" ref="CF8">Get_27_Del</f>
        <v>0</v>
      </c>
      <c r="CG8" s="38" cm="1">
        <f t="array" ref="CG8">Get_28_Calc</f>
        <v>0</v>
      </c>
      <c r="CH8" s="38" cm="1">
        <f t="array" ref="CH8">Get_28_Add</f>
        <v>0</v>
      </c>
      <c r="CI8" s="38" cm="1">
        <f t="array" ref="CI8">Get_28_Del</f>
        <v>0</v>
      </c>
      <c r="CJ8" s="38" cm="1">
        <f t="array" ref="CJ8">Get_29_Calc</f>
        <v>0</v>
      </c>
      <c r="CK8" s="38" cm="1">
        <f t="array" ref="CK8">Get_29_Add</f>
        <v>0</v>
      </c>
      <c r="CL8" s="38" cm="1">
        <f t="array" ref="CL8">Get_29_Del</f>
        <v>0</v>
      </c>
      <c r="CM8" s="38" cm="1">
        <f t="array" ref="CM8">Get_30_Calc</f>
        <v>0</v>
      </c>
      <c r="CN8" s="38" cm="1">
        <f t="array" ref="CN8">Get_30_Add</f>
        <v>0</v>
      </c>
      <c r="CO8" s="38" cm="1">
        <f t="array" ref="CO8">Get_30_Del</f>
        <v>0</v>
      </c>
      <c r="CP8" s="38" cm="1">
        <f t="array" ref="CP8">Get_31_Calc</f>
        <v>0</v>
      </c>
      <c r="CQ8" s="38" cm="1">
        <f t="array" ref="CQ8">Get_31_Add</f>
        <v>0</v>
      </c>
      <c r="CR8" s="38" cm="1">
        <f t="array" ref="CR8">Get_31_Del</f>
        <v>0</v>
      </c>
      <c r="CS8" s="38" cm="1">
        <f t="array" ref="CS8">Get_32_Calc</f>
        <v>0</v>
      </c>
      <c r="CT8" s="38" cm="1">
        <f t="array" ref="CT8">Get_32_Add</f>
        <v>0</v>
      </c>
      <c r="CU8" s="38" cm="1">
        <f t="array" ref="CU8">Get_32_Del</f>
        <v>0</v>
      </c>
      <c r="CV8" s="38" cm="1">
        <f t="array" ref="CV8">Get_33_Calc</f>
        <v>0</v>
      </c>
      <c r="CW8" s="38" cm="1">
        <f t="array" ref="CW8">Get_33_Add</f>
        <v>0</v>
      </c>
      <c r="CX8" s="38" cm="1">
        <f t="array" ref="CX8">Get_33_Del</f>
        <v>0</v>
      </c>
      <c r="CY8" s="38" cm="1">
        <f t="array" ref="CY8">Get_34_Calc</f>
        <v>0</v>
      </c>
      <c r="CZ8" s="38" cm="1">
        <f t="array" ref="CZ8">Get_34_Add</f>
        <v>0</v>
      </c>
      <c r="DA8" s="38" cm="1">
        <f t="array" ref="DA8">Get_34_Del</f>
        <v>0</v>
      </c>
      <c r="DB8" s="38" cm="1">
        <f t="array" ref="DB8">Get_35_Calc</f>
        <v>0</v>
      </c>
      <c r="DC8" s="38" cm="1">
        <f t="array" ref="DC8">Get_35_Add</f>
        <v>0</v>
      </c>
      <c r="DD8" s="38" cm="1">
        <f t="array" ref="DD8">Get_35_Del</f>
        <v>0</v>
      </c>
      <c r="DE8" s="38" cm="1">
        <f t="array" ref="DE8">Get_36_Calc</f>
        <v>0</v>
      </c>
      <c r="DF8" s="38" cm="1">
        <f t="array" ref="DF8">Get_36_Add</f>
        <v>0</v>
      </c>
      <c r="DG8" s="38" cm="1">
        <f t="array" ref="DG8">Get_36_Del</f>
        <v>0</v>
      </c>
      <c r="DH8" s="38" cm="1">
        <f t="array" ref="DH8">Get_37_Calc</f>
        <v>0</v>
      </c>
      <c r="DI8" s="38" cm="1">
        <f t="array" ref="DI8">Get_37_Add</f>
        <v>0</v>
      </c>
      <c r="DJ8" s="38" cm="1">
        <f t="array" ref="DJ8">Get_37_Del</f>
        <v>0</v>
      </c>
      <c r="DK8" s="38" cm="1">
        <f t="array" ref="DK8">Get_38_Calc</f>
        <v>0</v>
      </c>
      <c r="DL8" s="38" cm="1">
        <f t="array" ref="DL8">Get_38_Add</f>
        <v>0</v>
      </c>
      <c r="DM8" s="38" cm="1">
        <f t="array" ref="DM8">Get_38_Del</f>
        <v>0</v>
      </c>
      <c r="DN8" s="38" cm="1">
        <f t="array" ref="DN8">Get_39_Calc</f>
        <v>0</v>
      </c>
      <c r="DO8" s="38" cm="1">
        <f t="array" ref="DO8">Get_39_Add</f>
        <v>0</v>
      </c>
      <c r="DP8" s="38" cm="1">
        <f t="array" ref="DP8">Get_39_Del</f>
        <v>0</v>
      </c>
      <c r="DQ8" s="38" cm="1">
        <f t="array" ref="DQ8">Get_40_Calc</f>
        <v>0</v>
      </c>
      <c r="DR8" s="38" cm="1">
        <f t="array" ref="DR8">Get_40_Add</f>
        <v>0</v>
      </c>
      <c r="DS8" s="38" cm="1">
        <f t="array" ref="DS8">Get_40_Del</f>
        <v>0</v>
      </c>
      <c r="DT8" s="39" t="s">
        <v>200</v>
      </c>
      <c r="DU8" s="40" t="s">
        <v>0</v>
      </c>
      <c r="DV8" s="41" t="s">
        <v>194</v>
      </c>
      <c r="DW8" s="41"/>
      <c r="DX8" s="13"/>
      <c r="DY8" s="41" t="s">
        <v>47</v>
      </c>
      <c r="DZ8" s="41"/>
      <c r="EA8" s="41"/>
      <c r="EB8" s="14"/>
      <c r="EC8" s="13" t="s">
        <v>87</v>
      </c>
      <c r="ED8" s="42" t="s">
        <v>470</v>
      </c>
      <c r="EE8" s="38" cm="1">
        <f t="array" ref="EE8">History_Total</f>
        <v>1</v>
      </c>
      <c r="EF8" s="38" cm="1">
        <f t="array" ref="EF8">History_Saved</f>
        <v>1</v>
      </c>
      <c r="EG8" s="38" cm="1">
        <f t="array" ref="EG8">History_Withdraw</f>
        <v>0</v>
      </c>
      <c r="EH8" s="81" t="s">
        <v>434</v>
      </c>
    </row>
  </sheetData>
  <mergeCells count="4">
    <mergeCell ref="DY4:EA4"/>
    <mergeCell ref="EB4:EC4"/>
    <mergeCell ref="DT4:DX4"/>
    <mergeCell ref="EE4:EG4"/>
  </mergeCells>
  <phoneticPr fontId="1" type="noConversion"/>
  <conditionalFormatting sqref="DT7:ED8">
    <cfRule type="expression" dxfId="381" priority="27">
      <formula>MOD(ROW(),2)=0</formula>
    </cfRule>
    <cfRule type="expression" dxfId="380" priority="28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34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5" width="16.69140625" style="17" customWidth="1"/>
    <col min="6" max="43" width="16.69140625" style="17" hidden="1" customWidth="1"/>
    <col min="44" max="44" width="14.69140625" style="18" customWidth="1"/>
    <col min="45" max="45" width="22.69140625" style="19" customWidth="1"/>
    <col min="46" max="46" width="14.69140625" style="18" customWidth="1"/>
    <col min="47" max="47" width="22.69140625" style="20" customWidth="1"/>
    <col min="48" max="48" width="14.69140625" style="3" customWidth="1"/>
    <col min="49" max="49" width="2.69140625" style="3" customWidth="1"/>
    <col min="50" max="16384" width="9.15234375" style="3" hidden="1"/>
  </cols>
  <sheetData>
    <row r="1" spans="2:48" s="1" customFormat="1" ht="6" customHeight="1" x14ac:dyDescent="0.4"/>
    <row r="2" spans="2:48" s="2" customFormat="1" ht="55" customHeight="1" x14ac:dyDescent="0.4">
      <c r="B2" s="112" t="str">
        <f>CONCATENATE(IF(Setting!D7="","", _xlfn.CONCAT(Setting!D7, " - ")), "History record")</f>
        <v>Yi - History record</v>
      </c>
      <c r="D2" s="26"/>
    </row>
    <row r="3" spans="2:48" ht="8.15" customHeight="1" x14ac:dyDescent="0.4"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</row>
    <row r="4" spans="2:48" s="8" customFormat="1" ht="40" customHeight="1" x14ac:dyDescent="0.4">
      <c r="B4" s="3"/>
      <c r="C4" s="4"/>
      <c r="D4" s="5" t="str">
        <f>_xlfn.CONCAT(Setting!F11)</f>
        <v>1</v>
      </c>
      <c r="E4" s="6" t="str">
        <f>_xlfn.CONCAT(Setting!F12)</f>
        <v>2</v>
      </c>
      <c r="F4" s="5" t="str">
        <f>_xlfn.CONCAT(Setting!F13)</f>
        <v/>
      </c>
      <c r="G4" s="6" t="str">
        <f>_xlfn.CONCAT(Setting!F14)</f>
        <v/>
      </c>
      <c r="H4" s="5" t="str">
        <f>_xlfn.CONCAT(Setting!F15)</f>
        <v/>
      </c>
      <c r="I4" s="6" t="str">
        <f>_xlfn.CONCAT(Setting!F16)</f>
        <v/>
      </c>
      <c r="J4" s="5" t="str">
        <f>_xlfn.CONCAT(Setting!F17)</f>
        <v/>
      </c>
      <c r="K4" s="6" t="str">
        <f>_xlfn.CONCAT(Setting!F18)</f>
        <v/>
      </c>
      <c r="L4" s="5" t="str">
        <f>_xlfn.CONCAT(Setting!F19)</f>
        <v/>
      </c>
      <c r="M4" s="6" t="str">
        <f>_xlfn.CONCAT(Setting!F20)</f>
        <v/>
      </c>
      <c r="N4" s="5" t="str">
        <f>_xlfn.CONCAT(Setting!F21)</f>
        <v/>
      </c>
      <c r="O4" s="6" t="str">
        <f>_xlfn.CONCAT(Setting!F22)</f>
        <v/>
      </c>
      <c r="P4" s="5" t="str">
        <f>_xlfn.CONCAT(Setting!F23)</f>
        <v/>
      </c>
      <c r="Q4" s="6" t="str">
        <f>_xlfn.CONCAT(Setting!F24)</f>
        <v/>
      </c>
      <c r="R4" s="5" t="str">
        <f>_xlfn.CONCAT(Setting!F25)</f>
        <v/>
      </c>
      <c r="S4" s="6" t="str">
        <f>_xlfn.CONCAT(Setting!F26)</f>
        <v/>
      </c>
      <c r="T4" s="5" t="str">
        <f>_xlfn.CONCAT(Setting!F27)</f>
        <v/>
      </c>
      <c r="U4" s="6" t="str">
        <f>_xlfn.CONCAT(Setting!F28)</f>
        <v/>
      </c>
      <c r="V4" s="5" t="str">
        <f>_xlfn.CONCAT(Setting!F29)</f>
        <v/>
      </c>
      <c r="W4" s="6" t="str">
        <f>_xlfn.CONCAT(Setting!F30)</f>
        <v/>
      </c>
      <c r="X4" s="5" t="str">
        <f>_xlfn.CONCAT(Setting!F31)</f>
        <v/>
      </c>
      <c r="Y4" s="6" t="str">
        <f>_xlfn.CONCAT(Setting!F32)</f>
        <v/>
      </c>
      <c r="Z4" s="5" t="str">
        <f>_xlfn.CONCAT(Setting!F33)</f>
        <v/>
      </c>
      <c r="AA4" s="6" t="str">
        <f>_xlfn.CONCAT(Setting!F34)</f>
        <v/>
      </c>
      <c r="AB4" s="5" t="str">
        <f>_xlfn.CONCAT(Setting!F35)</f>
        <v/>
      </c>
      <c r="AC4" s="6" t="str">
        <f>_xlfn.CONCAT(Setting!F36)</f>
        <v/>
      </c>
      <c r="AD4" s="5" t="str">
        <f>_xlfn.CONCAT(Setting!F37)</f>
        <v/>
      </c>
      <c r="AE4" s="6" t="str">
        <f>_xlfn.CONCAT(Setting!F38)</f>
        <v/>
      </c>
      <c r="AF4" s="5" t="str">
        <f>_xlfn.CONCAT(Setting!F39)</f>
        <v/>
      </c>
      <c r="AG4" s="6" t="str">
        <f>_xlfn.CONCAT(Setting!F40)</f>
        <v/>
      </c>
      <c r="AH4" s="5" t="str">
        <f>_xlfn.CONCAT(Setting!F41)</f>
        <v/>
      </c>
      <c r="AI4" s="6" t="str">
        <f>_xlfn.CONCAT(Setting!F42)</f>
        <v/>
      </c>
      <c r="AJ4" s="5" t="str">
        <f>_xlfn.CONCAT(Setting!F43)</f>
        <v/>
      </c>
      <c r="AK4" s="6" t="str">
        <f>_xlfn.CONCAT(Setting!F44)</f>
        <v/>
      </c>
      <c r="AL4" s="5" t="str">
        <f>_xlfn.CONCAT(Setting!F45)</f>
        <v/>
      </c>
      <c r="AM4" s="6" t="str">
        <f>_xlfn.CONCAT(Setting!F46)</f>
        <v/>
      </c>
      <c r="AN4" s="5" t="str">
        <f>_xlfn.CONCAT(Setting!F47)</f>
        <v/>
      </c>
      <c r="AO4" s="6" t="str">
        <f>_xlfn.CONCAT(Setting!F48)</f>
        <v/>
      </c>
      <c r="AP4" s="5" t="str">
        <f>_xlfn.CONCAT(Setting!F49)</f>
        <v/>
      </c>
      <c r="AQ4" s="6" t="str">
        <f>_xlfn.CONCAT(Setting!F50)</f>
        <v/>
      </c>
      <c r="AR4" s="117" t="s">
        <v>201</v>
      </c>
      <c r="AS4" s="117"/>
      <c r="AT4" s="117"/>
      <c r="AU4" s="117"/>
      <c r="AV4" s="7" t="s">
        <v>422</v>
      </c>
    </row>
    <row r="5" spans="2:48" ht="8.15" customHeight="1" x14ac:dyDescent="0.4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</row>
    <row r="6" spans="2:48" ht="40" customHeight="1" x14ac:dyDescent="0.4">
      <c r="B6" s="9" t="s">
        <v>100</v>
      </c>
      <c r="C6" s="9" t="s">
        <v>95</v>
      </c>
      <c r="D6" s="9" t="s">
        <v>12</v>
      </c>
      <c r="E6" s="9" t="s">
        <v>13</v>
      </c>
      <c r="F6" s="9" t="s">
        <v>2</v>
      </c>
      <c r="G6" s="9" t="s">
        <v>3</v>
      </c>
      <c r="H6" s="9" t="s">
        <v>4</v>
      </c>
      <c r="I6" s="9" t="s">
        <v>5</v>
      </c>
      <c r="J6" s="9" t="s">
        <v>6</v>
      </c>
      <c r="K6" s="9" t="s">
        <v>7</v>
      </c>
      <c r="L6" s="9" t="s">
        <v>8</v>
      </c>
      <c r="M6" s="9" t="s">
        <v>10</v>
      </c>
      <c r="N6" s="9" t="s">
        <v>9</v>
      </c>
      <c r="O6" s="9" t="s">
        <v>11</v>
      </c>
      <c r="P6" s="9" t="s">
        <v>14</v>
      </c>
      <c r="Q6" s="9" t="s">
        <v>15</v>
      </c>
      <c r="R6" s="9" t="s">
        <v>16</v>
      </c>
      <c r="S6" s="9" t="s">
        <v>17</v>
      </c>
      <c r="T6" s="9" t="s">
        <v>18</v>
      </c>
      <c r="U6" s="9" t="s">
        <v>19</v>
      </c>
      <c r="V6" s="9" t="s">
        <v>20</v>
      </c>
      <c r="W6" s="9" t="s">
        <v>21</v>
      </c>
      <c r="X6" s="9" t="s">
        <v>25</v>
      </c>
      <c r="Y6" s="9" t="s">
        <v>26</v>
      </c>
      <c r="Z6" s="9" t="s">
        <v>27</v>
      </c>
      <c r="AA6" s="9" t="s">
        <v>28</v>
      </c>
      <c r="AB6" s="9" t="s">
        <v>29</v>
      </c>
      <c r="AC6" s="9" t="s">
        <v>30</v>
      </c>
      <c r="AD6" s="9" t="s">
        <v>31</v>
      </c>
      <c r="AE6" s="9" t="s">
        <v>32</v>
      </c>
      <c r="AF6" s="9" t="s">
        <v>33</v>
      </c>
      <c r="AG6" s="9" t="s">
        <v>34</v>
      </c>
      <c r="AH6" s="9" t="s">
        <v>24</v>
      </c>
      <c r="AI6" s="9" t="s">
        <v>35</v>
      </c>
      <c r="AJ6" s="9" t="s">
        <v>36</v>
      </c>
      <c r="AK6" s="9" t="s">
        <v>37</v>
      </c>
      <c r="AL6" s="9" t="s">
        <v>38</v>
      </c>
      <c r="AM6" s="9" t="s">
        <v>39</v>
      </c>
      <c r="AN6" s="9" t="s">
        <v>40</v>
      </c>
      <c r="AO6" s="9" t="s">
        <v>41</v>
      </c>
      <c r="AP6" s="9" t="s">
        <v>42</v>
      </c>
      <c r="AQ6" s="9" t="s">
        <v>43</v>
      </c>
      <c r="AR6" s="9" t="s">
        <v>96</v>
      </c>
      <c r="AS6" s="9" t="s">
        <v>99</v>
      </c>
      <c r="AT6" s="9" t="s">
        <v>91</v>
      </c>
      <c r="AU6" s="9" t="s">
        <v>90</v>
      </c>
      <c r="AV6" s="9" t="s">
        <v>420</v>
      </c>
    </row>
    <row r="7" spans="2:48" ht="40" customHeight="1" x14ac:dyDescent="0.4">
      <c r="B7" s="10" cm="1">
        <f t="array" ref="B7">SN</f>
        <v>1</v>
      </c>
      <c r="C7" s="11" t="s">
        <v>261</v>
      </c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3" t="s">
        <v>65</v>
      </c>
      <c r="AS7" s="14"/>
      <c r="AT7" s="13" t="s">
        <v>87</v>
      </c>
      <c r="AU7" s="15" t="s">
        <v>470</v>
      </c>
      <c r="AV7" s="10" t="s">
        <v>434</v>
      </c>
    </row>
    <row r="8" spans="2:48" ht="40" customHeight="1" x14ac:dyDescent="0.4">
      <c r="B8" s="10" cm="1">
        <f t="array" ref="B8">SN</f>
        <v>2</v>
      </c>
      <c r="C8" s="11" t="s">
        <v>262</v>
      </c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3" t="s">
        <v>65</v>
      </c>
      <c r="AS8" s="14"/>
      <c r="AT8" s="13" t="s">
        <v>87</v>
      </c>
      <c r="AU8" s="15" t="s">
        <v>470</v>
      </c>
      <c r="AV8" s="10" t="s">
        <v>434</v>
      </c>
    </row>
  </sheetData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51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'History record'!Print_Titles</vt:lpstr>
      <vt:lpstr>'Member details'!Print_Titles</vt:lpstr>
      <vt:lpstr>'Pick up goods from warehouse'!Print_Titles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2024-03-06T03:36:55Z</cp:lastPrinted>
  <dcterms:created xsi:type="dcterms:W3CDTF">2023-11-27T09:49:08Z</dcterms:created>
  <dcterms:modified xsi:type="dcterms:W3CDTF">2024-03-07T03:48:20Z</dcterms:modified>
</cp:coreProperties>
</file>