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9C4836A1-6A1D-45F8-B2F1-30ABEE8974D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2" i="4" l="1"/>
  <c r="D23" i="4"/>
  <c r="D24" i="4"/>
  <c r="D25" i="4"/>
  <c r="D26" i="4"/>
  <c r="D27" i="4"/>
  <c r="D28" i="4"/>
  <c r="D21" i="4"/>
  <c r="D20" i="4"/>
  <c r="D19" i="4"/>
  <c r="E7" i="4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90" i="1" l="1"/>
  <c r="D89" i="1"/>
  <c r="D88" i="1"/>
  <c r="B2" i="9" l="1"/>
  <c r="B2" i="8"/>
  <c r="B2" i="5"/>
  <c r="B2" i="6"/>
  <c r="B2" i="4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R8" i="6" l="1" a="1"/>
  <c r="ER8" i="6" s="1"/>
  <c r="EQ8" i="6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D87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Q7" i="6" a="1"/>
  <c r="EQ7" i="6" s="1"/>
  <c r="EP7" i="6" a="1"/>
  <c r="EP7" i="6" s="1"/>
  <c r="ER7" i="6" a="1"/>
  <c r="ER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<sst xmlns="http://schemas.openxmlformats.org/spreadsheetml/2006/main" count="743" uniqueCount="506">
  <si>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</si>
  <si>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</si>
  <si>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</si>
  <si>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</si>
  <si>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</si>
  <si>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</si>
  <si>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</si>
  <si>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</si>
  <si>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</si>
  <si>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</si>
  <si>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</si>
  <si>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</si>
  <si>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</si>
  <si>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</si>
  <si>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</si>
  <si>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</si>
  <si>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</si>
  <si>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</si>
  <si>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</si>
  <si>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</si>
  <si>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</si>
  <si>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</si>
  <si>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</si>
  <si>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</si>
  <si>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</si>
  <si>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</si>
  <si>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</si>
  <si>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</si>
  <si>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</si>
  <si>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</si>
  <si>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</si>
  <si>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</si>
  <si>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</si>
  <si>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</si>
  <si>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</si>
  <si>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</si>
  <si>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</si>
  <si>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</si>
  <si>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</si>
  <si>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</si>
  <si>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</si>
  <si>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</si>
  <si>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</si>
  <si>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</si>
  <si>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</si>
  <si>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</si>
  <si>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</si>
  <si>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</si>
  <si>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</si>
  <si>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</si>
  <si>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</si>
  <si>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</si>
  <si>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</si>
  <si>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</si>
  <si>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</si>
  <si>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</si>
  <si>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</si>
  <si>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</si>
  <si>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</si>
  <si>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</si>
  <si>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</si>
  <si>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</si>
  <si>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</si>
  <si>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</si>
  <si>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</si>
  <si>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</si>
  <si>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</si>
  <si>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</si>
  <si>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</si>
  <si>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</si>
  <si>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</si>
  <si>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</si>
  <si>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</si>
  <si>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</si>
  <si>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</si>
  <si>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</si>
  <si>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</si>
  <si>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</si>
  <si>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</si>
  <si>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</si>
  <si>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</si>
  <si>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</si>
  <si>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</si>
  <si>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</si>
  <si>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</si>
  <si>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</si>
  <si>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</si>
  <si>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</si>
  <si>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</si>
  <si>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</si>
  <si>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</si>
  <si>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</si>
  <si>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</si>
  <si>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</si>
  <si>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</si>
  <si>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</si>
  <si>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</si>
  <si>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</si>
  <si>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</si>
  <si>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</si>
  <si>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</si>
  <si>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</si>
  <si>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</si>
  <si>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</si>
  <si>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</si>
  <si>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</si>
  <si>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</si>
  <si>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</si>
  <si>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</si>
  <si>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</si>
  <si>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</si>
  <si>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</si>
  <si>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</si>
  <si>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</si>
  <si>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</si>
  <si>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</si>
  <si>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</si>
  <si>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</si>
  <si>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</si>
  <si>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</si>
  <si>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</si>
  <si>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</si>
  <si>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</si>
  <si>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</si>
  <si>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</si>
  <si>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</si>
  <si>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</si>
  <si>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</si>
  <si>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</si>
  <si>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</si>
  <si>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</si>
  <si>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</si>
  <si>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</si>
  <si>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</si>
  <si>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</si>
  <si>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</si>
  <si>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</si>
  <si>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</si>
  <si>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</si>
  <si>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</si>
  <si>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</si>
  <si>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</si>
  <si>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</si>
  <si>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</si>
  <si>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</si>
  <si>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</si>
  <si>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</si>
  <si>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</si>
  <si>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</si>
  <si>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</si>
  <si>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</si>
  <si>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</si>
  <si>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</si>
  <si>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</si>
  <si>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</si>
  <si>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</si>
  <si>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</si>
  <si>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</si>
  <si>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</si>
  <si>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</si>
  <si>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</si>
  <si>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</si>
  <si>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</si>
  <si>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</si>
  <si>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</si>
  <si>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</si>
  <si>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</si>
  <si>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</si>
  <si>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</si>
  <si>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</si>
  <si>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</si>
  <si>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</si>
  <si>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</si>
  <si>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</si>
  <si>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</si>
  <si>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</si>
  <si>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</si>
  <si>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</si>
  <si>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</si>
  <si>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</si>
  <si>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</si>
  <si>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</si>
  <si>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</si>
  <si>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</si>
  <si>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</si>
  <si>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</si>
  <si>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</si>
  <si>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</si>
  <si>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</si>
  <si>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</si>
  <si>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</si>
  <si>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</si>
  <si>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</si>
  <si>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</si>
  <si>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</si>
  <si>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</si>
  <si>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</si>
  <si>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</si>
  <si>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</si>
  <si>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</si>
  <si>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</si>
  <si>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</si>
  <si>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</si>
  <si>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</si>
  <si>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</si>
  <si>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</si>
  <si>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</si>
  <si>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</si>
  <si>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</si>
  <si>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</si>
  <si>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</si>
  <si>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</si>
  <si>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</si>
  <si>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</si>
  <si>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</si>
  <si>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</si>
  <si>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</si>
  <si>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</si>
  <si>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</si>
  <si>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</si>
  <si>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</si>
  <si>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</si>
  <si>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</si>
  <si>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</si>
  <si>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</si>
  <si>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</si>
  <si>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</si>
  <si>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</si>
  <si>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</si>
  <si>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</si>
  <si>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</si>
  <si>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</si>
  <si>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</si>
  <si>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</si>
  <si>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</si>
  <si>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</si>
  <si>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</si>
  <si>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</si>
  <si>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</si>
  <si>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</si>
  <si>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</si>
  <si>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</si>
  <si>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</si>
  <si>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</si>
  <si>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</si>
  <si>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</si>
  <si>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</si>
  <si>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</si>
  <si>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</si>
  <si>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</si>
  <si>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</si>
  <si>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</si>
  <si>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</si>
  <si>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</si>
  <si>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</si>
  <si>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</si>
  <si>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</si>
  <si>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</si>
  <si>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</si>
  <si>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</si>
  <si>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</si>
  <si>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</si>
  <si>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</si>
  <si>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</si>
  <si>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</si>
  <si>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</si>
  <si>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</si>
  <si>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</si>
  <si>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</si>
  <si>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</si>
  <si>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</si>
  <si>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</si>
  <si>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</si>
  <si>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</si>
  <si>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</si>
  <si>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</si>
  <si>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</si>
  <si>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</si>
  <si>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</si>
  <si>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</si>
  <si>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</si>
  <si>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</si>
  <si>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</si>
  <si>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</si>
  <si>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</si>
  <si>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</si>
  <si>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</si>
  <si>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</si>
  <si>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</si>
  <si>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</si>
  <si>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</si>
  <si>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</si>
  <si>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</si>
  <si>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</si>
  <si>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</si>
  <si>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</si>
  <si>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</si>
  <si>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</si>
  <si>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</si>
  <si>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</si>
  <si>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</si>
  <si>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</si>
  <si>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</si>
  <si>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</si>
  <si>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</si>
  <si>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</si>
  <si>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</si>
  <si>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</si>
  <si>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</si>
  <si>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</si>
  <si>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</si>
  <si>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</si>
  <si>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</si>
  <si>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</si>
  <si>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</si>
  <si>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</si>
  <si>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</si>
  <si>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</si>
  <si>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</si>
  <si>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</si>
  <si>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</si>
  <si>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</si>
  <si>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</si>
  <si>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</si>
  <si>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</si>
  <si>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</si>
  <si>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</si>
  <si>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</si>
  <si>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</si>
  <si>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</si>
  <si>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</si>
  <si>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</si>
  <si>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</si>
  <si>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</si>
  <si>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</si>
  <si>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</si>
  <si>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</si>
  <si>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</si>
  <si>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</si>
  <si>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</si>
  <si>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</si>
  <si>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</si>
  <si>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</si>
  <si>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</si>
  <si>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</si>
  <si>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</si>
  <si>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</si>
  <si>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</si>
  <si>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</si>
  <si>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</si>
  <si>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</si>
  <si>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</si>
  <si>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</si>
  <si>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</si>
  <si>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</si>
  <si>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</si>
  <si>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</si>
  <si>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</si>
  <si>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</si>
  <si>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</si>
  <si>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</si>
  <si>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</si>
  <si>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</si>
  <si>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</si>
  <si>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</si>
  <si>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</si>
  <si>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</si>
  <si>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</si>
  <si>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</si>
  <si>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</si>
  <si>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</si>
  <si>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</si>
  <si>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</si>
  <si>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</si>
  <si>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</si>
  <si>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</si>
  <si>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</si>
  <si>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</si>
  <si>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</si>
  <si>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</si>
  <si>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</si>
  <si>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</si>
  <si>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</si>
  <si>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</si>
  <si>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</si>
  <si>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</si>
  <si>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</si>
  <si>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</si>
  <si>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</si>
  <si>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</si>
  <si>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</si>
  <si>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</si>
  <si>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</si>
  <si>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</si>
  <si>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</si>
  <si>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</si>
  <si>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</si>
  <si>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</si>
  <si>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</si>
  <si>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</si>
  <si>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</si>
  <si>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</si>
  <si>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</si>
  <si>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</si>
  <si>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</si>
  <si>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</si>
  <si>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</si>
  <si>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</si>
  <si>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</si>
  <si>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</si>
  <si>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</si>
  <si>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</si>
  <si>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</si>
  <si>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</si>
  <si>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</si>
  <si>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</si>
  <si>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</si>
  <si>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</si>
  <si>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</si>
  <si>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</si>
  <si>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</si>
  <si>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</si>
  <si>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</si>
  <si>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</si>
  <si>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</si>
  <si>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</si>
  <si>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</si>
  <si>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</si>
  <si>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</si>
  <si>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</si>
  <si>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</si>
  <si>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</si>
  <si>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</si>
  <si>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</si>
  <si>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</si>
  <si>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</si>
  <si>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</si>
  <si>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</si>
  <si>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</si>
  <si>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</si>
  <si>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</si>
  <si>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</si>
  <si>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</si>
  <si>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Save to</t>
  </si>
  <si>
    <t>Backup</t>
  </si>
  <si>
    <t>Official
website</t>
  </si>
  <si>
    <t>Project
address</t>
  </si>
  <si>
    <t>Author</t>
  </si>
  <si>
    <t>Correlation
history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</si>
  <si>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</si>
  <si>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</si>
  <si>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</si>
  <si>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</si>
  <si>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</si>
  <si>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</si>
  <si>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</si>
  <si>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</si>
  <si>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</si>
  <si>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</si>
  <si>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</si>
  <si>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</si>
  <si>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</si>
  <si>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</si>
  <si>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</si>
  <si>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</si>
  <si>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</si>
  <si>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</si>
  <si>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</si>
  <si>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</si>
  <si>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</si>
  <si>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</si>
  <si>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</si>
  <si>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</si>
  <si>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</si>
  <si>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</si>
  <si>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</si>
  <si>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</si>
  <si>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</si>
  <si>
    <t>Refresh after opening a worksheet</t>
  </si>
  <si>
    <t>Automatically refresh every
1 hour</t>
  </si>
  <si>
    <t>Refresh after
leaving settings</t>
  </si>
  <si>
    <t>Status refresh
Exceed</t>
  </si>
  <si>
    <t>Automatically locked after 24 hours, marked as editable, non-editable</t>
  </si>
  <si>
    <t>Automatically locked after 24 hours, marked as editable, non-editable, partially editable</t>
  </si>
  <si>
    <t>Not set</t>
  </si>
  <si>
    <t>v4.2</t>
  </si>
  <si>
    <t>Employee</t>
  </si>
  <si>
    <t>Custom</t>
  </si>
  <si>
    <t>Custom_10</t>
  </si>
  <si>
    <t>Custom_9</t>
  </si>
  <si>
    <t>Custom_8</t>
  </si>
  <si>
    <t>Custom_7</t>
  </si>
  <si>
    <t>Custom_6</t>
  </si>
  <si>
    <t>Custom_5</t>
  </si>
  <si>
    <t>Custom_1</t>
  </si>
  <si>
    <t>Custom_2</t>
  </si>
  <si>
    <t>Custom_3</t>
  </si>
  <si>
    <t>Custom_4</t>
  </si>
  <si>
    <t>WeChat</t>
  </si>
  <si>
    <t>QQ</t>
  </si>
  <si>
    <t>TikTok</t>
  </si>
  <si>
    <t>DingTalk</t>
  </si>
  <si>
    <t>Momo</t>
  </si>
  <si>
    <t>Soul</t>
  </si>
  <si>
    <t>Weibo</t>
  </si>
  <si>
    <t>Tantan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</si>
</sst>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  <font>
      <sz val="10"/>
      <color theme="1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6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 wrapText="1"/>
    </xf>
    <xf numFmtId="0" fontId="4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17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right" vertical="center" indent="2"/>
    </xf>
    <xf numFmtId="0" fontId="3" fillId="6" borderId="0" xfId="0" applyNumberFormat="1" applyFont="1" applyFill="1" applyAlignment="1">
      <alignment horizontal="right" vertical="center" indent="2"/>
    </xf>
    <xf numFmtId="0" fontId="3" fillId="2" borderId="0" xfId="0" applyNumberFormat="1" applyFont="1" applyFill="1" applyAlignment="1" applyProtection="1">
      <alignment horizontal="right" vertical="center" wrapText="1"/>
      <protection locked="0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DF4C26"/>
      <color rgb="FFFFD966"/>
      <color rgb="FFFFC000"/>
      <color rgb="FFF8CBAD"/>
      <color rgb="FFF4B08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5" dataDxfId="42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23">
      <calculatedColumnFormula>CONCATENATE(Store_Setting[[#This Row],[Product
serial number]], IF(Store_Setting[[#This Row],[Product name]]="","", _xlfn.CONCAT(" | ",Store_Setting[[#This Row],[Product name]])))</calculatedColumnFormula>
    </tableColumn>
    <tableColumn id="1" xr3:uid="{76D80D8E-17D9-4452-B1EE-33BFE80A31E7}" name="Product_x000a_serial number" dataDxfId="422"/>
    <tableColumn id="2" xr3:uid="{C28244F3-482D-4CFC-B629-A29496B98C0B}" name="Product name" dataDxfId="421"/>
    <tableColumn id="11" xr3:uid="{71958388-9C14-426E-8457-DCEA92BC0E87}" name="Negative difference" dataDxfId="42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419">
      <calculatedColumnFormula>SUM(UserInfo[1 - Remaining])</calculatedColumnFormula>
    </tableColumn>
    <tableColumn id="7" xr3:uid="{75829BDD-5513-4744-8184-35AE3788771C}" name="Deposited" dataDxfId="418">
      <calculatedColumnFormula>SUM(UserInfo[1 - Deposit])</calculatedColumnFormula>
    </tableColumn>
    <tableColumn id="6" xr3:uid="{B71F91EB-0024-4EC1-8035-3636C31B3740}" name="Withdrawn" dataDxfId="417">
      <calculatedColumnFormula>SUM(UserInfo[1 - Withdrawal])</calculatedColumnFormula>
    </tableColumn>
    <tableColumn id="5" xr3:uid="{6E4E3255-2204-43C6-A50C-EEAF08580A14}" name="Negative_x000a_inventory_x000a_balance" dataDxfId="41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41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41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413"/>
    <tableColumn id="3" xr3:uid="{0F7FF887-858D-4FF9-BA62-095ABFE4C76D}" name="Hide withdrawals" dataDxfId="412"/>
    <tableColumn id="13" xr3:uid="{89FF378B-8527-4831-9678-F319360512CA}" name="MemberScope" dataDxfId="411"/>
    <tableColumn id="14" xr3:uid="{E1F64A09-7F12-4309-9B35-6F58E3592CA9}" name="MemberSave" dataDxfId="410"/>
    <tableColumn id="15" xr3:uid="{13DB9E96-169F-4C16-8BFD-D459CAA74FD9}" name="MemberEject" dataDxfId="409"/>
    <tableColumn id="16" xr3:uid="{C4DDD6BF-EA0E-4A1E-9CF3-8B2C1DE07BE2}" name="HostoryScope" dataDxfId="40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5" dataDxfId="40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Employee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401" dataDxfId="400" totalsRowDxfId="399">
  <autoFilter ref="B6:ES8" xr:uid="{ADAB6017-62AE-4ECA-A153-D815FED82043}"/>
  <tableColumns count="148">
    <tableColumn id="1" xr3:uid="{69B39378-5DEE-4683-8063-2D1E5E369E67}" name="SN" totalsRowLabel="Total" dataDxfId="398" totalsRowDxfId="397">
      <calculatedColumnFormula array="1">SN</calculatedColumnFormula>
    </tableColumn>
    <tableColumn id="5" xr3:uid="{35BA10B8-A444-4F80-8F55-6146540C5A57}" name="Unique identifier" dataDxfId="396" totalsRowDxfId="395">
      <calculatedColumnFormula array="1">GUID</calculatedColumnFormula>
    </tableColumn>
    <tableColumn id="6" xr3:uid="{8A3791BE-D142-4B77-980F-0E769FF1CE0E}" name="1 - Remaining" dataDxfId="394">
      <calculatedColumnFormula array="1">Get_1_Calc</calculatedColumnFormula>
    </tableColumn>
    <tableColumn id="8" xr3:uid="{E45E7682-0361-46D3-BF20-AF1E07C3D65B}" name="1 - Deposit" dataDxfId="393" totalsRowDxfId="392">
      <calculatedColumnFormula array="1">Get_1_Add</calculatedColumnFormula>
    </tableColumn>
    <tableColumn id="9" xr3:uid="{FE45F0F1-8F7A-4A14-B0E4-3EC60A580E37}" name="1 - Withdrawal" dataDxfId="391" totalsRowDxfId="390">
      <calculatedColumnFormula array="1">Get_1_Del</calculatedColumnFormula>
    </tableColumn>
    <tableColumn id="7" xr3:uid="{B53043EA-8EAF-48CD-A1C4-F1751A029F72}" name="2 - Remaining" dataDxfId="389" totalsRowDxfId="388">
      <calculatedColumnFormula array="1">Get_2_Calc</calculatedColumnFormula>
    </tableColumn>
    <tableColumn id="10" xr3:uid="{95260041-5347-400B-AAEF-EE609D2539A1}" name="2 - Deposit" dataDxfId="387" totalsRowDxfId="386">
      <calculatedColumnFormula array="1">Get_2_Add</calculatedColumnFormula>
    </tableColumn>
    <tableColumn id="11" xr3:uid="{33755691-0EB3-40CE-9B73-E91F8C102760}" name="2 - Withdrawal" dataDxfId="385" totalsRowDxfId="384">
      <calculatedColumnFormula array="1">Get_2_Del</calculatedColumnFormula>
    </tableColumn>
    <tableColumn id="32" xr3:uid="{EC5EB628-FB36-43AE-A347-41E9ACE5D72E}" name="3 - Remaining" dataDxfId="383" totalsRowDxfId="382">
      <calculatedColumnFormula array="1">Get_3_Calc</calculatedColumnFormula>
    </tableColumn>
    <tableColumn id="33" xr3:uid="{43A56C01-D775-4C69-87D1-225F1941DB58}" name="3 - Deposit" dataDxfId="381" totalsRowDxfId="380">
      <calculatedColumnFormula array="1">Get_3_Add</calculatedColumnFormula>
    </tableColumn>
    <tableColumn id="30" xr3:uid="{E3875226-6AB9-4F4B-91BF-CC71FCEAF551}" name="3 - Withdrawal" dataDxfId="379" totalsRowDxfId="378">
      <calculatedColumnFormula array="1">Get_3_Del</calculatedColumnFormula>
    </tableColumn>
    <tableColumn id="31" xr3:uid="{B62D1E0D-5AB3-4BE3-8BC6-8442FF019A25}" name="4 - Remaining" dataDxfId="377" totalsRowDxfId="376">
      <calculatedColumnFormula array="1">Get_4_Calc</calculatedColumnFormula>
    </tableColumn>
    <tableColumn id="28" xr3:uid="{7B09D42A-E4B3-42DA-A7BC-1855D7B3276B}" name="4 - Deposit" dataDxfId="375" totalsRowDxfId="374">
      <calculatedColumnFormula array="1">Get_4_Add</calculatedColumnFormula>
    </tableColumn>
    <tableColumn id="29" xr3:uid="{B7BDACF3-46DD-4203-BF1C-D95921A9EAB9}" name="4 - Withdrawal" dataDxfId="373" totalsRowDxfId="372">
      <calculatedColumnFormula array="1">Get_4_Del</calculatedColumnFormula>
    </tableColumn>
    <tableColumn id="26" xr3:uid="{2B28D0BE-0636-4250-93AD-A6F7361B235B}" name="5 - Remaining" dataDxfId="371" totalsRowDxfId="370">
      <calculatedColumnFormula array="1">Get_5_Calc</calculatedColumnFormula>
    </tableColumn>
    <tableColumn id="27" xr3:uid="{E0E33EBF-F853-45D7-8D8D-4968D0DF550A}" name="5 - Deposit" dataDxfId="369" totalsRowDxfId="368">
      <calculatedColumnFormula array="1">Get_5_Add</calculatedColumnFormula>
    </tableColumn>
    <tableColumn id="34" xr3:uid="{8BF8358E-3A1F-4FD6-A3D2-5C9ED03B66D2}" name="5 - Withdrawal" dataDxfId="367" totalsRowDxfId="366">
      <calculatedColumnFormula array="1">Get_5_Del</calculatedColumnFormula>
    </tableColumn>
    <tableColumn id="35" xr3:uid="{BB2E7E56-CFEB-45E5-A53A-8F8601B9A6BC}" name="6 - Remaining" dataDxfId="365">
      <calculatedColumnFormula array="1">Get_6_Calc</calculatedColumnFormula>
    </tableColumn>
    <tableColumn id="36" xr3:uid="{B1C76173-BBE5-4463-A5A2-D59DF06DFEA3}" name="6 - Deposit" dataDxfId="364" totalsRowDxfId="363">
      <calculatedColumnFormula array="1">Get_6_Add</calculatedColumnFormula>
    </tableColumn>
    <tableColumn id="37" xr3:uid="{252F1115-6468-4A69-A315-CC054804CD2D}" name="6 - Withdrawal" dataDxfId="362" totalsRowDxfId="361">
      <calculatedColumnFormula array="1">Get_6_Del</calculatedColumnFormula>
    </tableColumn>
    <tableColumn id="20" xr3:uid="{A588D5D5-7793-43CD-9189-E1B0E04C4525}" name="7 - Remaining" dataDxfId="360" totalsRowDxfId="359">
      <calculatedColumnFormula array="1">Get_7_Calc</calculatedColumnFormula>
    </tableColumn>
    <tableColumn id="21" xr3:uid="{173A2F2F-7CDB-4106-BA59-7971244FD630}" name="7 - Deposit" dataDxfId="358" totalsRowDxfId="357">
      <calculatedColumnFormula array="1">Get_7_Add</calculatedColumnFormula>
    </tableColumn>
    <tableColumn id="46" xr3:uid="{5DD0D315-AA29-4E95-AB07-E17D16311131}" name="7 - Withdrawal" dataDxfId="356" totalsRowDxfId="355">
      <calculatedColumnFormula array="1">Get_7_Del</calculatedColumnFormula>
    </tableColumn>
    <tableColumn id="47" xr3:uid="{887630E9-FAB3-4BC4-AE9D-DA08EE18BEE8}" name="8 - Remaining" dataDxfId="354" totalsRowDxfId="353">
      <calculatedColumnFormula array="1">Get_8_Calc</calculatedColumnFormula>
    </tableColumn>
    <tableColumn id="44" xr3:uid="{74DD3BDF-B83E-43E2-A24B-4F5846C78DBC}" name="8 - Deposit" dataDxfId="352" totalsRowDxfId="351">
      <calculatedColumnFormula array="1">Get_8_Add</calculatedColumnFormula>
    </tableColumn>
    <tableColumn id="45" xr3:uid="{F7703264-4D50-4502-8F6F-FB36B91EB021}" name="8 - Withdrawal" dataDxfId="350" totalsRowDxfId="349">
      <calculatedColumnFormula array="1">Get_8_Del</calculatedColumnFormula>
    </tableColumn>
    <tableColumn id="42" xr3:uid="{4E67C08C-7260-499F-B198-7B6E4192E472}" name="9 - Remaining" dataDxfId="348" totalsRowDxfId="347">
      <calculatedColumnFormula array="1">Get_9_Calc</calculatedColumnFormula>
    </tableColumn>
    <tableColumn id="43" xr3:uid="{7F9B0DDB-B0CF-4F25-BEAA-5F937B25BDE0}" name="9 - Deposit" dataDxfId="346" totalsRowDxfId="345">
      <calculatedColumnFormula array="1">Get_9_Add</calculatedColumnFormula>
    </tableColumn>
    <tableColumn id="40" xr3:uid="{3AA5B498-FA98-483A-A388-6B6F74476BFD}" name="9 - Withdrawal" dataDxfId="344" totalsRowDxfId="343">
      <calculatedColumnFormula array="1">Get_9_Del</calculatedColumnFormula>
    </tableColumn>
    <tableColumn id="41" xr3:uid="{82D58ED2-A190-4823-8868-5A26D45CD476}" name="10 - Remaining" dataDxfId="342" totalsRowDxfId="341">
      <calculatedColumnFormula array="1">Get_10_Calc</calculatedColumnFormula>
    </tableColumn>
    <tableColumn id="38" xr3:uid="{800CF74D-0283-4B1A-9909-EF49C70CBE94}" name="10 - Deposit" dataDxfId="340" totalsRowDxfId="339">
      <calculatedColumnFormula array="1">Get_10_Add</calculatedColumnFormula>
    </tableColumn>
    <tableColumn id="39" xr3:uid="{276FBA7A-AC3A-4E59-B8B1-B09B169E6837}" name="10 - Withdrawal" dataDxfId="338" totalsRowDxfId="337">
      <calculatedColumnFormula array="1">Get_10_Del</calculatedColumnFormula>
    </tableColumn>
    <tableColumn id="48" xr3:uid="{A7B9D79E-F38B-48CB-AEE5-E7B7F6EF5C2C}" name="11 - Remaining" dataDxfId="336" totalsRowDxfId="335">
      <calculatedColumnFormula array="1">Get_11_Calc</calculatedColumnFormula>
    </tableColumn>
    <tableColumn id="49" xr3:uid="{01CFCCAE-6F8F-4C1E-8FF6-6275897A542E}" name="11 - Deposit" dataDxfId="334" totalsRowDxfId="333">
      <calculatedColumnFormula array="1">Get_11_Add</calculatedColumnFormula>
    </tableColumn>
    <tableColumn id="14" xr3:uid="{27E31913-0377-43BF-8773-DF68330317BA}" name="11 - Withdrawal" dataDxfId="332" totalsRowDxfId="331">
      <calculatedColumnFormula array="1">Get_11_Del</calculatedColumnFormula>
    </tableColumn>
    <tableColumn id="51" xr3:uid="{5B85F460-5E62-4025-895D-56CA23340014}" name="12 - Remaining" dataDxfId="330" totalsRowDxfId="329">
      <calculatedColumnFormula array="1">Get_12_Calc</calculatedColumnFormula>
    </tableColumn>
    <tableColumn id="52" xr3:uid="{0EC70A7E-2DCB-4261-AA03-9B9BE1BAEC8F}" name="12 - Deposit" dataDxfId="328" totalsRowDxfId="327">
      <calculatedColumnFormula array="1">Get_12_Add</calculatedColumnFormula>
    </tableColumn>
    <tableColumn id="50" xr3:uid="{3EB42EAC-DC06-4CC0-A5A9-B7FE23DC5389}" name="12 - Withdrawal" dataDxfId="326" totalsRowDxfId="325">
      <calculatedColumnFormula array="1">Get_12_Del</calculatedColumnFormula>
    </tableColumn>
    <tableColumn id="65" xr3:uid="{EDF8FCAF-50EB-44D5-B6A9-3CD2A6E9AE1E}" name="13 - Remaining" dataDxfId="324" totalsRowDxfId="323">
      <calculatedColumnFormula array="1">Get_13_Calc</calculatedColumnFormula>
    </tableColumn>
    <tableColumn id="66" xr3:uid="{F5CC81DC-58D2-4192-A82D-389419FBEF0D}" name="13 - Deposit" dataDxfId="322" totalsRowDxfId="321">
      <calculatedColumnFormula array="1">Get_13_Add</calculatedColumnFormula>
    </tableColumn>
    <tableColumn id="67" xr3:uid="{CDD18276-7453-4E17-BA82-D9E26BD8811B}" name="13 - Withdrawal" dataDxfId="320" totalsRowDxfId="319">
      <calculatedColumnFormula array="1">Get_13_Del</calculatedColumnFormula>
    </tableColumn>
    <tableColumn id="62" xr3:uid="{68ACC17D-E3C3-4466-88A6-F2F14F757F76}" name="14 - Remaining" dataDxfId="318" totalsRowDxfId="317">
      <calculatedColumnFormula array="1">Get_14_Calc</calculatedColumnFormula>
    </tableColumn>
    <tableColumn id="63" xr3:uid="{0E0EE3C5-8F3C-4968-B0E6-50B1C2B616A8}" name="14 - Deposit" dataDxfId="316" totalsRowDxfId="315">
      <calculatedColumnFormula array="1">Get_14_Add</calculatedColumnFormula>
    </tableColumn>
    <tableColumn id="64" xr3:uid="{AD67C543-6A27-4C51-906F-D522151C0D92}" name="14 - Withdrawal" dataDxfId="314" totalsRowDxfId="313">
      <calculatedColumnFormula array="1">Get_14_Del</calculatedColumnFormula>
    </tableColumn>
    <tableColumn id="59" xr3:uid="{7CAE30DB-B183-4017-8A77-F435FA507A01}" name="15 - Remaining" dataDxfId="312" totalsRowDxfId="311">
      <calculatedColumnFormula array="1">Get_15_Calc</calculatedColumnFormula>
    </tableColumn>
    <tableColumn id="60" xr3:uid="{10EF06B0-FD95-42A9-BFCC-64BBC565CA14}" name="15 - Deposit" dataDxfId="310" totalsRowDxfId="309">
      <calculatedColumnFormula array="1">Get_15_Add</calculatedColumnFormula>
    </tableColumn>
    <tableColumn id="61" xr3:uid="{6301F8B4-4D01-4FDA-8D32-75921B15A2D9}" name="15 - Withdrawal" dataDxfId="308" totalsRowDxfId="307">
      <calculatedColumnFormula array="1">Get_15_Del</calculatedColumnFormula>
    </tableColumn>
    <tableColumn id="56" xr3:uid="{05F125DE-5AE7-4786-ACBC-DAF9D7222A62}" name="16 - Remaining" dataDxfId="306" totalsRowDxfId="305">
      <calculatedColumnFormula array="1">Get_16_Calc</calculatedColumnFormula>
    </tableColumn>
    <tableColumn id="57" xr3:uid="{7E6969DC-E3FC-4DA8-BB9D-6B36E075458F}" name="16 - Deposit" dataDxfId="304" totalsRowDxfId="303">
      <calculatedColumnFormula array="1">Get_16_Add</calculatedColumnFormula>
    </tableColumn>
    <tableColumn id="58" xr3:uid="{84C80CB2-57F5-4B66-8756-5573CD699D16}" name="16 - Withdrawal" dataDxfId="302" totalsRowDxfId="301">
      <calculatedColumnFormula array="1">Get_16_Del</calculatedColumnFormula>
    </tableColumn>
    <tableColumn id="53" xr3:uid="{65516705-AD27-4ECA-AF09-D132C51E08CE}" name="17 - Remaining" dataDxfId="300" totalsRowDxfId="299">
      <calculatedColumnFormula array="1">Get_17_Calc</calculatedColumnFormula>
    </tableColumn>
    <tableColumn id="54" xr3:uid="{0756DBD3-FDA1-4E71-849C-F20BBD0A5182}" name="17 - Deposit" dataDxfId="298" totalsRowDxfId="297">
      <calculatedColumnFormula array="1">Get_17_Add</calculatedColumnFormula>
    </tableColumn>
    <tableColumn id="55" xr3:uid="{51CB254C-5F29-4215-8FE0-F8B8B7B32759}" name="17 - Withdrawal" dataDxfId="296" totalsRowDxfId="295">
      <calculatedColumnFormula array="1">Get_17_Del</calculatedColumnFormula>
    </tableColumn>
    <tableColumn id="68" xr3:uid="{9C2EC294-A2C3-40B0-9E15-FFA1DA6DE0E7}" name="18 - Remaining" dataDxfId="294" totalsRowDxfId="293">
      <calculatedColumnFormula array="1">Get_18_Calc</calculatedColumnFormula>
    </tableColumn>
    <tableColumn id="69" xr3:uid="{A371F69D-1236-4AAC-B5F1-72D518D6FC69}" name="18 - Deposit" dataDxfId="292" totalsRowDxfId="291">
      <calculatedColumnFormula array="1">Get_18_Add</calculatedColumnFormula>
    </tableColumn>
    <tableColumn id="70" xr3:uid="{7B3C5D9B-BC0C-404F-9490-CDADC350F1D7}" name="18 - Withdrawal" dataDxfId="290" totalsRowDxfId="289">
      <calculatedColumnFormula array="1">Get_18_Del</calculatedColumnFormula>
    </tableColumn>
    <tableColumn id="19" xr3:uid="{91B42855-55D1-4A6A-B9A8-5EE011ADEB10}" name="19 - Remaining" dataDxfId="288" totalsRowDxfId="287">
      <calculatedColumnFormula array="1">Get_19_Calc</calculatedColumnFormula>
    </tableColumn>
    <tableColumn id="18" xr3:uid="{98EE3A39-A8AB-42CF-AEB5-291E8B95D8CA}" name="19 - Deposit" dataDxfId="286" totalsRowDxfId="285">
      <calculatedColumnFormula array="1">Get_19_Add</calculatedColumnFormula>
    </tableColumn>
    <tableColumn id="73" xr3:uid="{DB40D44F-8801-4D50-BA48-8323E05D2E13}" name="19 - Withdrawal" dataDxfId="284" totalsRowDxfId="283">
      <calculatedColumnFormula array="1">Get_19_Del</calculatedColumnFormula>
    </tableColumn>
    <tableColumn id="72" xr3:uid="{470D5EC3-31A6-4851-B48C-D6DDADACC807}" name="20 - Remaining" dataDxfId="282" totalsRowDxfId="281">
      <calculatedColumnFormula array="1">Get_20_Calc</calculatedColumnFormula>
    </tableColumn>
    <tableColumn id="71" xr3:uid="{39143051-B360-4CEF-883D-35BFEEAE3BA0}" name="20 - Deposit" dataDxfId="280" totalsRowDxfId="279">
      <calculatedColumnFormula array="1">Get_20_Add</calculatedColumnFormula>
    </tableColumn>
    <tableColumn id="15" xr3:uid="{8C1BB1E7-B23F-46EC-AE4E-28A3C394FD55}" name="20 - Withdrawal" dataDxfId="278" totalsRowDxfId="277">
      <calculatedColumnFormula array="1">Get_20_Del</calculatedColumnFormula>
    </tableColumn>
    <tableColumn id="102" xr3:uid="{F21D4D43-73EE-4C8A-8AEF-E424CE485010}" name="21 - Remaining" dataDxfId="276" totalsRowDxfId="275">
      <calculatedColumnFormula array="1">Get_21_Calc</calculatedColumnFormula>
    </tableColumn>
    <tableColumn id="103" xr3:uid="{4486E59C-66B0-413C-AFFC-A8A336BC25D8}" name="21 - Deposit" dataDxfId="274" totalsRowDxfId="273">
      <calculatedColumnFormula array="1">Get_21_Add</calculatedColumnFormula>
    </tableColumn>
    <tableColumn id="104" xr3:uid="{564EC857-6030-490D-A2E5-16F4F8221C23}" name="21 - Withdrawal" dataDxfId="272" totalsRowDxfId="271">
      <calculatedColumnFormula array="1">Get_21_Del</calculatedColumnFormula>
    </tableColumn>
    <tableColumn id="105" xr3:uid="{31132AB1-247A-4EB9-8A8A-871FED0D5AA1}" name="22 - Remaining" dataDxfId="270" totalsRowDxfId="269">
      <calculatedColumnFormula array="1">Get_22_Calc</calculatedColumnFormula>
    </tableColumn>
    <tableColumn id="98" xr3:uid="{CF6220B5-7B80-445C-A013-845D35543916}" name="22 - Deposit" dataDxfId="268" totalsRowDxfId="267">
      <calculatedColumnFormula array="1">Get_22_Add</calculatedColumnFormula>
    </tableColumn>
    <tableColumn id="99" xr3:uid="{98BD4691-C847-4F41-8E6C-BEC01B8FAEB3}" name="22 - Withdrawal" dataDxfId="266" totalsRowDxfId="265">
      <calculatedColumnFormula array="1">Get_22_Del</calculatedColumnFormula>
    </tableColumn>
    <tableColumn id="100" xr3:uid="{66330D4E-ED0D-41A7-921D-E622CA8068A4}" name="23 - Remaining" dataDxfId="264" totalsRowDxfId="263">
      <calculatedColumnFormula array="1">Get_23_Calc</calculatedColumnFormula>
    </tableColumn>
    <tableColumn id="101" xr3:uid="{3345E086-C2E9-453D-A0EB-A7471CF2ACB2}" name="23 - Deposit" dataDxfId="262" totalsRowDxfId="261">
      <calculatedColumnFormula array="1">Get_23_Add</calculatedColumnFormula>
    </tableColumn>
    <tableColumn id="94" xr3:uid="{8EF3E108-22A5-4CBC-9928-BC115EFE882A}" name="23 - Withdrawal" dataDxfId="260" totalsRowDxfId="259">
      <calculatedColumnFormula array="1">Get_23_Del</calculatedColumnFormula>
    </tableColumn>
    <tableColumn id="95" xr3:uid="{C6AA287C-2EA3-4286-A71D-29E22D519C41}" name="24 - Remaining" dataDxfId="258" totalsRowDxfId="257">
      <calculatedColumnFormula array="1">Get_24_Calc</calculatedColumnFormula>
    </tableColumn>
    <tableColumn id="96" xr3:uid="{1FDAF720-4143-496A-91C3-D65BD5CBA18F}" name="24 - Deposit" dataDxfId="256" totalsRowDxfId="255">
      <calculatedColumnFormula array="1">Get_24_Add</calculatedColumnFormula>
    </tableColumn>
    <tableColumn id="97" xr3:uid="{0CACBF11-449C-4C06-A249-904EB5517854}" name="24 - Withdrawal" dataDxfId="254" totalsRowDxfId="253">
      <calculatedColumnFormula array="1">Get_24_Del</calculatedColumnFormula>
    </tableColumn>
    <tableColumn id="90" xr3:uid="{11D36A45-02CB-476F-A2D2-734F76A2D1A6}" name="25 - Remaining" dataDxfId="252" totalsRowDxfId="251">
      <calculatedColumnFormula array="1">Get_25_Calc</calculatedColumnFormula>
    </tableColumn>
    <tableColumn id="91" xr3:uid="{8B60EC99-F04A-45EF-8F17-680319744A85}" name="25 - Deposit" dataDxfId="250" totalsRowDxfId="249">
      <calculatedColumnFormula array="1">Get_25_Add</calculatedColumnFormula>
    </tableColumn>
    <tableColumn id="92" xr3:uid="{AD05D88D-F2C1-4505-9BBD-FDC0B2D388F3}" name="25 - Withdrawal" dataDxfId="248" totalsRowDxfId="247">
      <calculatedColumnFormula array="1">Get_25_Del</calculatedColumnFormula>
    </tableColumn>
    <tableColumn id="93" xr3:uid="{F7CB76E9-97CE-4CC8-AEDA-CB574593A924}" name="26 - Remaining" dataDxfId="246" totalsRowDxfId="245">
      <calculatedColumnFormula array="1">Get_26_Calc</calculatedColumnFormula>
    </tableColumn>
    <tableColumn id="86" xr3:uid="{6D74E673-FBC5-435E-9229-8C187E67EA3F}" name="26 - Deposit" dataDxfId="244" totalsRowDxfId="243">
      <calculatedColumnFormula array="1">Get_26_Add</calculatedColumnFormula>
    </tableColumn>
    <tableColumn id="87" xr3:uid="{C2C28027-A1CD-440D-BB33-3A80FCC5A8C1}" name="26 - Withdrawal" dataDxfId="242" totalsRowDxfId="241">
      <calculatedColumnFormula array="1">Get_26_Del</calculatedColumnFormula>
    </tableColumn>
    <tableColumn id="88" xr3:uid="{070B4F15-D610-4FCF-B681-42E984B3F85F}" name="27 - Remaining" dataDxfId="240" totalsRowDxfId="239">
      <calculatedColumnFormula array="1">Get_27_Calc</calculatedColumnFormula>
    </tableColumn>
    <tableColumn id="89" xr3:uid="{04BA09B0-47DA-4E80-BEEC-AB8498C074D5}" name="27 - Deposit" dataDxfId="238" totalsRowDxfId="237">
      <calculatedColumnFormula array="1">Get_27_Add</calculatedColumnFormula>
    </tableColumn>
    <tableColumn id="82" xr3:uid="{17B1B927-AD09-4E4A-B7FC-33ED76279CBC}" name="27 - Withdrawal" dataDxfId="236" totalsRowDxfId="235">
      <calculatedColumnFormula array="1">Get_27_Del</calculatedColumnFormula>
    </tableColumn>
    <tableColumn id="83" xr3:uid="{2F4ED0A5-EE6B-4248-832C-F478A57FA0D5}" name="28 - Remaining" dataDxfId="234" totalsRowDxfId="233">
      <calculatedColumnFormula array="1">Get_28_Calc</calculatedColumnFormula>
    </tableColumn>
    <tableColumn id="84" xr3:uid="{D1140375-114D-49D9-A424-519A4250A622}" name="28 - Deposit" dataDxfId="232" totalsRowDxfId="231">
      <calculatedColumnFormula array="1">Get_28_Add</calculatedColumnFormula>
    </tableColumn>
    <tableColumn id="85" xr3:uid="{53209986-74FA-491C-8499-CAD58386B246}" name="28 - Withdrawal" dataDxfId="230" totalsRowDxfId="229">
      <calculatedColumnFormula array="1">Get_28_Del</calculatedColumnFormula>
    </tableColumn>
    <tableColumn id="78" xr3:uid="{9B1695E1-88D0-4B66-86DA-6328CEFA236B}" name="29 - Remaining" dataDxfId="228" totalsRowDxfId="227">
      <calculatedColumnFormula array="1">Get_29_Calc</calculatedColumnFormula>
    </tableColumn>
    <tableColumn id="79" xr3:uid="{AD5F07E7-774D-47C8-B9B7-0278E35D62E4}" name="29 - Deposit" dataDxfId="226" totalsRowDxfId="225">
      <calculatedColumnFormula array="1">Get_29_Add</calculatedColumnFormula>
    </tableColumn>
    <tableColumn id="80" xr3:uid="{60613223-E2AD-4FE8-AB22-74D7D70E9EC2}" name="29 - Withdrawal" dataDxfId="224" totalsRowDxfId="223">
      <calculatedColumnFormula array="1">Get_29_Del</calculatedColumnFormula>
    </tableColumn>
    <tableColumn id="81" xr3:uid="{598D87C2-40FF-4EB0-A568-2DE01DFD9C9A}" name="30 - Remaining" dataDxfId="222" totalsRowDxfId="221">
      <calculatedColumnFormula array="1">Get_30_Calc</calculatedColumnFormula>
    </tableColumn>
    <tableColumn id="112" xr3:uid="{A33BC1F0-D006-4639-92C6-0E411B6CA96D}" name="30 - Deposit" dataDxfId="220" totalsRowDxfId="219">
      <calculatedColumnFormula array="1">Get_30_Add</calculatedColumnFormula>
    </tableColumn>
    <tableColumn id="113" xr3:uid="{AF7F8313-8446-4886-AE41-FE26C24E6965}" name="30 - Withdrawal" dataDxfId="218" totalsRowDxfId="217">
      <calculatedColumnFormula array="1">Get_30_Del</calculatedColumnFormula>
    </tableColumn>
    <tableColumn id="114" xr3:uid="{32AC448A-1D9F-45C6-ADF0-484483D61305}" name="31 - Remaining" dataDxfId="216" totalsRowDxfId="215">
      <calculatedColumnFormula array="1">Get_31_Calc</calculatedColumnFormula>
    </tableColumn>
    <tableColumn id="109" xr3:uid="{6656E887-BCA1-45C6-9018-4F892EDCD6BD}" name="31 - Deposit" dataDxfId="214" totalsRowDxfId="213">
      <calculatedColumnFormula array="1">Get_31_Add</calculatedColumnFormula>
    </tableColumn>
    <tableColumn id="110" xr3:uid="{19143AD3-AFEC-4767-B097-6EFED19C1D5F}" name="31 - Withdrawal" dataDxfId="212" totalsRowDxfId="211">
      <calculatedColumnFormula array="1">Get_31_Del</calculatedColumnFormula>
    </tableColumn>
    <tableColumn id="111" xr3:uid="{A73390AD-84AD-4B11-962F-A0DD77AF79DB}" name="32 - Remaining" dataDxfId="210" totalsRowDxfId="209">
      <calculatedColumnFormula array="1">Get_32_Calc</calculatedColumnFormula>
    </tableColumn>
    <tableColumn id="106" xr3:uid="{CD563433-AB70-48C2-B28C-D63B8FE4231B}" name="32 - Deposit" dataDxfId="208" totalsRowDxfId="207">
      <calculatedColumnFormula array="1">Get_32_Add</calculatedColumnFormula>
    </tableColumn>
    <tableColumn id="107" xr3:uid="{8C2B9726-7B44-4012-849B-90C10E42CC75}" name="32 - Withdrawal" dataDxfId="206" totalsRowDxfId="205">
      <calculatedColumnFormula array="1">Get_32_Del</calculatedColumnFormula>
    </tableColumn>
    <tableColumn id="108" xr3:uid="{E5AF4544-102C-474F-A246-CC7171B33738}" name="33 - Remaining" dataDxfId="204" totalsRowDxfId="203">
      <calculatedColumnFormula array="1">Get_33_Calc</calculatedColumnFormula>
    </tableColumn>
    <tableColumn id="121" xr3:uid="{C1F5D498-1262-44DF-B066-1A676148E301}" name="33 - Deposit" dataDxfId="202" totalsRowDxfId="201">
      <calculatedColumnFormula array="1">Get_33_Add</calculatedColumnFormula>
    </tableColumn>
    <tableColumn id="122" xr3:uid="{2F6821D0-F42C-4DED-A045-B1C398C90F61}" name="33 - Withdrawal" dataDxfId="200" totalsRowDxfId="199">
      <calculatedColumnFormula array="1">Get_33_Del</calculatedColumnFormula>
    </tableColumn>
    <tableColumn id="123" xr3:uid="{DDEBD9FE-7A2F-41FF-9BD6-93F0E3570136}" name="34 - Remaining" dataDxfId="198" totalsRowDxfId="197">
      <calculatedColumnFormula array="1">Get_34_Calc</calculatedColumnFormula>
    </tableColumn>
    <tableColumn id="118" xr3:uid="{DEAF0FA5-8ADE-45D7-B112-EA03FAA0D896}" name="34 - Deposit" dataDxfId="196" totalsRowDxfId="195">
      <calculatedColumnFormula array="1">Get_34_Add</calculatedColumnFormula>
    </tableColumn>
    <tableColumn id="119" xr3:uid="{C95831F4-24FC-40B7-A0D8-FEBAAA6EAD80}" name="34 - Withdrawal" dataDxfId="194" totalsRowDxfId="193">
      <calculatedColumnFormula array="1">Get_34_Del</calculatedColumnFormula>
    </tableColumn>
    <tableColumn id="120" xr3:uid="{8C22D30B-320F-49E4-B37A-57A3D5DEE429}" name="35 - Remaining" dataDxfId="192" totalsRowDxfId="191">
      <calculatedColumnFormula array="1">Get_35_Calc</calculatedColumnFormula>
    </tableColumn>
    <tableColumn id="115" xr3:uid="{DC9FF648-80A3-480C-8295-816AE96549F0}" name="35 - Deposit" dataDxfId="190" totalsRowDxfId="189">
      <calculatedColumnFormula array="1">Get_35_Add</calculatedColumnFormula>
    </tableColumn>
    <tableColumn id="116" xr3:uid="{19FD796A-C39B-4913-B2F4-CF8C8A6E2355}" name="35 - Withdrawal" dataDxfId="188" totalsRowDxfId="187">
      <calculatedColumnFormula array="1">Get_35_Del</calculatedColumnFormula>
    </tableColumn>
    <tableColumn id="117" xr3:uid="{329AC6EB-CF46-4F1E-A1D1-49A8B17CACCD}" name="36 - Remaining" dataDxfId="186" totalsRowDxfId="185">
      <calculatedColumnFormula array="1">Get_36_Calc</calculatedColumnFormula>
    </tableColumn>
    <tableColumn id="77" xr3:uid="{D18373BA-DB75-470C-9939-60206C36267B}" name="36 - Deposit" dataDxfId="184" totalsRowDxfId="183">
      <calculatedColumnFormula array="1">Get_36_Add</calculatedColumnFormula>
    </tableColumn>
    <tableColumn id="76" xr3:uid="{8C923C1F-8AAD-4F00-B3ED-8C81417C548A}" name="36 - Withdrawal" dataDxfId="182" totalsRowDxfId="181">
      <calculatedColumnFormula array="1">Get_36_Del</calculatedColumnFormula>
    </tableColumn>
    <tableColumn id="132" xr3:uid="{F6203D74-C033-4FEA-B4CE-F892F2B07270}" name="37 - Remaining" dataDxfId="180" totalsRowDxfId="179">
      <calculatedColumnFormula array="1">Get_37_Calc</calculatedColumnFormula>
    </tableColumn>
    <tableColumn id="133" xr3:uid="{BA7DE93C-8EE4-4DDC-BC04-EC21986490A7}" name="37 - Deposit" dataDxfId="178" totalsRowDxfId="177">
      <calculatedColumnFormula array="1">Get_37_Add</calculatedColumnFormula>
    </tableColumn>
    <tableColumn id="128" xr3:uid="{A2AB67E7-67E5-4957-9EB1-A4A37B61C71A}" name="37 - Withdrawal" dataDxfId="176" totalsRowDxfId="175">
      <calculatedColumnFormula array="1">Get_37_Del</calculatedColumnFormula>
    </tableColumn>
    <tableColumn id="129" xr3:uid="{15573BDA-20F9-4C2F-9D6F-18F743FC6E25}" name="38 - Remaining" dataDxfId="174" totalsRowDxfId="173">
      <calculatedColumnFormula array="1">Get_38_Calc</calculatedColumnFormula>
    </tableColumn>
    <tableColumn id="130" xr3:uid="{C0F229CF-C5D6-4F11-8F55-7692B00DC0E3}" name="38 - Deposit" dataDxfId="172" totalsRowDxfId="171">
      <calculatedColumnFormula array="1">Get_38_Add</calculatedColumnFormula>
    </tableColumn>
    <tableColumn id="125" xr3:uid="{24A0AFA6-873B-40D0-95AA-269E0E8A05E1}" name="38 - Withdrawal" dataDxfId="170" totalsRowDxfId="169">
      <calculatedColumnFormula array="1">Get_38_Del</calculatedColumnFormula>
    </tableColumn>
    <tableColumn id="126" xr3:uid="{20897FAE-D3FE-48DD-961E-6A6443173FA9}" name="39 - Remaining" dataDxfId="168" totalsRowDxfId="167">
      <calculatedColumnFormula array="1">Get_39_Calc</calculatedColumnFormula>
    </tableColumn>
    <tableColumn id="127" xr3:uid="{35F30295-EDB2-4D7F-939D-DFAC52BB2A9F}" name="39 - Deposit" dataDxfId="166" totalsRowDxfId="165">
      <calculatedColumnFormula array="1">Get_39_Add</calculatedColumnFormula>
    </tableColumn>
    <tableColumn id="124" xr3:uid="{AF953A41-E1B0-4337-8A8E-F951C493EDE8}" name="39 - Withdrawal" dataDxfId="164" totalsRowDxfId="163">
      <calculatedColumnFormula array="1">Get_39_Del</calculatedColumnFormula>
    </tableColumn>
    <tableColumn id="75" xr3:uid="{07F02D24-5D96-40AE-BCE0-590F79C6D5DF}" name="40 - Remaining" dataDxfId="162" totalsRowDxfId="161">
      <calculatedColumnFormula array="1">Get_40_Calc</calculatedColumnFormula>
    </tableColumn>
    <tableColumn id="134" xr3:uid="{1075256E-BEBC-4E72-B0F5-766EF175AB4B}" name="40 - Deposit" dataDxfId="160" totalsRowDxfId="159">
      <calculatedColumnFormula array="1">Get_40_Add</calculatedColumnFormula>
    </tableColumn>
    <tableColumn id="74" xr3:uid="{DAFDE2C6-F321-4651-AA25-F4B29B9F690B}" name="40 - Withdrawal" dataDxfId="158" totalsRowDxfId="157">
      <calculatedColumnFormula array="1">Get_40_Del</calculatedColumnFormula>
    </tableColumn>
    <tableColumn id="135" xr3:uid="{15D2A748-F30E-480C-BD2A-9E8546EB0EC0}" name="Membership level" dataDxfId="156" totalsRowDxfId="155"/>
    <tableColumn id="2" xr3:uid="{6838A7E0-670C-4A2D-AF67-326212D8D278}" name="Last name" dataDxfId="154" totalsRowDxfId="153"/>
    <tableColumn id="25" xr3:uid="{0E0946FC-F3D2-412C-BDE7-636B8FDBFE7C}" name="Name" dataDxfId="152" totalsRowDxfId="151"/>
    <tableColumn id="3" xr3:uid="{E7DD7F6C-DAA7-4B96-9638-5C8F7FEFCC2E}" name="Gender" dataDxfId="150" totalsRowDxfId="149"/>
    <tableColumn id="23" xr3:uid="{AABD28F8-91AC-4EA0-915D-2F3C990C193D}" name="Identification number" dataDxfId="148" totalsRowDxfId="147"/>
    <tableColumn id="24" xr3:uid="{14505223-157D-4FB0-A334-A4E4687523F8}" name="Age" dataDxfId="146" totalsRowDxfId="145"/>
    <tableColumn id="4" xr3:uid="{B39F2860-CADF-40CB-832A-CCDE8501D7E3}" name="Telephone" dataDxfId="144" totalsRowDxfId="143"/>
    <tableColumn id="16" xr3:uid="{6E8928D1-6540-4241-9B8F-BFBC65F8DA26}" name="Email" dataDxfId="142"/>
    <tableColumn id="17" xr3:uid="{5422D38F-7826-4B14-9992-0434FAF52537}" name="Home address" dataDxfId="141" totalsRowDxfId="140"/>
    <tableColumn id="140" xr3:uid="{EA55135E-6B35-4FBC-BF3B-037813D983FD}" name="Custom_1" dataDxfId="139" totalsRowDxfId="138"/>
    <tableColumn id="147" xr3:uid="{DD398C4F-3355-4C7E-8205-E674804DD4CC}" name="Custom_2" dataDxfId="137" totalsRowDxfId="136"/>
    <tableColumn id="146" xr3:uid="{3D8F3333-5B73-482C-8F5A-5124C2AE3EE2}" name="Custom_3" dataDxfId="135" totalsRowDxfId="134"/>
    <tableColumn id="145" xr3:uid="{E280F938-9F62-44AD-AC05-30817B3FA100}" name="Custom_4" dataDxfId="133" totalsRowDxfId="132"/>
    <tableColumn id="144" xr3:uid="{5FB6CB09-2EA3-42EB-8620-9C9DA0716C06}" name="Custom_5" dataDxfId="131" totalsRowDxfId="130"/>
    <tableColumn id="148" xr3:uid="{D1D7B344-DFC7-4768-96F5-706F4996E1A6}" name="Custom_6" dataDxfId="129" totalsRowDxfId="128"/>
    <tableColumn id="143" xr3:uid="{E002F4FE-831D-4C19-A0D2-E286D00F75AE}" name="Custom_7" dataDxfId="127" totalsRowDxfId="126"/>
    <tableColumn id="142" xr3:uid="{C05A5A07-E6BC-4662-9ACE-A817BFA8C10E}" name="Custom_8" dataDxfId="125" totalsRowDxfId="124"/>
    <tableColumn id="141" xr3:uid="{110FC944-7336-4E11-B80C-21D08F64D64F}" name="Custom_9" dataDxfId="123" totalsRowDxfId="122"/>
    <tableColumn id="136" xr3:uid="{FEB2E2E7-48BF-43F2-8DFB-8D26232D502B}" name="Custom_10" dataDxfId="121" totalsRowDxfId="120"/>
    <tableColumn id="13" xr3:uid="{1096126D-9431-4280-89CE-FD45CA05D86A}" name="Add member time" dataDxfId="119" totalsRowDxfId="118"/>
    <tableColumn id="22" xr3:uid="{8DAD451D-44A8-40A3-A244-DDF540273F95}" name="Employee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Employee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4" width="16.61328125" style="3" customWidth="1"/>
    <col min="5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0" customFormat="1" ht="6" customHeight="1" x14ac:dyDescent="0.4"/>
    <row r="2" spans="2:56" s="71" customFormat="1" ht="10" customHeight="1" x14ac:dyDescent="0.4"/>
    <row r="3" spans="2:56" s="71" customFormat="1" ht="40" customHeight="1" x14ac:dyDescent="0.5">
      <c r="B3" s="72"/>
      <c r="C3" s="110" t="s">
        <v>238</v>
      </c>
    </row>
    <row r="4" spans="2:56" s="71" customFormat="1" ht="8.15" customHeight="1" x14ac:dyDescent="0.4">
      <c r="B4" s="72"/>
      <c r="C4" s="73"/>
    </row>
    <row r="5" spans="2:56" s="71" customFormat="1" ht="40" customHeight="1" x14ac:dyDescent="0.4">
      <c r="B5" s="72"/>
      <c r="C5" s="74" t="s">
        <v>50</v>
      </c>
    </row>
    <row r="6" spans="2:56" ht="16.5" customHeight="1" x14ac:dyDescent="0.4">
      <c r="G6" s="75"/>
      <c r="H6" s="75"/>
      <c r="I6" s="75"/>
      <c r="J6" s="75"/>
      <c r="K6" s="75"/>
    </row>
    <row r="7" spans="2:56" ht="40" customHeight="1" x14ac:dyDescent="0.4">
      <c r="B7" s="76" t="s">
        <v>51</v>
      </c>
      <c r="C7" s="77" t="s">
        <v>70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417</v>
      </c>
    </row>
    <row r="8" spans="2:56" ht="8.15" customHeight="1" x14ac:dyDescent="0.4"/>
    <row r="9" spans="2:56" ht="40" customHeight="1" x14ac:dyDescent="0.4">
      <c r="B9" s="76" t="s">
        <v>52</v>
      </c>
      <c r="C9" s="77" t="s">
        <v>75</v>
      </c>
      <c r="D9" s="77"/>
      <c r="E9" s="77"/>
      <c r="F9" s="77"/>
      <c r="G9" s="77" t="s">
        <v>237</v>
      </c>
      <c r="H9" s="131" t="s">
        <v>79</v>
      </c>
      <c r="I9" s="131"/>
      <c r="J9" s="131"/>
      <c r="K9" s="132" t="s">
        <v>80</v>
      </c>
      <c r="L9" s="132"/>
      <c r="M9" s="132"/>
      <c r="N9" s="132" t="s">
        <v>399</v>
      </c>
      <c r="O9" s="132"/>
      <c r="P9" s="132" t="s">
        <v>396</v>
      </c>
      <c r="Q9" s="132"/>
      <c r="R9" s="132"/>
      <c r="S9" s="132"/>
      <c r="BB9" s="3" t="s">
        <v>414</v>
      </c>
      <c r="BC9" s="3" t="s">
        <v>415</v>
      </c>
      <c r="BD9" s="3" t="s">
        <v>416</v>
      </c>
    </row>
    <row r="10" spans="2:56" ht="65.05" customHeight="1" x14ac:dyDescent="0.4">
      <c r="B10" s="76"/>
      <c r="C10" s="77"/>
      <c r="D10" s="79" t="s">
        <v>247</v>
      </c>
      <c r="E10" s="79" t="s">
        <v>246</v>
      </c>
      <c r="F10" s="79" t="s">
        <v>236</v>
      </c>
      <c r="G10" s="79" t="s">
        <v>76</v>
      </c>
      <c r="H10" s="79" t="s">
        <v>243</v>
      </c>
      <c r="I10" s="79" t="s">
        <v>77</v>
      </c>
      <c r="J10" s="79" t="s">
        <v>78</v>
      </c>
      <c r="K10" s="79" t="s">
        <v>242</v>
      </c>
      <c r="L10" s="79" t="s">
        <v>244</v>
      </c>
      <c r="M10" s="79" t="s">
        <v>245</v>
      </c>
      <c r="N10" s="79" t="s">
        <v>397</v>
      </c>
      <c r="O10" s="79" t="s">
        <v>398</v>
      </c>
      <c r="P10" s="79" t="s">
        <v>258</v>
      </c>
      <c r="Q10" s="79" t="s">
        <v>259</v>
      </c>
      <c r="R10" s="79" t="s">
        <v>260</v>
      </c>
      <c r="S10" s="79" t="s">
        <v>261</v>
      </c>
      <c r="BC10" s="3" t="s">
        <v>412</v>
      </c>
      <c r="BD10" s="3" t="s">
        <v>83</v>
      </c>
    </row>
    <row r="11" spans="2:56" ht="40" customHeight="1" x14ac:dyDescent="0.4">
      <c r="B11" s="76"/>
      <c r="C11" s="77"/>
      <c r="D11" s="80" t="str">
        <f>CONCATENATE(Store_Setting[[#This Row],[Product
serial number]], IF(Store_Setting[[#This Row],[Product name]]="","", _xlfn.CONCAT(" | ",Store_Setting[[#This Row],[Product name]])))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83</v>
      </c>
      <c r="O11" s="13" t="s">
        <v>83</v>
      </c>
      <c r="P11" s="10" t="s">
        <v>262</v>
      </c>
      <c r="Q11" s="10" t="s">
        <v>263</v>
      </c>
      <c r="R11" s="10" t="s">
        <v>264</v>
      </c>
      <c r="S11" s="10" t="s">
        <v>265</v>
      </c>
      <c r="BC11" s="3" t="s">
        <v>413</v>
      </c>
      <c r="BD11" s="3" t="s">
        <v>84</v>
      </c>
    </row>
    <row r="12" spans="2:56" ht="40" customHeight="1" x14ac:dyDescent="0.4">
      <c r="B12" s="76"/>
      <c r="C12" s="77"/>
      <c r="D12" s="80" t="str">
        <f>CONCATENATE(Store_Setting[[#This Row],[Product
serial number]], IF(Store_Setting[[#This Row],[Product name]]="","", _xlfn.CONCAT(" | ",Store_Setting[[#This Row],[Product name]])))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83</v>
      </c>
      <c r="O12" s="13" t="s">
        <v>83</v>
      </c>
      <c r="P12" s="10" t="s">
        <v>266</v>
      </c>
      <c r="Q12" s="10" t="s">
        <v>267</v>
      </c>
      <c r="R12" s="10" t="s">
        <v>268</v>
      </c>
      <c r="S12" s="10" t="s">
        <v>263</v>
      </c>
      <c r="BD12" s="3" t="s">
        <v>91</v>
      </c>
    </row>
    <row r="13" spans="2:56" ht="40" customHeight="1" x14ac:dyDescent="0.4">
      <c r="B13" s="76"/>
      <c r="C13" s="77"/>
      <c r="D13" s="80" t="str">
        <f>CONCATENATE(Store_Setting[[#This Row],[Product
serial number]], IF(Store_Setting[[#This Row],[Product name]]="","", _xlfn.CONCAT(" | ",Store_Setting[[#This Row],[Product name]])))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83</v>
      </c>
      <c r="O13" s="13" t="s">
        <v>83</v>
      </c>
      <c r="P13" s="10" t="s">
        <v>269</v>
      </c>
      <c r="Q13" s="10" t="s">
        <v>270</v>
      </c>
      <c r="R13" s="10" t="s">
        <v>271</v>
      </c>
      <c r="S13" s="10" t="s">
        <v>264</v>
      </c>
      <c r="BD13" s="3" t="s">
        <v>418</v>
      </c>
    </row>
    <row r="14" spans="2:56" ht="40" customHeight="1" x14ac:dyDescent="0.4">
      <c r="B14" s="76"/>
      <c r="C14" s="77"/>
      <c r="D14" s="80" t="str">
        <f>CONCATENATE(Store_Setting[[#This Row],[Product
serial number]], IF(Store_Setting[[#This Row],[Product name]]="","", _xlfn.CONCAT(" | ",Store_Setting[[#This Row],[Product name]])))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83</v>
      </c>
      <c r="O14" s="13" t="s">
        <v>83</v>
      </c>
      <c r="P14" s="10" t="s">
        <v>272</v>
      </c>
      <c r="Q14" s="10" t="s">
        <v>273</v>
      </c>
      <c r="R14" s="10" t="s">
        <v>274</v>
      </c>
      <c r="S14" s="10" t="s">
        <v>275</v>
      </c>
      <c r="BD14" s="3" t="s">
        <v>419</v>
      </c>
    </row>
    <row r="15" spans="2:56" ht="40" customHeight="1" x14ac:dyDescent="0.4">
      <c r="B15" s="76"/>
      <c r="C15" s="77"/>
      <c r="D15" s="80" t="str">
        <f>CONCATENATE(Store_Setting[[#This Row],[Product
serial number]], IF(Store_Setting[[#This Row],[Product name]]="","", _xlfn.CONCAT(" | ",Store_Setting[[#This Row],[Product name]])))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83</v>
      </c>
      <c r="O15" s="13" t="s">
        <v>83</v>
      </c>
      <c r="P15" s="10" t="s">
        <v>276</v>
      </c>
      <c r="Q15" s="10" t="s">
        <v>277</v>
      </c>
      <c r="R15" s="10" t="s">
        <v>278</v>
      </c>
      <c r="S15" s="10" t="s">
        <v>267</v>
      </c>
      <c r="BD15" s="3" t="s">
        <v>420</v>
      </c>
    </row>
    <row r="16" spans="2:56" ht="40" customHeight="1" x14ac:dyDescent="0.4">
      <c r="B16" s="76"/>
      <c r="C16" s="77"/>
      <c r="D16" s="80" t="str">
        <f>CONCATENATE(Store_Setting[[#This Row],[Product
serial number]], IF(Store_Setting[[#This Row],[Product name]]="","", _xlfn.CONCAT(" | ",Store_Setting[[#This Row],[Product name]])))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83</v>
      </c>
      <c r="O16" s="13" t="s">
        <v>83</v>
      </c>
      <c r="P16" s="10" t="s">
        <v>279</v>
      </c>
      <c r="Q16" s="10" t="s">
        <v>280</v>
      </c>
      <c r="R16" s="10" t="s">
        <v>281</v>
      </c>
      <c r="S16" s="10" t="s">
        <v>268</v>
      </c>
      <c r="BD16" s="3" t="s">
        <v>421</v>
      </c>
    </row>
    <row r="17" spans="2:56" ht="40" customHeight="1" x14ac:dyDescent="0.4">
      <c r="B17" s="76"/>
      <c r="C17" s="77"/>
      <c r="D17" s="80" t="str">
        <f>CONCATENATE(Store_Setting[[#This Row],[Product
serial number]], IF(Store_Setting[[#This Row],[Product name]]="","", _xlfn.CONCAT(" | ",Store_Setting[[#This Row],[Product name]])))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83</v>
      </c>
      <c r="O17" s="13" t="s">
        <v>83</v>
      </c>
      <c r="P17" s="10" t="s">
        <v>282</v>
      </c>
      <c r="Q17" s="10" t="s">
        <v>283</v>
      </c>
      <c r="R17" s="10" t="s">
        <v>284</v>
      </c>
      <c r="S17" s="10" t="s">
        <v>285</v>
      </c>
      <c r="BD17" s="3" t="s">
        <v>403</v>
      </c>
    </row>
    <row r="18" spans="2:56" ht="40" customHeight="1" x14ac:dyDescent="0.4">
      <c r="B18" s="76"/>
      <c r="C18" s="77"/>
      <c r="D18" s="80" t="str">
        <f>CONCATENATE(Store_Setting[[#This Row],[Product
serial number]], IF(Store_Setting[[#This Row],[Product name]]="","", _xlfn.CONCAT(" | ",Store_Setting[[#This Row],[Product name]])))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83</v>
      </c>
      <c r="O18" s="13" t="s">
        <v>83</v>
      </c>
      <c r="P18" s="10" t="s">
        <v>286</v>
      </c>
      <c r="Q18" s="10" t="s">
        <v>287</v>
      </c>
      <c r="R18" s="10" t="s">
        <v>288</v>
      </c>
      <c r="S18" s="10" t="s">
        <v>270</v>
      </c>
      <c r="BD18" s="3" t="s">
        <v>422</v>
      </c>
    </row>
    <row r="19" spans="2:56" ht="40" customHeight="1" x14ac:dyDescent="0.4">
      <c r="B19" s="76"/>
      <c r="C19" s="77"/>
      <c r="D19" s="80" t="str">
        <f>CONCATENATE(Store_Setting[[#This Row],[Product
serial number]], IF(Store_Setting[[#This Row],[Product name]]="","", _xlfn.CONCAT(" | ",Store_Setting[[#This Row],[Product name]])))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83</v>
      </c>
      <c r="O19" s="13" t="s">
        <v>83</v>
      </c>
      <c r="P19" s="10" t="s">
        <v>289</v>
      </c>
      <c r="Q19" s="10" t="s">
        <v>290</v>
      </c>
      <c r="R19" s="10" t="s">
        <v>291</v>
      </c>
      <c r="S19" s="10" t="s">
        <v>271</v>
      </c>
      <c r="BD19" s="3" t="s">
        <v>423</v>
      </c>
    </row>
    <row r="20" spans="2:56" ht="40" customHeight="1" x14ac:dyDescent="0.4">
      <c r="B20" s="76"/>
      <c r="C20" s="77"/>
      <c r="D20" s="80" t="str">
        <f>CONCATENATE(Store_Setting[[#This Row],[Product
serial number]], IF(Store_Setting[[#This Row],[Product name]]="","", _xlfn.CONCAT(" | ",Store_Setting[[#This Row],[Product name]])))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83</v>
      </c>
      <c r="O20" s="13" t="s">
        <v>83</v>
      </c>
      <c r="P20" s="10" t="s">
        <v>292</v>
      </c>
      <c r="Q20" s="10" t="s">
        <v>293</v>
      </c>
      <c r="R20" s="10" t="s">
        <v>294</v>
      </c>
      <c r="S20" s="10" t="s">
        <v>295</v>
      </c>
      <c r="BD20" s="3" t="s">
        <v>410</v>
      </c>
    </row>
    <row r="21" spans="2:56" ht="40" customHeight="1" x14ac:dyDescent="0.4">
      <c r="B21" s="76"/>
      <c r="C21" s="77"/>
      <c r="D21" s="80" t="str">
        <f>CONCATENATE(Store_Setting[[#This Row],[Product
serial number]], IF(Store_Setting[[#This Row],[Product name]]="","", _xlfn.CONCAT(" | ",Store_Setting[[#This Row],[Product name]])))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83</v>
      </c>
      <c r="O21" s="13" t="s">
        <v>83</v>
      </c>
      <c r="P21" s="10" t="s">
        <v>296</v>
      </c>
      <c r="Q21" s="10" t="s">
        <v>297</v>
      </c>
      <c r="R21" s="10" t="s">
        <v>298</v>
      </c>
      <c r="S21" s="10" t="s">
        <v>273</v>
      </c>
      <c r="BD21" s="87" t="s">
        <v>454</v>
      </c>
    </row>
    <row r="22" spans="2:56" ht="40" customHeight="1" x14ac:dyDescent="0.4">
      <c r="B22" s="76"/>
      <c r="C22" s="77"/>
      <c r="D22" s="80" t="str">
        <f>CONCATENATE(Store_Setting[[#This Row],[Product
serial number]], IF(Store_Setting[[#This Row],[Product name]]="","", _xlfn.CONCAT(" | ",Store_Setting[[#This Row],[Product name]])))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83</v>
      </c>
      <c r="O22" s="13" t="s">
        <v>83</v>
      </c>
      <c r="P22" s="10" t="s">
        <v>299</v>
      </c>
      <c r="Q22" s="10" t="s">
        <v>300</v>
      </c>
      <c r="R22" s="10" t="s">
        <v>301</v>
      </c>
      <c r="S22" s="10" t="s">
        <v>274</v>
      </c>
      <c r="BB22" s="3" t="s">
        <v>424</v>
      </c>
      <c r="BD22" s="3" t="s">
        <v>426</v>
      </c>
    </row>
    <row r="23" spans="2:56" ht="40" customHeight="1" x14ac:dyDescent="0.4">
      <c r="B23" s="76"/>
      <c r="C23" s="77"/>
      <c r="D23" s="80" t="str">
        <f>CONCATENATE(Store_Setting[[#This Row],[Product
serial number]], IF(Store_Setting[[#This Row],[Product name]]="","", _xlfn.CONCAT(" | ",Store_Setting[[#This Row],[Product name]])))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83</v>
      </c>
      <c r="O23" s="13" t="s">
        <v>83</v>
      </c>
      <c r="P23" s="10" t="s">
        <v>302</v>
      </c>
      <c r="Q23" s="10" t="s">
        <v>303</v>
      </c>
      <c r="R23" s="10" t="s">
        <v>304</v>
      </c>
      <c r="S23" s="10" t="s">
        <v>305</v>
      </c>
      <c r="BD23" s="3" t="s">
        <v>427</v>
      </c>
    </row>
    <row r="24" spans="2:56" ht="40" customHeight="1" x14ac:dyDescent="0.4">
      <c r="B24" s="76"/>
      <c r="C24" s="77"/>
      <c r="D24" s="80" t="str">
        <f>CONCATENATE(Store_Setting[[#This Row],[Product
serial number]], IF(Store_Setting[[#This Row],[Product name]]="","", _xlfn.CONCAT(" | ",Store_Setting[[#This Row],[Product name]])))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83</v>
      </c>
      <c r="O24" s="13" t="s">
        <v>83</v>
      </c>
      <c r="P24" s="10" t="s">
        <v>306</v>
      </c>
      <c r="Q24" s="10" t="s">
        <v>307</v>
      </c>
      <c r="R24" s="10" t="s">
        <v>308</v>
      </c>
      <c r="S24" s="10" t="s">
        <v>277</v>
      </c>
      <c r="BD24" s="3" t="s">
        <v>428</v>
      </c>
    </row>
    <row r="25" spans="2:56" ht="40" customHeight="1" x14ac:dyDescent="0.4">
      <c r="B25" s="76"/>
      <c r="C25" s="77"/>
      <c r="D25" s="80" t="str">
        <f>CONCATENATE(Store_Setting[[#This Row],[Product
serial number]], IF(Store_Setting[[#This Row],[Product name]]="","", _xlfn.CONCAT(" | ",Store_Setting[[#This Row],[Product name]])))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83</v>
      </c>
      <c r="O25" s="13" t="s">
        <v>83</v>
      </c>
      <c r="P25" s="10" t="s">
        <v>309</v>
      </c>
      <c r="Q25" s="10" t="s">
        <v>310</v>
      </c>
      <c r="R25" s="10" t="s">
        <v>311</v>
      </c>
      <c r="S25" s="10" t="s">
        <v>278</v>
      </c>
      <c r="BB25" s="3" t="s">
        <v>425</v>
      </c>
      <c r="BD25" s="3" t="s">
        <v>429</v>
      </c>
    </row>
    <row r="26" spans="2:56" ht="40" customHeight="1" x14ac:dyDescent="0.4">
      <c r="B26" s="76"/>
      <c r="C26" s="77"/>
      <c r="D26" s="80" t="str">
        <f>CONCATENATE(Store_Setting[[#This Row],[Product
serial number]], IF(Store_Setting[[#This Row],[Product name]]="","", _xlfn.CONCAT(" | ",Store_Setting[[#This Row],[Product name]])))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83</v>
      </c>
      <c r="O26" s="13" t="s">
        <v>83</v>
      </c>
      <c r="P26" s="10" t="s">
        <v>312</v>
      </c>
      <c r="Q26" s="10" t="s">
        <v>313</v>
      </c>
      <c r="R26" s="10" t="s">
        <v>314</v>
      </c>
      <c r="S26" s="10" t="s">
        <v>315</v>
      </c>
      <c r="BD26" s="3" t="s">
        <v>430</v>
      </c>
    </row>
    <row r="27" spans="2:56" ht="40" customHeight="1" x14ac:dyDescent="0.4">
      <c r="B27" s="76"/>
      <c r="C27" s="77"/>
      <c r="D27" s="80" t="str">
        <f>CONCATENATE(Store_Setting[[#This Row],[Product
serial number]], IF(Store_Setting[[#This Row],[Product name]]="","", _xlfn.CONCAT(" | ",Store_Setting[[#This Row],[Product name]])))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83</v>
      </c>
      <c r="O27" s="13" t="s">
        <v>83</v>
      </c>
      <c r="P27" s="10" t="s">
        <v>316</v>
      </c>
      <c r="Q27" s="10" t="s">
        <v>317</v>
      </c>
      <c r="R27" s="10" t="s">
        <v>318</v>
      </c>
      <c r="S27" s="10" t="s">
        <v>280</v>
      </c>
      <c r="BD27" s="3" t="s">
        <v>431</v>
      </c>
    </row>
    <row r="28" spans="2:56" ht="40" customHeight="1" x14ac:dyDescent="0.4">
      <c r="B28" s="76"/>
      <c r="C28" s="77"/>
      <c r="D28" s="80" t="str">
        <f>CONCATENATE(Store_Setting[[#This Row],[Product
serial number]], IF(Store_Setting[[#This Row],[Product name]]="","", _xlfn.CONCAT(" | ",Store_Setting[[#This Row],[Product name]])))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83</v>
      </c>
      <c r="O28" s="13" t="s">
        <v>83</v>
      </c>
      <c r="P28" s="10" t="s">
        <v>319</v>
      </c>
      <c r="Q28" s="10" t="s">
        <v>320</v>
      </c>
      <c r="R28" s="10" t="s">
        <v>321</v>
      </c>
      <c r="S28" s="10" t="s">
        <v>281</v>
      </c>
      <c r="BD28" s="3" t="s">
        <v>432</v>
      </c>
    </row>
    <row r="29" spans="2:56" ht="40" customHeight="1" x14ac:dyDescent="0.4">
      <c r="B29" s="76"/>
      <c r="C29" s="77"/>
      <c r="D29" s="80" t="str">
        <f>CONCATENATE(Store_Setting[[#This Row],[Product
serial number]], IF(Store_Setting[[#This Row],[Product name]]="","", _xlfn.CONCAT(" | ",Store_Setting[[#This Row],[Product name]])))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83</v>
      </c>
      <c r="O29" s="13" t="s">
        <v>83</v>
      </c>
      <c r="P29" s="10" t="s">
        <v>322</v>
      </c>
      <c r="Q29" s="10" t="s">
        <v>323</v>
      </c>
      <c r="R29" s="10" t="s">
        <v>324</v>
      </c>
      <c r="S29" s="10" t="s">
        <v>325</v>
      </c>
      <c r="BD29" s="3" t="s">
        <v>433</v>
      </c>
    </row>
    <row r="30" spans="2:56" ht="40" customHeight="1" x14ac:dyDescent="0.4">
      <c r="B30" s="76"/>
      <c r="C30" s="77"/>
      <c r="D30" s="80" t="str">
        <f>CONCATENATE(Store_Setting[[#This Row],[Product
serial number]], IF(Store_Setting[[#This Row],[Product name]]="","", _xlfn.CONCAT(" | ",Store_Setting[[#This Row],[Product name]])))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83</v>
      </c>
      <c r="O30" s="13" t="s">
        <v>83</v>
      </c>
      <c r="P30" s="10" t="s">
        <v>326</v>
      </c>
      <c r="Q30" s="10" t="s">
        <v>327</v>
      </c>
      <c r="R30" s="10" t="s">
        <v>328</v>
      </c>
      <c r="S30" s="10" t="s">
        <v>283</v>
      </c>
      <c r="BD30" s="3" t="s">
        <v>434</v>
      </c>
    </row>
    <row r="31" spans="2:56" ht="40" customHeight="1" x14ac:dyDescent="0.4">
      <c r="B31" s="76"/>
      <c r="C31" s="77"/>
      <c r="D31" s="80" t="str">
        <f>CONCATENATE(Store_Setting[[#This Row],[Product
serial number]], IF(Store_Setting[[#This Row],[Product name]]="","", _xlfn.CONCAT(" | ",Store_Setting[[#This Row],[Product name]])))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83</v>
      </c>
      <c r="O31" s="13" t="s">
        <v>83</v>
      </c>
      <c r="P31" s="10" t="s">
        <v>329</v>
      </c>
      <c r="Q31" s="10" t="s">
        <v>330</v>
      </c>
      <c r="R31" s="10" t="s">
        <v>331</v>
      </c>
      <c r="S31" s="10" t="s">
        <v>284</v>
      </c>
      <c r="BD31" s="3" t="s">
        <v>435</v>
      </c>
    </row>
    <row r="32" spans="2:56" ht="40" customHeight="1" x14ac:dyDescent="0.4">
      <c r="B32" s="76"/>
      <c r="C32" s="77"/>
      <c r="D32" s="80" t="str">
        <f>CONCATENATE(Store_Setting[[#This Row],[Product
serial number]], IF(Store_Setting[[#This Row],[Product name]]="","", _xlfn.CONCAT(" | ",Store_Setting[[#This Row],[Product name]])))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83</v>
      </c>
      <c r="O32" s="13" t="s">
        <v>83</v>
      </c>
      <c r="P32" s="10" t="s">
        <v>332</v>
      </c>
      <c r="Q32" s="10" t="s">
        <v>333</v>
      </c>
      <c r="R32" s="10" t="s">
        <v>334</v>
      </c>
      <c r="S32" s="10" t="s">
        <v>335</v>
      </c>
      <c r="BD32" s="3" t="s">
        <v>436</v>
      </c>
    </row>
    <row r="33" spans="2:56" ht="40" customHeight="1" x14ac:dyDescent="0.4">
      <c r="B33" s="76"/>
      <c r="C33" s="77"/>
      <c r="D33" s="80" t="str">
        <f>CONCATENATE(Store_Setting[[#This Row],[Product
serial number]], IF(Store_Setting[[#This Row],[Product name]]="","", _xlfn.CONCAT(" | ",Store_Setting[[#This Row],[Product name]])))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83</v>
      </c>
      <c r="O33" s="13" t="s">
        <v>83</v>
      </c>
      <c r="P33" s="10" t="s">
        <v>336</v>
      </c>
      <c r="Q33" s="10" t="s">
        <v>337</v>
      </c>
      <c r="R33" s="10" t="s">
        <v>338</v>
      </c>
      <c r="S33" s="10" t="s">
        <v>287</v>
      </c>
      <c r="BD33" s="3" t="s">
        <v>437</v>
      </c>
    </row>
    <row r="34" spans="2:56" ht="40" customHeight="1" x14ac:dyDescent="0.4">
      <c r="B34" s="76"/>
      <c r="C34" s="77"/>
      <c r="D34" s="80" t="str">
        <f>CONCATENATE(Store_Setting[[#This Row],[Product
serial number]], IF(Store_Setting[[#This Row],[Product name]]="","", _xlfn.CONCAT(" | ",Store_Setting[[#This Row],[Product name]])))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83</v>
      </c>
      <c r="O34" s="13" t="s">
        <v>83</v>
      </c>
      <c r="P34" s="10" t="s">
        <v>339</v>
      </c>
      <c r="Q34" s="10" t="s">
        <v>340</v>
      </c>
      <c r="R34" s="10" t="s">
        <v>341</v>
      </c>
      <c r="S34" s="10" t="s">
        <v>288</v>
      </c>
      <c r="BD34" s="3" t="s">
        <v>438</v>
      </c>
    </row>
    <row r="35" spans="2:56" ht="40" customHeight="1" x14ac:dyDescent="0.4">
      <c r="B35" s="76"/>
      <c r="C35" s="77"/>
      <c r="D35" s="80" t="str">
        <f>CONCATENATE(Store_Setting[[#This Row],[Product
serial number]], IF(Store_Setting[[#This Row],[Product name]]="","", _xlfn.CONCAT(" | ",Store_Setting[[#This Row],[Product name]])))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83</v>
      </c>
      <c r="O35" s="13" t="s">
        <v>83</v>
      </c>
      <c r="P35" s="10" t="s">
        <v>342</v>
      </c>
      <c r="Q35" s="10" t="s">
        <v>343</v>
      </c>
      <c r="R35" s="10" t="s">
        <v>344</v>
      </c>
      <c r="S35" s="10" t="s">
        <v>345</v>
      </c>
      <c r="BD35" s="3" t="s">
        <v>466</v>
      </c>
    </row>
    <row r="36" spans="2:56" ht="40" customHeight="1" x14ac:dyDescent="0.4">
      <c r="B36" s="76"/>
      <c r="C36" s="77"/>
      <c r="D36" s="80" t="str">
        <f>CONCATENATE(Store_Setting[[#This Row],[Product
serial number]], IF(Store_Setting[[#This Row],[Product name]]="","", _xlfn.CONCAT(" | ",Store_Setting[[#This Row],[Product name]])))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83</v>
      </c>
      <c r="O36" s="13" t="s">
        <v>83</v>
      </c>
      <c r="P36" s="10" t="s">
        <v>346</v>
      </c>
      <c r="Q36" s="10" t="s">
        <v>347</v>
      </c>
      <c r="R36" s="10" t="s">
        <v>348</v>
      </c>
      <c r="S36" s="10" t="s">
        <v>290</v>
      </c>
      <c r="BB36" s="3" t="s">
        <v>191</v>
      </c>
      <c r="BD36" s="3" t="s">
        <v>439</v>
      </c>
    </row>
    <row r="37" spans="2:56" ht="40" customHeight="1" x14ac:dyDescent="0.4">
      <c r="B37" s="76"/>
      <c r="C37" s="77"/>
      <c r="D37" s="80" t="str">
        <f>CONCATENATE(Store_Setting[[#This Row],[Product
serial number]], IF(Store_Setting[[#This Row],[Product name]]="","", _xlfn.CONCAT(" | ",Store_Setting[[#This Row],[Product name]])))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83</v>
      </c>
      <c r="O37" s="13" t="s">
        <v>83</v>
      </c>
      <c r="P37" s="10" t="s">
        <v>349</v>
      </c>
      <c r="Q37" s="10" t="s">
        <v>350</v>
      </c>
      <c r="R37" s="10" t="s">
        <v>351</v>
      </c>
      <c r="S37" s="10" t="s">
        <v>291</v>
      </c>
      <c r="BD37" s="3" t="s">
        <v>440</v>
      </c>
    </row>
    <row r="38" spans="2:56" ht="40" customHeight="1" x14ac:dyDescent="0.4">
      <c r="B38" s="76"/>
      <c r="C38" s="77"/>
      <c r="D38" s="80" t="str">
        <f>CONCATENATE(Store_Setting[[#This Row],[Product
serial number]], IF(Store_Setting[[#This Row],[Product name]]="","", _xlfn.CONCAT(" | ",Store_Setting[[#This Row],[Product name]])))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83</v>
      </c>
      <c r="O38" s="13" t="s">
        <v>83</v>
      </c>
      <c r="P38" s="10" t="s">
        <v>352</v>
      </c>
      <c r="Q38" s="10" t="s">
        <v>353</v>
      </c>
      <c r="R38" s="10" t="s">
        <v>354</v>
      </c>
      <c r="S38" s="10" t="s">
        <v>355</v>
      </c>
      <c r="BD38" s="3" t="s">
        <v>453</v>
      </c>
    </row>
    <row r="39" spans="2:56" ht="40" customHeight="1" x14ac:dyDescent="0.4">
      <c r="B39" s="76"/>
      <c r="C39" s="77"/>
      <c r="D39" s="80" t="str">
        <f>CONCATENATE(Store_Setting[[#This Row],[Product
serial number]], IF(Store_Setting[[#This Row],[Product name]]="","", _xlfn.CONCAT(" | ",Store_Setting[[#This Row],[Product name]])))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83</v>
      </c>
      <c r="O39" s="13" t="s">
        <v>83</v>
      </c>
      <c r="P39" s="10" t="s">
        <v>356</v>
      </c>
      <c r="Q39" s="10" t="s">
        <v>357</v>
      </c>
      <c r="R39" s="10" t="s">
        <v>358</v>
      </c>
      <c r="S39" s="10" t="s">
        <v>293</v>
      </c>
      <c r="BD39" s="3" t="s">
        <v>451</v>
      </c>
    </row>
    <row r="40" spans="2:56" ht="40" customHeight="1" x14ac:dyDescent="0.4">
      <c r="B40" s="76"/>
      <c r="C40" s="77"/>
      <c r="D40" s="80" t="str">
        <f>CONCATENATE(Store_Setting[[#This Row],[Product
serial number]], IF(Store_Setting[[#This Row],[Product name]]="","", _xlfn.CONCAT(" | ",Store_Setting[[#This Row],[Product name]])))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83</v>
      </c>
      <c r="O40" s="13" t="s">
        <v>83</v>
      </c>
      <c r="P40" s="10" t="s">
        <v>359</v>
      </c>
      <c r="Q40" s="10" t="s">
        <v>360</v>
      </c>
      <c r="R40" s="10" t="s">
        <v>361</v>
      </c>
      <c r="S40" s="10" t="s">
        <v>294</v>
      </c>
      <c r="BD40" s="3" t="s">
        <v>452</v>
      </c>
    </row>
    <row r="41" spans="2:56" ht="40" customHeight="1" x14ac:dyDescent="0.4">
      <c r="B41" s="76"/>
      <c r="C41" s="77"/>
      <c r="D41" s="80" t="str">
        <f>CONCATENATE(Store_Setting[[#This Row],[Product
serial number]], IF(Store_Setting[[#This Row],[Product name]]="","", _xlfn.CONCAT(" | ",Store_Setting[[#This Row],[Product name]])))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83</v>
      </c>
      <c r="O41" s="13" t="s">
        <v>83</v>
      </c>
      <c r="P41" s="10" t="s">
        <v>362</v>
      </c>
      <c r="Q41" s="10" t="s">
        <v>363</v>
      </c>
      <c r="R41" s="10" t="s">
        <v>364</v>
      </c>
      <c r="S41" s="10" t="s">
        <v>365</v>
      </c>
      <c r="BD41" s="3" t="s">
        <v>465</v>
      </c>
    </row>
    <row r="42" spans="2:56" ht="40" customHeight="1" x14ac:dyDescent="0.4">
      <c r="B42" s="76"/>
      <c r="C42" s="77"/>
      <c r="D42" s="80" t="str">
        <f>CONCATENATE(Store_Setting[[#This Row],[Product
serial number]], IF(Store_Setting[[#This Row],[Product name]]="","", _xlfn.CONCAT(" | ",Store_Setting[[#This Row],[Product name]])))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83</v>
      </c>
      <c r="O42" s="13" t="s">
        <v>83</v>
      </c>
      <c r="P42" s="10" t="s">
        <v>366</v>
      </c>
      <c r="Q42" s="10" t="s">
        <v>367</v>
      </c>
      <c r="R42" s="10" t="s">
        <v>368</v>
      </c>
      <c r="S42" s="10" t="s">
        <v>297</v>
      </c>
      <c r="BD42" s="3" t="s">
        <v>484</v>
      </c>
    </row>
    <row r="43" spans="2:56" ht="40" customHeight="1" x14ac:dyDescent="0.4">
      <c r="B43" s="76"/>
      <c r="C43" s="77"/>
      <c r="D43" s="80" t="str">
        <f>CONCATENATE(Store_Setting[[#This Row],[Product
serial number]], IF(Store_Setting[[#This Row],[Product name]]="","", _xlfn.CONCAT(" | ",Store_Setting[[#This Row],[Product name]])))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83</v>
      </c>
      <c r="O43" s="13" t="s">
        <v>83</v>
      </c>
      <c r="P43" s="10" t="s">
        <v>369</v>
      </c>
      <c r="Q43" s="10" t="s">
        <v>370</v>
      </c>
      <c r="R43" s="10" t="s">
        <v>371</v>
      </c>
      <c r="S43" s="10" t="s">
        <v>298</v>
      </c>
    </row>
    <row r="44" spans="2:56" ht="40" customHeight="1" x14ac:dyDescent="0.4">
      <c r="B44" s="76"/>
      <c r="C44" s="77"/>
      <c r="D44" s="80" t="str">
        <f>CONCATENATE(Store_Setting[[#This Row],[Product
serial number]], IF(Store_Setting[[#This Row],[Product name]]="","", _xlfn.CONCAT(" | ",Store_Setting[[#This Row],[Product name]])))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83</v>
      </c>
      <c r="O44" s="13" t="s">
        <v>83</v>
      </c>
      <c r="P44" s="10" t="s">
        <v>372</v>
      </c>
      <c r="Q44" s="10" t="s">
        <v>373</v>
      </c>
      <c r="R44" s="10" t="s">
        <v>374</v>
      </c>
      <c r="S44" s="10" t="s">
        <v>375</v>
      </c>
    </row>
    <row r="45" spans="2:56" ht="40" customHeight="1" x14ac:dyDescent="0.4">
      <c r="B45" s="76"/>
      <c r="C45" s="77"/>
      <c r="D45" s="80" t="str">
        <f>CONCATENATE(Store_Setting[[#This Row],[Product
serial number]], IF(Store_Setting[[#This Row],[Product name]]="","", _xlfn.CONCAT(" | ",Store_Setting[[#This Row],[Product name]])))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83</v>
      </c>
      <c r="O45" s="13" t="s">
        <v>83</v>
      </c>
      <c r="P45" s="10" t="s">
        <v>376</v>
      </c>
      <c r="Q45" s="10" t="s">
        <v>377</v>
      </c>
      <c r="R45" s="10" t="s">
        <v>378</v>
      </c>
      <c r="S45" s="10" t="s">
        <v>300</v>
      </c>
    </row>
    <row r="46" spans="2:56" ht="40" customHeight="1" x14ac:dyDescent="0.4">
      <c r="B46" s="76"/>
      <c r="C46" s="77"/>
      <c r="D46" s="80" t="str">
        <f>CONCATENATE(Store_Setting[[#This Row],[Product
serial number]], IF(Store_Setting[[#This Row],[Product name]]="","", _xlfn.CONCAT(" | ",Store_Setting[[#This Row],[Product name]])))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83</v>
      </c>
      <c r="O46" s="13" t="s">
        <v>83</v>
      </c>
      <c r="P46" s="10" t="s">
        <v>379</v>
      </c>
      <c r="Q46" s="10" t="s">
        <v>380</v>
      </c>
      <c r="R46" s="10" t="s">
        <v>381</v>
      </c>
      <c r="S46" s="10" t="s">
        <v>301</v>
      </c>
    </row>
    <row r="47" spans="2:56" ht="40" customHeight="1" x14ac:dyDescent="0.4">
      <c r="B47" s="76"/>
      <c r="C47" s="77"/>
      <c r="D47" s="80" t="str">
        <f>CONCATENATE(Store_Setting[[#This Row],[Product
serial number]], IF(Store_Setting[[#This Row],[Product name]]="","", _xlfn.CONCAT(" | ",Store_Setting[[#This Row],[Product name]])))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83</v>
      </c>
      <c r="O47" s="13" t="s">
        <v>83</v>
      </c>
      <c r="P47" s="10" t="s">
        <v>382</v>
      </c>
      <c r="Q47" s="10" t="s">
        <v>383</v>
      </c>
      <c r="R47" s="10" t="s">
        <v>384</v>
      </c>
      <c r="S47" s="10" t="s">
        <v>385</v>
      </c>
    </row>
    <row r="48" spans="2:56" ht="40" customHeight="1" x14ac:dyDescent="0.4">
      <c r="B48" s="76"/>
      <c r="C48" s="77"/>
      <c r="D48" s="80" t="str">
        <f>CONCATENATE(Store_Setting[[#This Row],[Product
serial number]], IF(Store_Setting[[#This Row],[Product name]]="","", _xlfn.CONCAT(" | ",Store_Setting[[#This Row],[Product name]])))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83</v>
      </c>
      <c r="O48" s="13" t="s">
        <v>83</v>
      </c>
      <c r="P48" s="10" t="s">
        <v>386</v>
      </c>
      <c r="Q48" s="10" t="s">
        <v>387</v>
      </c>
      <c r="R48" s="10" t="s">
        <v>388</v>
      </c>
      <c r="S48" s="10" t="s">
        <v>303</v>
      </c>
    </row>
    <row r="49" spans="2:19" ht="40" customHeight="1" x14ac:dyDescent="0.4">
      <c r="B49" s="76"/>
      <c r="C49" s="77"/>
      <c r="D49" s="80" t="str">
        <f>CONCATENATE(Store_Setting[[#This Row],[Product
serial number]], IF(Store_Setting[[#This Row],[Product name]]="","", _xlfn.CONCAT(" | ",Store_Setting[[#This Row],[Product name]])))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83</v>
      </c>
      <c r="O49" s="13" t="s">
        <v>83</v>
      </c>
      <c r="P49" s="10" t="s">
        <v>389</v>
      </c>
      <c r="Q49" s="10" t="s">
        <v>390</v>
      </c>
      <c r="R49" s="10" t="s">
        <v>391</v>
      </c>
      <c r="S49" s="10" t="s">
        <v>304</v>
      </c>
    </row>
    <row r="50" spans="2:19" ht="40" customHeight="1" x14ac:dyDescent="0.4">
      <c r="B50" s="76"/>
      <c r="C50" s="77"/>
      <c r="D50" s="80" t="str">
        <f>CONCATENATE(Store_Setting[[#This Row],[Product
serial number]], IF(Store_Setting[[#This Row],[Product name]]="","", _xlfn.CONCAT(" | ",Store_Setting[[#This Row],[Product name]])))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83</v>
      </c>
      <c r="O50" s="13" t="s">
        <v>83</v>
      </c>
      <c r="P50" s="10" t="s">
        <v>392</v>
      </c>
      <c r="Q50" s="10" t="s">
        <v>393</v>
      </c>
      <c r="R50" s="10" t="s">
        <v>394</v>
      </c>
      <c r="S50" s="10" t="s">
        <v>395</v>
      </c>
    </row>
    <row r="51" spans="2:19" ht="8.15" customHeight="1" x14ac:dyDescent="0.4"/>
    <row r="52" spans="2:19" ht="40" customHeight="1" x14ac:dyDescent="0.4">
      <c r="B52" s="76" t="s">
        <v>53</v>
      </c>
      <c r="C52" s="77" t="s">
        <v>193</v>
      </c>
      <c r="D52" s="82" t="s">
        <v>455</v>
      </c>
      <c r="E52" s="91" t="s">
        <v>477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4">
      <c r="B53" s="76"/>
      <c r="C53" s="77" t="s">
        <v>194</v>
      </c>
      <c r="D53" s="84" t="s">
        <v>464</v>
      </c>
      <c r="E53" s="84" t="s">
        <v>455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4">
      <c r="B54" s="76"/>
      <c r="C54" s="77" t="s">
        <v>192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4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4">
      <c r="B56" s="76" t="s">
        <v>54</v>
      </c>
      <c r="C56" s="83" t="s">
        <v>468</v>
      </c>
      <c r="D56" s="112" t="s">
        <v>469</v>
      </c>
      <c r="E56" s="91" t="s">
        <v>470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55" customHeight="1" x14ac:dyDescent="0.4">
      <c r="B57" s="76"/>
      <c r="C57" s="83" t="s">
        <v>471</v>
      </c>
      <c r="D57" s="112" t="s">
        <v>469</v>
      </c>
      <c r="E57" s="112" t="s">
        <v>472</v>
      </c>
      <c r="F57" s="112" t="s">
        <v>473</v>
      </c>
      <c r="G57" s="113" t="s">
        <v>474</v>
      </c>
      <c r="H57" s="113" t="s">
        <v>475</v>
      </c>
      <c r="I57" s="113" t="s">
        <v>476</v>
      </c>
      <c r="J57" s="113"/>
      <c r="K57" s="113"/>
      <c r="L57" s="113"/>
      <c r="M57" s="113"/>
      <c r="N57" s="113"/>
      <c r="O57" s="113"/>
    </row>
    <row r="58" spans="2:19" ht="55" customHeight="1" x14ac:dyDescent="0.4">
      <c r="B58" s="76"/>
      <c r="C58" s="83" t="s">
        <v>61</v>
      </c>
      <c r="D58" s="83" t="s">
        <v>471</v>
      </c>
      <c r="E58" s="83" t="s">
        <v>70</v>
      </c>
      <c r="F58" s="83" t="s">
        <v>71</v>
      </c>
      <c r="G58" s="83" t="s">
        <v>72</v>
      </c>
      <c r="H58" s="114" t="s">
        <v>73</v>
      </c>
      <c r="I58" s="114" t="s">
        <v>1</v>
      </c>
      <c r="J58" s="114" t="s">
        <v>74</v>
      </c>
      <c r="K58" s="114" t="s">
        <v>400</v>
      </c>
      <c r="L58" s="114" t="s">
        <v>401</v>
      </c>
      <c r="M58" s="114" t="s">
        <v>87</v>
      </c>
      <c r="N58" s="114" t="s">
        <v>448</v>
      </c>
      <c r="O58" s="114" t="s">
        <v>411</v>
      </c>
    </row>
    <row r="59" spans="2:19" ht="40" customHeight="1" x14ac:dyDescent="0.4">
      <c r="B59" s="76"/>
      <c r="C59" s="83"/>
      <c r="D59" s="90" t="s">
        <v>83</v>
      </c>
      <c r="E59" s="90" t="s">
        <v>84</v>
      </c>
      <c r="F59" s="90" t="s">
        <v>84</v>
      </c>
      <c r="G59" s="90" t="s">
        <v>84</v>
      </c>
      <c r="H59" s="90" t="s">
        <v>84</v>
      </c>
      <c r="I59" s="90" t="s">
        <v>84</v>
      </c>
      <c r="J59" s="90" t="s">
        <v>84</v>
      </c>
      <c r="K59" s="91" t="s">
        <v>402</v>
      </c>
      <c r="L59" s="89"/>
      <c r="M59" s="89"/>
      <c r="N59" s="89"/>
      <c r="O59" s="89"/>
    </row>
    <row r="60" spans="2:19" ht="55" customHeight="1" x14ac:dyDescent="0.4">
      <c r="B60" s="76"/>
      <c r="C60" s="83" t="s">
        <v>404</v>
      </c>
      <c r="D60" s="90" t="s">
        <v>403</v>
      </c>
      <c r="E60" s="90" t="s">
        <v>403</v>
      </c>
      <c r="F60" s="90" t="s">
        <v>403</v>
      </c>
      <c r="G60" s="90" t="s">
        <v>422</v>
      </c>
      <c r="H60" s="90" t="s">
        <v>422</v>
      </c>
      <c r="I60" s="90" t="s">
        <v>422</v>
      </c>
      <c r="J60" s="90" t="s">
        <v>422</v>
      </c>
      <c r="K60" s="90" t="s">
        <v>403</v>
      </c>
      <c r="L60" s="90" t="s">
        <v>403</v>
      </c>
      <c r="M60" s="90" t="s">
        <v>403</v>
      </c>
      <c r="N60" s="90" t="s">
        <v>403</v>
      </c>
      <c r="O60" s="90" t="s">
        <v>403</v>
      </c>
    </row>
    <row r="61" spans="2:19" ht="55" customHeight="1" x14ac:dyDescent="0.4">
      <c r="B61" s="76"/>
      <c r="C61" s="83" t="s">
        <v>405</v>
      </c>
      <c r="D61" s="90" t="s">
        <v>403</v>
      </c>
      <c r="E61" s="90" t="s">
        <v>403</v>
      </c>
      <c r="F61" s="90" t="s">
        <v>403</v>
      </c>
      <c r="G61" s="90" t="s">
        <v>403</v>
      </c>
      <c r="H61" s="90" t="s">
        <v>403</v>
      </c>
      <c r="I61" s="90" t="s">
        <v>403</v>
      </c>
      <c r="J61" s="90" t="s">
        <v>403</v>
      </c>
      <c r="K61" s="91"/>
      <c r="L61" s="90" t="s">
        <v>403</v>
      </c>
      <c r="M61" s="90" t="s">
        <v>403</v>
      </c>
      <c r="N61" s="91"/>
      <c r="O61" s="89"/>
    </row>
    <row r="62" spans="2:19" ht="55" customHeight="1" x14ac:dyDescent="0.4">
      <c r="B62" s="76"/>
      <c r="C62" s="83" t="s">
        <v>441</v>
      </c>
      <c r="D62" s="90" t="s">
        <v>84</v>
      </c>
      <c r="E62" s="91" t="s">
        <v>82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4">
      <c r="B63" s="76"/>
      <c r="C63" s="83" t="s">
        <v>456</v>
      </c>
      <c r="D63" s="90" t="s">
        <v>83</v>
      </c>
      <c r="E63" s="91" t="s">
        <v>249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4">
      <c r="B64" s="76"/>
      <c r="C64" s="83" t="s">
        <v>408</v>
      </c>
      <c r="D64" s="90" t="s">
        <v>83</v>
      </c>
      <c r="E64" s="91" t="s">
        <v>407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4">
      <c r="B65" s="76"/>
      <c r="C65" s="83" t="s">
        <v>457</v>
      </c>
      <c r="D65" s="90" t="s">
        <v>83</v>
      </c>
      <c r="E65" s="91" t="s">
        <v>248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4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4">
      <c r="B67" s="76" t="s">
        <v>55</v>
      </c>
      <c r="C67" s="83" t="s">
        <v>94</v>
      </c>
      <c r="D67" s="82" t="s">
        <v>184</v>
      </c>
      <c r="E67" s="82" t="s">
        <v>185</v>
      </c>
      <c r="F67" s="82" t="s">
        <v>68</v>
      </c>
      <c r="G67" s="82" t="s">
        <v>186</v>
      </c>
      <c r="H67" s="82" t="s">
        <v>187</v>
      </c>
      <c r="I67" s="82" t="s">
        <v>69</v>
      </c>
      <c r="J67" s="82" t="s">
        <v>188</v>
      </c>
      <c r="K67" s="82"/>
      <c r="L67" s="82"/>
      <c r="M67" s="82"/>
      <c r="N67" s="82"/>
      <c r="O67" s="82"/>
    </row>
    <row r="68" spans="2:15" ht="55" customHeight="1" x14ac:dyDescent="0.4">
      <c r="B68" s="76"/>
      <c r="C68" s="83" t="s">
        <v>62</v>
      </c>
      <c r="D68" s="90" t="s">
        <v>83</v>
      </c>
      <c r="E68" s="91" t="s">
        <v>81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4">
      <c r="B69" s="76"/>
      <c r="C69" s="83" t="s">
        <v>458</v>
      </c>
      <c r="D69" s="90" t="s">
        <v>83</v>
      </c>
      <c r="E69" s="91" t="s">
        <v>250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4">
      <c r="B70" s="76"/>
      <c r="C70" s="83" t="s">
        <v>459</v>
      </c>
      <c r="D70" s="90" t="s">
        <v>83</v>
      </c>
      <c r="E70" s="91" t="s">
        <v>251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4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s="121" customFormat="1" ht="65.05" customHeight="1" x14ac:dyDescent="0.4">
      <c r="B72" s="118" t="s">
        <v>56</v>
      </c>
      <c r="C72" s="119"/>
      <c r="D72" s="122" t="s">
        <v>480</v>
      </c>
      <c r="E72" s="122" t="s">
        <v>478</v>
      </c>
      <c r="F72" s="122" t="s">
        <v>479</v>
      </c>
      <c r="G72" s="88" t="s">
        <v>481</v>
      </c>
      <c r="H72" s="89"/>
      <c r="I72" s="89"/>
      <c r="J72" s="120"/>
      <c r="K72" s="120"/>
      <c r="L72" s="120"/>
      <c r="M72" s="120"/>
      <c r="N72" s="120"/>
      <c r="O72" s="120"/>
    </row>
    <row r="73" spans="2:15" s="121" customFormat="1" ht="55" customHeight="1" x14ac:dyDescent="0.4">
      <c r="B73" s="118"/>
      <c r="C73" s="122" t="s">
        <v>60</v>
      </c>
      <c r="D73" s="90" t="s">
        <v>83</v>
      </c>
      <c r="E73" s="90" t="s">
        <v>83</v>
      </c>
      <c r="F73" s="90" t="s">
        <v>83</v>
      </c>
      <c r="G73" s="125">
        <v>1</v>
      </c>
      <c r="H73" s="91" t="s">
        <v>482</v>
      </c>
      <c r="I73" s="120"/>
      <c r="J73" s="120"/>
      <c r="K73" s="120"/>
      <c r="L73" s="120"/>
      <c r="M73" s="120"/>
      <c r="N73" s="120"/>
      <c r="O73" s="120"/>
    </row>
    <row r="74" spans="2:15" s="121" customFormat="1" ht="40" customHeight="1" x14ac:dyDescent="0.4">
      <c r="B74" s="118"/>
      <c r="C74" s="122" t="s">
        <v>442</v>
      </c>
      <c r="D74" s="90" t="s">
        <v>83</v>
      </c>
      <c r="E74" s="90" t="s">
        <v>83</v>
      </c>
      <c r="F74" s="90" t="s">
        <v>83</v>
      </c>
      <c r="G74" s="125">
        <v>1</v>
      </c>
      <c r="H74" s="91" t="s">
        <v>483</v>
      </c>
      <c r="I74" s="120"/>
      <c r="J74" s="120"/>
      <c r="K74" s="120"/>
      <c r="L74" s="120"/>
      <c r="M74" s="120"/>
      <c r="N74" s="120"/>
      <c r="O74" s="120"/>
    </row>
    <row r="75" spans="2:15" s="121" customFormat="1" ht="40" customHeight="1" x14ac:dyDescent="0.4">
      <c r="B75" s="118"/>
      <c r="C75" s="122" t="s">
        <v>191</v>
      </c>
      <c r="D75" s="90" t="s">
        <v>83</v>
      </c>
      <c r="E75" s="90" t="s">
        <v>83</v>
      </c>
      <c r="F75" s="90" t="s">
        <v>83</v>
      </c>
      <c r="G75" s="125">
        <v>1</v>
      </c>
      <c r="H75" s="91" t="s">
        <v>482</v>
      </c>
      <c r="I75" s="120"/>
      <c r="J75" s="120"/>
      <c r="K75" s="120"/>
      <c r="L75" s="120"/>
      <c r="M75" s="120"/>
      <c r="N75" s="120"/>
      <c r="O75" s="120"/>
    </row>
    <row r="76" spans="2:15" s="121" customFormat="1" ht="8.25" customHeight="1" x14ac:dyDescent="0.4">
      <c r="B76" s="123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65.05" customHeight="1" x14ac:dyDescent="0.4">
      <c r="B77" s="76" t="s">
        <v>57</v>
      </c>
      <c r="C77" s="77" t="s">
        <v>444</v>
      </c>
      <c r="D77" s="88" t="s">
        <v>461</v>
      </c>
      <c r="E77" s="88" t="s">
        <v>463</v>
      </c>
      <c r="F77" s="88" t="s">
        <v>462</v>
      </c>
      <c r="G77" s="88" t="s">
        <v>460</v>
      </c>
      <c r="H77" s="91" t="s">
        <v>449</v>
      </c>
      <c r="I77" s="89"/>
      <c r="J77" s="89"/>
      <c r="K77" s="89"/>
      <c r="L77" s="89"/>
      <c r="M77" s="89"/>
      <c r="N77" s="89"/>
      <c r="O77" s="89"/>
    </row>
    <row r="78" spans="2:15" ht="50.05" customHeight="1" x14ac:dyDescent="0.4">
      <c r="B78" s="76"/>
      <c r="C78" s="77"/>
      <c r="D78" s="90" t="s">
        <v>84</v>
      </c>
      <c r="E78" s="90" t="s">
        <v>84</v>
      </c>
      <c r="F78" s="90" t="s">
        <v>84</v>
      </c>
      <c r="G78" s="90" t="s">
        <v>83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4">
      <c r="B79" s="76"/>
      <c r="C79" s="77"/>
      <c r="D79" s="88" t="s">
        <v>443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s="117" customFormat="1" ht="8.15" customHeight="1" x14ac:dyDescent="0.4"/>
    <row r="81" spans="2:15" ht="40" hidden="1" customHeight="1" x14ac:dyDescent="0.4">
      <c r="B81" s="96"/>
      <c r="C81" s="83" t="s">
        <v>92</v>
      </c>
      <c r="D81" s="97" t="s">
        <v>64</v>
      </c>
      <c r="E81" s="97" t="s">
        <v>66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4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4">
      <c r="B83" s="96"/>
      <c r="C83" s="83" t="s">
        <v>63</v>
      </c>
      <c r="D83" s="97" t="s">
        <v>65</v>
      </c>
      <c r="E83" s="97" t="s">
        <v>67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4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4">
      <c r="B85" s="96"/>
      <c r="C85" s="83" t="s">
        <v>71</v>
      </c>
      <c r="D85" s="97" t="s">
        <v>189</v>
      </c>
      <c r="E85" s="97" t="s">
        <v>190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4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4">
      <c r="B87" s="96" t="s">
        <v>237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4">
      <c r="B88" s="96"/>
      <c r="C88" s="100" t="s">
        <v>60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4">
      <c r="B89" s="96"/>
      <c r="C89" s="99" t="s">
        <v>191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4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4">
      <c r="B91" s="96"/>
      <c r="C91" s="99" t="s">
        <v>94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4"/>
    <row r="93" spans="2:15" ht="40" customHeight="1" x14ac:dyDescent="0.4">
      <c r="B93" s="102" t="s">
        <v>58</v>
      </c>
      <c r="C93" s="103"/>
      <c r="D93" s="103"/>
      <c r="E93" s="103"/>
    </row>
    <row r="94" spans="2:15" ht="40" customHeight="1" x14ac:dyDescent="0.4">
      <c r="B94" s="93" t="s">
        <v>445</v>
      </c>
      <c r="C94" s="104" t="s">
        <v>23</v>
      </c>
      <c r="D94" s="105"/>
      <c r="E94" s="105"/>
    </row>
    <row r="95" spans="2:15" ht="40" customHeight="1" x14ac:dyDescent="0.4">
      <c r="B95" s="106" t="s">
        <v>447</v>
      </c>
      <c r="C95" s="107" t="s">
        <v>0</v>
      </c>
      <c r="D95" s="108"/>
      <c r="E95" s="108"/>
    </row>
    <row r="96" spans="2:15" ht="40" customHeight="1" x14ac:dyDescent="0.4">
      <c r="B96" s="93" t="s">
        <v>446</v>
      </c>
      <c r="C96" s="104" t="s">
        <v>22</v>
      </c>
      <c r="D96" s="105"/>
      <c r="E96" s="105"/>
    </row>
    <row r="97" spans="2:5" ht="40" customHeight="1" x14ac:dyDescent="0.4">
      <c r="B97" s="106" t="s">
        <v>59</v>
      </c>
      <c r="C97" s="104" t="s">
        <v>485</v>
      </c>
      <c r="D97" s="104"/>
      <c r="E97" s="104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27" priority="2">
      <formula>MOD(ROW(),2)=1</formula>
    </cfRule>
    <cfRule type="expression" dxfId="42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D73:F75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G73:G75" xr:uid="{FAC6D757-1A37-43CC-873D-5EC91EC5394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2:7" s="78" customFormat="1" ht="6" customHeight="1" x14ac:dyDescent="0.4"/>
    <row r="2" spans="2:7" s="2" customFormat="1" ht="55" customHeight="1" x14ac:dyDescent="0.4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48" t="s">
        <v>239</v>
      </c>
      <c r="D5" s="49"/>
      <c r="E5" s="50"/>
      <c r="F5" s="51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1" t="s">
        <v>75</v>
      </c>
      <c r="D7" s="61" t="s">
        <v>91</v>
      </c>
      <c r="E7" s="65"/>
      <c r="F7" s="56">
        <v>-1</v>
      </c>
      <c r="G7" s="3"/>
    </row>
    <row r="8" spans="2:7" ht="35.15" customHeight="1" x14ac:dyDescent="0.4">
      <c r="B8" s="3"/>
      <c r="C8" s="3"/>
      <c r="D8" s="66" t="s">
        <v>240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6" t="s">
        <v>236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1" t="s">
        <v>90</v>
      </c>
      <c r="D11" s="61" t="s">
        <v>92</v>
      </c>
      <c r="E11" s="68"/>
      <c r="F11" s="58">
        <v>-1</v>
      </c>
      <c r="G11" s="3"/>
    </row>
    <row r="12" spans="2:7" ht="35.15" customHeight="1" x14ac:dyDescent="0.4">
      <c r="B12" s="3"/>
      <c r="C12" s="3"/>
      <c r="D12" s="61" t="s">
        <v>93</v>
      </c>
      <c r="E12" s="69"/>
      <c r="F12" s="58">
        <v>-1</v>
      </c>
      <c r="G12" s="3"/>
    </row>
    <row r="13" spans="2:7" ht="35.15" customHeight="1" x14ac:dyDescent="0.4">
      <c r="B13" s="3"/>
      <c r="C13" s="3"/>
      <c r="D13" s="61" t="s">
        <v>94</v>
      </c>
      <c r="E13" s="65"/>
      <c r="F13" s="56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1" t="s">
        <v>87</v>
      </c>
      <c r="E15" s="55"/>
      <c r="F15" s="56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1" t="s">
        <v>241</v>
      </c>
      <c r="D17" s="61" t="s">
        <v>486</v>
      </c>
      <c r="E17" s="68" t="s">
        <v>455</v>
      </c>
      <c r="F17" s="58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5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78" customFormat="1" ht="6" customHeight="1" x14ac:dyDescent="0.4"/>
    <row r="2" spans="2:10" s="2" customFormat="1" ht="55" customHeight="1" x14ac:dyDescent="0.4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96</v>
      </c>
      <c r="C4" s="9" t="s">
        <v>91</v>
      </c>
      <c r="D4" s="9" t="s">
        <v>92</v>
      </c>
      <c r="E4" s="9" t="s">
        <v>93</v>
      </c>
      <c r="F4" s="9" t="s">
        <v>94</v>
      </c>
      <c r="G4" s="9" t="s">
        <v>95</v>
      </c>
      <c r="H4" s="9" t="s">
        <v>486</v>
      </c>
      <c r="I4" s="9" t="s">
        <v>87</v>
      </c>
      <c r="J4" s="9" t="s">
        <v>409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65</v>
      </c>
      <c r="E5" s="63"/>
      <c r="F5" s="13"/>
      <c r="G5" s="14"/>
      <c r="H5" s="13" t="s">
        <v>455</v>
      </c>
      <c r="I5" s="40" t="s">
        <v>450</v>
      </c>
      <c r="J5" s="64" t="s">
        <v>423</v>
      </c>
    </row>
  </sheetData>
  <conditionalFormatting sqref="C5:I5">
    <cfRule type="expression" dxfId="407" priority="21">
      <formula>MOD(ROW(),2)=0</formula>
    </cfRule>
    <cfRule type="expression" dxfId="40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34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4"/>
  <cols>
    <col min="1" max="2" width="2.69140625" style="47" customWidth="1"/>
    <col min="3" max="3" width="22.69140625" style="47" customWidth="1"/>
    <col min="4" max="4" width="2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48" t="s">
        <v>239</v>
      </c>
      <c r="D5" s="49"/>
      <c r="E5" s="50"/>
      <c r="F5" s="51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1" t="s">
        <v>88</v>
      </c>
      <c r="D7" s="52" t="s">
        <v>91</v>
      </c>
      <c r="E7" s="53" t="str">
        <f>CONCATENATE(IF(E9="","", _xlfn.CONCAT(E9)), IF(E10="","", _xlfn.CONCAT(" ",E10)), IF(E15="","", _xlfn.CONCAT(" | ",E15)))</f>
        <v/>
      </c>
      <c r="F7" s="3"/>
      <c r="G7" s="3"/>
    </row>
    <row r="8" spans="1:8" ht="35.15" customHeight="1" x14ac:dyDescent="0.4">
      <c r="B8" s="3"/>
      <c r="C8" s="41"/>
      <c r="D8" s="54" t="s">
        <v>467</v>
      </c>
      <c r="E8" s="55" t="s">
        <v>469</v>
      </c>
      <c r="F8" s="56">
        <v>1</v>
      </c>
      <c r="G8" s="3"/>
    </row>
    <row r="9" spans="1:8" ht="35.15" customHeight="1" x14ac:dyDescent="0.4">
      <c r="B9" s="3"/>
      <c r="C9" s="3"/>
      <c r="D9" s="54" t="s">
        <v>85</v>
      </c>
      <c r="E9" s="55"/>
      <c r="F9" s="56">
        <v>-1</v>
      </c>
      <c r="G9" s="3"/>
    </row>
    <row r="10" spans="1:8" ht="35.15" customHeight="1" x14ac:dyDescent="0.4">
      <c r="B10" s="3"/>
      <c r="C10" s="3"/>
      <c r="D10" s="54" t="s">
        <v>70</v>
      </c>
      <c r="E10" s="57"/>
      <c r="F10" s="58"/>
      <c r="G10" s="3"/>
    </row>
    <row r="11" spans="1:8" ht="35.15" customHeight="1" x14ac:dyDescent="0.4">
      <c r="B11" s="3"/>
      <c r="C11" s="3"/>
      <c r="D11" s="54" t="s">
        <v>71</v>
      </c>
      <c r="E11" s="57"/>
      <c r="F11" s="58"/>
      <c r="G11" s="3"/>
    </row>
    <row r="12" spans="1:8" ht="35.15" customHeight="1" x14ac:dyDescent="0.4">
      <c r="B12" s="3"/>
      <c r="C12" s="3"/>
      <c r="D12" s="54" t="s">
        <v>182</v>
      </c>
      <c r="E12" s="59"/>
      <c r="F12" s="58"/>
      <c r="G12" s="3"/>
    </row>
    <row r="13" spans="1:8" ht="35.15" customHeight="1" x14ac:dyDescent="0.4">
      <c r="B13" s="3"/>
      <c r="C13" s="3"/>
      <c r="D13" s="54" t="s">
        <v>73</v>
      </c>
      <c r="E13" s="60"/>
      <c r="F13" s="58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1" t="s">
        <v>89</v>
      </c>
      <c r="D15" s="54" t="s">
        <v>86</v>
      </c>
      <c r="E15" s="57"/>
      <c r="F15" s="58">
        <v>-1</v>
      </c>
      <c r="G15" s="3"/>
    </row>
    <row r="16" spans="1:8" ht="35.15" customHeight="1" x14ac:dyDescent="0.4">
      <c r="B16" s="3"/>
      <c r="C16" s="3"/>
      <c r="D16" s="54" t="s">
        <v>1</v>
      </c>
      <c r="E16" s="57"/>
      <c r="F16" s="58"/>
      <c r="G16" s="3"/>
    </row>
    <row r="17" spans="2:7" ht="35.15" customHeight="1" x14ac:dyDescent="0.4">
      <c r="B17" s="3"/>
      <c r="C17" s="3"/>
      <c r="D17" s="54" t="s">
        <v>74</v>
      </c>
      <c r="E17" s="55"/>
      <c r="F17" s="56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s="126" customFormat="1" ht="35.15" customHeight="1" x14ac:dyDescent="0.4">
      <c r="B19" s="127"/>
      <c r="C19" s="128" t="s">
        <v>487</v>
      </c>
      <c r="D19" s="129" t="str">
        <f>CONCATENATE(IF('Member details'!EC4="",_xlfn.CONCAT("Custom_1, ",Setting!BD42),'Member details'!EC4))</f>
        <v>WeChat</v>
      </c>
      <c r="E19" s="55"/>
      <c r="F19" s="130"/>
      <c r="G19" s="127"/>
    </row>
    <row r="20" spans="2:7" s="126" customFormat="1" ht="35.15" customHeight="1" x14ac:dyDescent="0.4">
      <c r="B20" s="127"/>
      <c r="C20" s="127"/>
      <c r="D20" s="129" t="str">
        <f>CONCATENATE(IF('Member details'!ED4="",_xlfn.CONCAT("Custom_2, ",Setting!BD42),'Member details'!ED4))</f>
        <v>QQ</v>
      </c>
      <c r="E20" s="55"/>
      <c r="F20" s="130"/>
      <c r="G20" s="127"/>
    </row>
    <row r="21" spans="2:7" s="126" customFormat="1" ht="35.15" customHeight="1" x14ac:dyDescent="0.4">
      <c r="B21" s="127"/>
      <c r="C21" s="127"/>
      <c r="D21" s="129" t="str">
        <f>CONCATENATE(IF('Member details'!EE4="",_xlfn.CONCAT("Custom_3, ",Setting!BD42),'Member details'!EE4))</f>
        <v>TikTok</v>
      </c>
      <c r="E21" s="55"/>
      <c r="F21" s="130"/>
      <c r="G21" s="127"/>
    </row>
    <row r="22" spans="2:7" s="126" customFormat="1" ht="35.15" customHeight="1" x14ac:dyDescent="0.4">
      <c r="B22" s="127"/>
      <c r="C22" s="127"/>
      <c r="D22" s="129" t="str">
        <f>CONCATENATE(IF('Member details'!EF4="",_xlfn.CONCAT("Custom_4, ",Setting!BD42),'Member details'!EF4))</f>
        <v>DingTalk</v>
      </c>
      <c r="E22" s="55"/>
      <c r="F22" s="130"/>
      <c r="G22" s="127"/>
    </row>
    <row r="23" spans="2:7" s="126" customFormat="1" ht="35.15" customHeight="1" x14ac:dyDescent="0.4">
      <c r="B23" s="127"/>
      <c r="C23" s="127"/>
      <c r="D23" s="129" t="str">
        <f>CONCATENATE(IF('Member details'!EG4="",_xlfn.CONCAT("Custom_5, ",Setting!BD42),'Member details'!EG4))</f>
        <v>Momo</v>
      </c>
      <c r="E23" s="55"/>
      <c r="F23" s="130"/>
      <c r="G23" s="127"/>
    </row>
    <row r="24" spans="2:7" s="126" customFormat="1" ht="35.15" customHeight="1" x14ac:dyDescent="0.4">
      <c r="B24" s="127"/>
      <c r="C24" s="127"/>
      <c r="D24" s="129" t="str">
        <f>CONCATENATE(IF('Member details'!EH4="",_xlfn.CONCAT("Custom_6, ",Setting!BD42),'Member details'!EH4))</f>
        <v>Soul</v>
      </c>
      <c r="E24" s="55"/>
      <c r="F24" s="130"/>
      <c r="G24" s="127"/>
    </row>
    <row r="25" spans="2:7" s="126" customFormat="1" ht="35.15" customHeight="1" x14ac:dyDescent="0.4">
      <c r="B25" s="127"/>
      <c r="C25" s="127"/>
      <c r="D25" s="129" t="str">
        <f>CONCATENATE(IF('Member details'!EI4="",_xlfn.CONCAT("Custom_7, ",Setting!BD42),'Member details'!EI4))</f>
        <v>Weibo</v>
      </c>
      <c r="E25" s="55"/>
      <c r="F25" s="130"/>
      <c r="G25" s="127"/>
    </row>
    <row r="26" spans="2:7" s="126" customFormat="1" ht="35.15" customHeight="1" x14ac:dyDescent="0.4">
      <c r="B26" s="127"/>
      <c r="C26" s="127"/>
      <c r="D26" s="129" t="str">
        <f>CONCATENATE(IF('Member details'!EJ4="",_xlfn.CONCAT("Custom_8, ",Setting!BD42),'Member details'!EJ4))</f>
        <v>Tantan</v>
      </c>
      <c r="E26" s="55"/>
      <c r="F26" s="130"/>
      <c r="G26" s="127"/>
    </row>
    <row r="27" spans="2:7" s="126" customFormat="1" ht="35.15" customHeight="1" x14ac:dyDescent="0.4">
      <c r="B27" s="127"/>
      <c r="C27" s="127"/>
      <c r="D27" s="129" t="str">
        <f>CONCATENATE(IF('Member details'!EK4="",_xlfn.CONCAT("Custom_9, ",Setting!BD42),'Member details'!EK4))</f>
        <v>Custom_9, Not set</v>
      </c>
      <c r="E27" s="55"/>
      <c r="F27" s="130"/>
      <c r="G27" s="127"/>
    </row>
    <row r="28" spans="2:7" s="126" customFormat="1" ht="35.15" customHeight="1" x14ac:dyDescent="0.4">
      <c r="B28" s="127"/>
      <c r="C28" s="127"/>
      <c r="D28" s="129" t="str">
        <f>CONCATENATE(IF('Member details'!EL4="",_xlfn.CONCAT("Custom_10, ",Setting!BD42),'Member details'!EL4))</f>
        <v>Custom_10, Not set</v>
      </c>
      <c r="E28" s="55"/>
      <c r="F28" s="130"/>
      <c r="G28" s="127"/>
    </row>
    <row r="29" spans="2:7" s="126" customFormat="1" ht="15" customHeight="1" x14ac:dyDescent="0.4">
      <c r="B29" s="127"/>
      <c r="C29" s="127"/>
      <c r="D29" s="127"/>
      <c r="E29" s="127"/>
      <c r="F29" s="127"/>
      <c r="G29" s="127"/>
    </row>
    <row r="30" spans="2:7" ht="35.15" customHeight="1" x14ac:dyDescent="0.4">
      <c r="B30" s="3"/>
      <c r="C30" s="3"/>
      <c r="D30" s="61" t="s">
        <v>87</v>
      </c>
      <c r="E30" s="55"/>
      <c r="F30" s="56"/>
      <c r="G30" s="3"/>
    </row>
    <row r="31" spans="2:7" ht="15" customHeight="1" x14ac:dyDescent="0.4">
      <c r="B31" s="3"/>
      <c r="C31" s="3"/>
      <c r="D31" s="3"/>
      <c r="E31" s="3"/>
      <c r="F31" s="3"/>
      <c r="G31" s="3"/>
    </row>
    <row r="32" spans="2:7" ht="35.15" customHeight="1" x14ac:dyDescent="0.4">
      <c r="B32" s="3"/>
      <c r="C32" s="41" t="s">
        <v>241</v>
      </c>
      <c r="D32" s="61" t="s">
        <v>486</v>
      </c>
      <c r="E32" s="57" t="s">
        <v>455</v>
      </c>
      <c r="F32" s="58">
        <v>1</v>
      </c>
      <c r="G32" s="3"/>
    </row>
    <row r="33" spans="2:7" ht="14.15" customHeight="1" x14ac:dyDescent="0.4">
      <c r="B33" s="3"/>
      <c r="C33" s="3"/>
      <c r="D33" s="3"/>
      <c r="E33" s="3"/>
      <c r="F33" s="3"/>
      <c r="G33" s="3"/>
    </row>
    <row r="34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F30 F8:F13 F15:F17 F32 F27:F28</xm:sqref>
        </x14:conditionalFormatting>
        <x14:conditionalFormatting xmlns:xm="http://schemas.microsoft.com/office/excel/2006/main">
          <x14:cfRule type="iconSet" priority="1" id="{3B89B44D-F630-4102-96EC-5668B7150819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F19:F26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1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18" customWidth="1"/>
    <col min="125" max="125" width="12.69140625" style="42" customWidth="1"/>
    <col min="126" max="126" width="14.69140625" style="43" customWidth="1"/>
    <col min="127" max="127" width="12.69140625" style="18" customWidth="1"/>
    <col min="128" max="128" width="24.69140625" style="44" hidden="1" customWidth="1"/>
    <col min="129" max="129" width="12.69140625" style="18" hidden="1" customWidth="1"/>
    <col min="130" max="130" width="20.69140625" style="44" customWidth="1"/>
    <col min="131" max="131" width="28.69140625" style="44" hidden="1" customWidth="1"/>
    <col min="132" max="132" width="44.69140625" style="44" hidden="1" customWidth="1"/>
    <col min="133" max="142" width="14.69140625" style="44" customWidth="1"/>
    <col min="143" max="143" width="22.69140625" style="19" customWidth="1"/>
    <col min="144" max="144" width="14.69140625" style="18" customWidth="1"/>
    <col min="145" max="145" width="22.69140625" style="45" customWidth="1"/>
    <col min="146" max="146" width="14.69140625" style="30" customWidth="1"/>
    <col min="147" max="148" width="14.69140625" style="46" customWidth="1"/>
    <col min="149" max="149" width="14.69140625" style="111" customWidth="1"/>
    <col min="150" max="150" width="2.69140625" style="8" customWidth="1"/>
    <col min="151" max="16384" width="9.15234375" style="8" hidden="1"/>
  </cols>
  <sheetData>
    <row r="1" spans="1:14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4"/>
      <c r="ER1" s="24"/>
    </row>
    <row r="2" spans="1:149" s="29" customFormat="1" ht="55" customHeight="1" x14ac:dyDescent="0.4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8"/>
      <c r="ER2" s="28"/>
    </row>
    <row r="3" spans="1:149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1"/>
      <c r="EQ3" s="31"/>
      <c r="ER3" s="31"/>
      <c r="ES3" s="8"/>
    </row>
    <row r="4" spans="1:149" s="3" customFormat="1" ht="40" customHeight="1" x14ac:dyDescent="0.4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33" t="s">
        <v>179</v>
      </c>
      <c r="DU4" s="133"/>
      <c r="DV4" s="133"/>
      <c r="DW4" s="133"/>
      <c r="DX4" s="133"/>
      <c r="DY4" s="133"/>
      <c r="DZ4" s="133" t="s">
        <v>180</v>
      </c>
      <c r="EA4" s="133"/>
      <c r="EB4" s="133"/>
      <c r="EC4" s="112" t="s">
        <v>498</v>
      </c>
      <c r="ED4" s="112" t="s">
        <v>499</v>
      </c>
      <c r="EE4" s="112" t="s">
        <v>500</v>
      </c>
      <c r="EF4" s="112" t="s">
        <v>501</v>
      </c>
      <c r="EG4" s="112" t="s">
        <v>502</v>
      </c>
      <c r="EH4" s="112" t="s">
        <v>503</v>
      </c>
      <c r="EI4" s="112" t="s">
        <v>504</v>
      </c>
      <c r="EJ4" s="112" t="s">
        <v>505</v>
      </c>
      <c r="EK4" s="112"/>
      <c r="EL4" s="112"/>
      <c r="EM4" s="133" t="s">
        <v>181</v>
      </c>
      <c r="EN4" s="133"/>
      <c r="EO4" s="88" t="s">
        <v>406</v>
      </c>
      <c r="EP4" s="134" t="s">
        <v>252</v>
      </c>
      <c r="EQ4" s="134"/>
      <c r="ER4" s="134"/>
      <c r="ES4" s="7" t="s">
        <v>411</v>
      </c>
    </row>
    <row r="5" spans="1:149" s="3" customFormat="1" ht="8.15" customHeight="1" x14ac:dyDescent="0.4"/>
    <row r="6" spans="1:149" s="3" customFormat="1" ht="40" customHeight="1" x14ac:dyDescent="0.4">
      <c r="B6" s="9" t="s">
        <v>96</v>
      </c>
      <c r="C6" s="9" t="s">
        <v>91</v>
      </c>
      <c r="D6" s="9" t="s">
        <v>198</v>
      </c>
      <c r="E6" s="9" t="s">
        <v>97</v>
      </c>
      <c r="F6" s="9" t="s">
        <v>98</v>
      </c>
      <c r="G6" s="9" t="s">
        <v>199</v>
      </c>
      <c r="H6" s="9" t="s">
        <v>99</v>
      </c>
      <c r="I6" s="9" t="s">
        <v>100</v>
      </c>
      <c r="J6" s="9" t="s">
        <v>200</v>
      </c>
      <c r="K6" s="9" t="s">
        <v>101</v>
      </c>
      <c r="L6" s="9" t="s">
        <v>102</v>
      </c>
      <c r="M6" s="9" t="s">
        <v>201</v>
      </c>
      <c r="N6" s="9" t="s">
        <v>103</v>
      </c>
      <c r="O6" s="9" t="s">
        <v>104</v>
      </c>
      <c r="P6" s="9" t="s">
        <v>202</v>
      </c>
      <c r="Q6" s="9" t="s">
        <v>105</v>
      </c>
      <c r="R6" s="9" t="s">
        <v>106</v>
      </c>
      <c r="S6" s="9" t="s">
        <v>203</v>
      </c>
      <c r="T6" s="9" t="s">
        <v>107</v>
      </c>
      <c r="U6" s="9" t="s">
        <v>108</v>
      </c>
      <c r="V6" s="9" t="s">
        <v>204</v>
      </c>
      <c r="W6" s="9" t="s">
        <v>109</v>
      </c>
      <c r="X6" s="9" t="s">
        <v>110</v>
      </c>
      <c r="Y6" s="9" t="s">
        <v>205</v>
      </c>
      <c r="Z6" s="9" t="s">
        <v>111</v>
      </c>
      <c r="AA6" s="9" t="s">
        <v>112</v>
      </c>
      <c r="AB6" s="9" t="s">
        <v>206</v>
      </c>
      <c r="AC6" s="9" t="s">
        <v>113</v>
      </c>
      <c r="AD6" s="9" t="s">
        <v>114</v>
      </c>
      <c r="AE6" s="9" t="s">
        <v>207</v>
      </c>
      <c r="AF6" s="9" t="s">
        <v>115</v>
      </c>
      <c r="AG6" s="9" t="s">
        <v>116</v>
      </c>
      <c r="AH6" s="9" t="s">
        <v>208</v>
      </c>
      <c r="AI6" s="9" t="s">
        <v>117</v>
      </c>
      <c r="AJ6" s="9" t="s">
        <v>118</v>
      </c>
      <c r="AK6" s="9" t="s">
        <v>209</v>
      </c>
      <c r="AL6" s="9" t="s">
        <v>119</v>
      </c>
      <c r="AM6" s="9" t="s">
        <v>120</v>
      </c>
      <c r="AN6" s="9" t="s">
        <v>210</v>
      </c>
      <c r="AO6" s="9" t="s">
        <v>121</v>
      </c>
      <c r="AP6" s="9" t="s">
        <v>122</v>
      </c>
      <c r="AQ6" s="9" t="s">
        <v>211</v>
      </c>
      <c r="AR6" s="9" t="s">
        <v>123</v>
      </c>
      <c r="AS6" s="9" t="s">
        <v>124</v>
      </c>
      <c r="AT6" s="9" t="s">
        <v>212</v>
      </c>
      <c r="AU6" s="9" t="s">
        <v>125</v>
      </c>
      <c r="AV6" s="9" t="s">
        <v>126</v>
      </c>
      <c r="AW6" s="9" t="s">
        <v>213</v>
      </c>
      <c r="AX6" s="9" t="s">
        <v>127</v>
      </c>
      <c r="AY6" s="9" t="s">
        <v>128</v>
      </c>
      <c r="AZ6" s="9" t="s">
        <v>214</v>
      </c>
      <c r="BA6" s="9" t="s">
        <v>129</v>
      </c>
      <c r="BB6" s="9" t="s">
        <v>130</v>
      </c>
      <c r="BC6" s="9" t="s">
        <v>215</v>
      </c>
      <c r="BD6" s="9" t="s">
        <v>131</v>
      </c>
      <c r="BE6" s="9" t="s">
        <v>132</v>
      </c>
      <c r="BF6" s="9" t="s">
        <v>216</v>
      </c>
      <c r="BG6" s="9" t="s">
        <v>133</v>
      </c>
      <c r="BH6" s="9" t="s">
        <v>134</v>
      </c>
      <c r="BI6" s="9" t="s">
        <v>217</v>
      </c>
      <c r="BJ6" s="9" t="s">
        <v>135</v>
      </c>
      <c r="BK6" s="9" t="s">
        <v>136</v>
      </c>
      <c r="BL6" s="9" t="s">
        <v>218</v>
      </c>
      <c r="BM6" s="9" t="s">
        <v>137</v>
      </c>
      <c r="BN6" s="9" t="s">
        <v>138</v>
      </c>
      <c r="BO6" s="9" t="s">
        <v>219</v>
      </c>
      <c r="BP6" s="9" t="s">
        <v>139</v>
      </c>
      <c r="BQ6" s="9" t="s">
        <v>140</v>
      </c>
      <c r="BR6" s="9" t="s">
        <v>220</v>
      </c>
      <c r="BS6" s="9" t="s">
        <v>141</v>
      </c>
      <c r="BT6" s="9" t="s">
        <v>142</v>
      </c>
      <c r="BU6" s="9" t="s">
        <v>221</v>
      </c>
      <c r="BV6" s="9" t="s">
        <v>143</v>
      </c>
      <c r="BW6" s="9" t="s">
        <v>144</v>
      </c>
      <c r="BX6" s="9" t="s">
        <v>222</v>
      </c>
      <c r="BY6" s="9" t="s">
        <v>145</v>
      </c>
      <c r="BZ6" s="9" t="s">
        <v>146</v>
      </c>
      <c r="CA6" s="9" t="s">
        <v>223</v>
      </c>
      <c r="CB6" s="9" t="s">
        <v>147</v>
      </c>
      <c r="CC6" s="9" t="s">
        <v>148</v>
      </c>
      <c r="CD6" s="9" t="s">
        <v>149</v>
      </c>
      <c r="CE6" s="9" t="s">
        <v>150</v>
      </c>
      <c r="CF6" s="9" t="s">
        <v>151</v>
      </c>
      <c r="CG6" s="9" t="s">
        <v>224</v>
      </c>
      <c r="CH6" s="9" t="s">
        <v>152</v>
      </c>
      <c r="CI6" s="9" t="s">
        <v>153</v>
      </c>
      <c r="CJ6" s="9" t="s">
        <v>225</v>
      </c>
      <c r="CK6" s="9" t="s">
        <v>154</v>
      </c>
      <c r="CL6" s="9" t="s">
        <v>155</v>
      </c>
      <c r="CM6" s="9" t="s">
        <v>226</v>
      </c>
      <c r="CN6" s="9" t="s">
        <v>156</v>
      </c>
      <c r="CO6" s="9" t="s">
        <v>157</v>
      </c>
      <c r="CP6" s="9" t="s">
        <v>227</v>
      </c>
      <c r="CQ6" s="9" t="s">
        <v>158</v>
      </c>
      <c r="CR6" s="9" t="s">
        <v>159</v>
      </c>
      <c r="CS6" s="9" t="s">
        <v>228</v>
      </c>
      <c r="CT6" s="9" t="s">
        <v>160</v>
      </c>
      <c r="CU6" s="9" t="s">
        <v>161</v>
      </c>
      <c r="CV6" s="9" t="s">
        <v>229</v>
      </c>
      <c r="CW6" s="9" t="s">
        <v>162</v>
      </c>
      <c r="CX6" s="9" t="s">
        <v>163</v>
      </c>
      <c r="CY6" s="9" t="s">
        <v>230</v>
      </c>
      <c r="CZ6" s="9" t="s">
        <v>164</v>
      </c>
      <c r="DA6" s="9" t="s">
        <v>165</v>
      </c>
      <c r="DB6" s="9" t="s">
        <v>231</v>
      </c>
      <c r="DC6" s="9" t="s">
        <v>166</v>
      </c>
      <c r="DD6" s="9" t="s">
        <v>167</v>
      </c>
      <c r="DE6" s="9" t="s">
        <v>232</v>
      </c>
      <c r="DF6" s="9" t="s">
        <v>168</v>
      </c>
      <c r="DG6" s="9" t="s">
        <v>169</v>
      </c>
      <c r="DH6" s="9" t="s">
        <v>170</v>
      </c>
      <c r="DI6" s="9" t="s">
        <v>171</v>
      </c>
      <c r="DJ6" s="9" t="s">
        <v>172</v>
      </c>
      <c r="DK6" s="9" t="s">
        <v>233</v>
      </c>
      <c r="DL6" s="9" t="s">
        <v>173</v>
      </c>
      <c r="DM6" s="9" t="s">
        <v>174</v>
      </c>
      <c r="DN6" s="9" t="s">
        <v>234</v>
      </c>
      <c r="DO6" s="9" t="s">
        <v>175</v>
      </c>
      <c r="DP6" s="9" t="s">
        <v>176</v>
      </c>
      <c r="DQ6" s="9" t="s">
        <v>235</v>
      </c>
      <c r="DR6" s="9" t="s">
        <v>177</v>
      </c>
      <c r="DS6" s="9" t="s">
        <v>178</v>
      </c>
      <c r="DT6" s="9" t="s">
        <v>467</v>
      </c>
      <c r="DU6" s="9" t="s">
        <v>85</v>
      </c>
      <c r="DV6" s="9" t="s">
        <v>70</v>
      </c>
      <c r="DW6" s="9" t="s">
        <v>71</v>
      </c>
      <c r="DX6" s="9" t="s">
        <v>182</v>
      </c>
      <c r="DY6" s="9" t="s">
        <v>73</v>
      </c>
      <c r="DZ6" s="9" t="s">
        <v>86</v>
      </c>
      <c r="EA6" s="9" t="s">
        <v>1</v>
      </c>
      <c r="EB6" s="9" t="s">
        <v>74</v>
      </c>
      <c r="EC6" s="9" t="s">
        <v>494</v>
      </c>
      <c r="ED6" s="9" t="s">
        <v>495</v>
      </c>
      <c r="EE6" s="9" t="s">
        <v>496</v>
      </c>
      <c r="EF6" s="9" t="s">
        <v>497</v>
      </c>
      <c r="EG6" s="9" t="s">
        <v>493</v>
      </c>
      <c r="EH6" s="9" t="s">
        <v>492</v>
      </c>
      <c r="EI6" s="9" t="s">
        <v>491</v>
      </c>
      <c r="EJ6" s="9" t="s">
        <v>490</v>
      </c>
      <c r="EK6" s="9" t="s">
        <v>489</v>
      </c>
      <c r="EL6" s="9" t="s">
        <v>488</v>
      </c>
      <c r="EM6" s="33" t="s">
        <v>183</v>
      </c>
      <c r="EN6" s="9" t="s">
        <v>486</v>
      </c>
      <c r="EO6" s="9" t="s">
        <v>87</v>
      </c>
      <c r="EP6" s="34" t="s">
        <v>256</v>
      </c>
      <c r="EQ6" s="34" t="s">
        <v>257</v>
      </c>
      <c r="ER6" s="34" t="s">
        <v>255</v>
      </c>
      <c r="ES6" s="9" t="s">
        <v>409</v>
      </c>
    </row>
    <row r="7" spans="1:149" ht="40" customHeight="1" x14ac:dyDescent="0.4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3" t="s">
        <v>476</v>
      </c>
      <c r="DU7" s="37" t="s">
        <v>195</v>
      </c>
      <c r="DV7" s="38" t="s">
        <v>0</v>
      </c>
      <c r="DW7" s="39" t="s">
        <v>189</v>
      </c>
      <c r="DX7" s="39"/>
      <c r="DY7" s="13"/>
      <c r="DZ7" s="39" t="s">
        <v>46</v>
      </c>
      <c r="EA7" s="39" t="s">
        <v>44</v>
      </c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14"/>
      <c r="EN7" s="13" t="s">
        <v>455</v>
      </c>
      <c r="EO7" s="40" t="s">
        <v>450</v>
      </c>
      <c r="EP7" s="36" cm="1">
        <f t="array" ref="EP7">History_Total</f>
        <v>1</v>
      </c>
      <c r="EQ7" s="36" cm="1">
        <f t="array" ref="EQ7">History_Saved</f>
        <v>1</v>
      </c>
      <c r="ER7" s="36" cm="1">
        <f t="array" ref="ER7">History_Withdraw</f>
        <v>0</v>
      </c>
      <c r="ES7" s="79" t="s">
        <v>423</v>
      </c>
    </row>
    <row r="8" spans="1:149" ht="40" customHeight="1" x14ac:dyDescent="0.4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3" t="s">
        <v>476</v>
      </c>
      <c r="DU8" s="37" t="s">
        <v>196</v>
      </c>
      <c r="DV8" s="38" t="s">
        <v>0</v>
      </c>
      <c r="DW8" s="39" t="s">
        <v>190</v>
      </c>
      <c r="DX8" s="39"/>
      <c r="DY8" s="13"/>
      <c r="DZ8" s="39" t="s">
        <v>47</v>
      </c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14"/>
      <c r="EN8" s="13" t="s">
        <v>455</v>
      </c>
      <c r="EO8" s="40" t="s">
        <v>450</v>
      </c>
      <c r="EP8" s="36" cm="1">
        <f t="array" ref="EP8">History_Total</f>
        <v>1</v>
      </c>
      <c r="EQ8" s="36" cm="1">
        <f t="array" ref="EQ8">History_Saved</f>
        <v>1</v>
      </c>
      <c r="ER8" s="36" cm="1">
        <f t="array" ref="ER8">History_Withdraw</f>
        <v>0</v>
      </c>
      <c r="ES8" s="79" t="s">
        <v>423</v>
      </c>
    </row>
  </sheetData>
  <mergeCells count="4">
    <mergeCell ref="DZ4:EB4"/>
    <mergeCell ref="EM4:EN4"/>
    <mergeCell ref="EP4:ER4"/>
    <mergeCell ref="DT4:DY4"/>
  </mergeCells>
  <phoneticPr fontId="1" type="noConversion"/>
  <conditionalFormatting sqref="DT7:EO8">
    <cfRule type="expression" dxfId="403" priority="27">
      <formula>MOD(ROW(),2)=0</formula>
    </cfRule>
    <cfRule type="expression" dxfId="402" priority="28">
      <formula>MOD(ROW(),2)=1</formula>
    </cfRule>
  </conditionalFormatting>
  <dataValidations count="5">
    <dataValidation operator="greaterThanOrEqual" allowBlank="1" showInputMessage="1" showErrorMessage="1" sqref="EP7:ER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35" t="s">
        <v>197</v>
      </c>
      <c r="AS4" s="135"/>
      <c r="AT4" s="135"/>
      <c r="AU4" s="135"/>
      <c r="AV4" s="7" t="s">
        <v>411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96</v>
      </c>
      <c r="C6" s="9" t="s">
        <v>91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92</v>
      </c>
      <c r="AS6" s="9" t="s">
        <v>95</v>
      </c>
      <c r="AT6" s="9" t="s">
        <v>486</v>
      </c>
      <c r="AU6" s="9" t="s">
        <v>87</v>
      </c>
      <c r="AV6" s="9" t="s">
        <v>409</v>
      </c>
    </row>
    <row r="7" spans="2:48" ht="40" customHeight="1" x14ac:dyDescent="0.4">
      <c r="B7" s="10" cm="1">
        <f t="array" ref="B7">SN</f>
        <v>1</v>
      </c>
      <c r="C7" s="11" t="s">
        <v>253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64</v>
      </c>
      <c r="AS7" s="14"/>
      <c r="AT7" s="13" t="s">
        <v>455</v>
      </c>
      <c r="AU7" s="15" t="s">
        <v>450</v>
      </c>
      <c r="AV7" s="10" t="s">
        <v>423</v>
      </c>
    </row>
    <row r="8" spans="2:48" ht="40" customHeight="1" x14ac:dyDescent="0.4">
      <c r="B8" s="10" cm="1">
        <f t="array" ref="B8">SN</f>
        <v>2</v>
      </c>
      <c r="C8" s="11" t="s">
        <v>254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64</v>
      </c>
      <c r="AS8" s="14"/>
      <c r="AT8" s="13" t="s">
        <v>455</v>
      </c>
      <c r="AU8" s="15" t="s">
        <v>450</v>
      </c>
      <c r="AV8" s="10" t="s">
        <v>423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2025-08-31T06:13:43Z</dcterms:modified>
</cp:coreProperties>
</file>