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B868A8C-4CF1-4D12-845C-EC4C72732E5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<sst xmlns="http://schemas.openxmlformats.org/spreadsheetml/2006/main" count="695" uniqueCount="475">
  <si>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</si>
  <si>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</si>
  <si>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</si>
  <si>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</si>
  <si>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</si>
  <si>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</si>
  <si>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</si>
  <si>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</si>
  <si>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</si>
  <si>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</si>
  <si>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</si>
  <si>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</si>
  <si>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</si>
  <si>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</si>
  <si>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</si>
  <si>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</si>
  <si>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</si>
  <si>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</si>
  <si>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</si>
  <si>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</si>
  <si>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</si>
  <si>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</si>
  <si>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</si>
  <si>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</si>
  <si>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</si>
  <si>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</si>
  <si>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</si>
  <si>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</si>
  <si>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</si>
  <si>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</si>
  <si>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</si>
  <si>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</si>
  <si>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</si>
  <si>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</si>
  <si>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</si>
  <si>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</si>
  <si>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</si>
  <si>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</si>
  <si>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</si>
  <si>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</si>
  <si>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</si>
  <si>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</si>
  <si>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</si>
  <si>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</si>
  <si>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</si>
  <si>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</si>
  <si>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</si>
  <si>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</si>
  <si>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</si>
  <si>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</si>
  <si>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</si>
  <si>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</si>
  <si>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</si>
  <si>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</si>
  <si>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</si>
  <si>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</si>
  <si>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</si>
  <si>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</si>
  <si>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</si>
  <si>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</si>
  <si>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</si>
  <si>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</si>
  <si>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</si>
  <si>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</si>
  <si>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</si>
  <si>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</si>
  <si>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</si>
  <si>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</si>
  <si>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</si>
  <si>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</si>
  <si>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</si>
  <si>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</si>
  <si>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</si>
  <si>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</si>
  <si>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</si>
  <si>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</si>
  <si>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</si>
  <si>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</si>
  <si>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</si>
  <si>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</si>
  <si>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</si>
  <si>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</si>
  <si>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</si>
  <si>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</si>
  <si>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</si>
  <si>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</si>
  <si>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</si>
  <si>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</si>
  <si>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</si>
  <si>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</si>
  <si>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</si>
  <si>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</si>
  <si>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</si>
  <si>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</si>
  <si>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</si>
  <si>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</si>
  <si>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</si>
  <si>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</si>
  <si>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</si>
  <si>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</si>
  <si>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</si>
  <si>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</si>
  <si>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</si>
  <si>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</si>
  <si>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</si>
  <si>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</si>
  <si>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</si>
  <si>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</si>
  <si>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</si>
  <si>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</si>
  <si>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</si>
  <si>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</si>
  <si>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</si>
  <si>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</si>
  <si>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</si>
  <si>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</si>
  <si>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</si>
  <si>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</si>
  <si>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</si>
  <si>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</si>
  <si>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</si>
  <si>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</si>
  <si>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</si>
  <si>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</si>
  <si>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</si>
  <si>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</si>
  <si>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</si>
  <si>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</si>
  <si>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</si>
  <si>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</si>
  <si>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</si>
  <si>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</si>
  <si>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</si>
  <si>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</si>
  <si>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</si>
  <si>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</si>
  <si>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</si>
  <si>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</si>
  <si>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</si>
  <si>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</si>
  <si>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</si>
  <si>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</si>
  <si>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</si>
  <si>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</si>
  <si>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</si>
  <si>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</si>
  <si>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</si>
  <si>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</si>
  <si>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</si>
  <si>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</si>
  <si>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</si>
  <si>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</si>
  <si>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</si>
  <si>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</si>
  <si>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</si>
  <si>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</si>
  <si>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</si>
  <si>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</si>
  <si>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</si>
  <si>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</si>
  <si>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</si>
  <si>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</si>
  <si>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</si>
  <si>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</si>
  <si>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</si>
  <si>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</si>
  <si>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</si>
  <si>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</si>
  <si>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</si>
  <si>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</si>
  <si>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</si>
  <si>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</si>
  <si>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</si>
  <si>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</si>
  <si>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</si>
  <si>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</si>
  <si>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</si>
  <si>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</si>
  <si>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</si>
  <si>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</si>
  <si>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</si>
  <si>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</si>
  <si>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</si>
  <si>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</si>
  <si>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</si>
  <si>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</si>
  <si>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</si>
  <si>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</si>
  <si>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</si>
  <si>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</si>
  <si>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</si>
  <si>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</si>
  <si>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</si>
  <si>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</si>
  <si>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</si>
  <si>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</si>
  <si>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</si>
  <si>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</si>
  <si>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</si>
  <si>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</si>
  <si>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</si>
  <si>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</si>
  <si>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</si>
  <si>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</si>
  <si>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</si>
  <si>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</si>
  <si>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</si>
  <si>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</si>
  <si>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</si>
  <si>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</si>
  <si>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</si>
  <si>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</si>
  <si>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</si>
  <si>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</si>
  <si>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</si>
  <si>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</si>
  <si>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</si>
  <si>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</si>
  <si>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</si>
  <si>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</si>
  <si>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</si>
  <si>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</si>
  <si>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</si>
  <si>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</si>
  <si>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</si>
  <si>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</si>
  <si>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</si>
  <si>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</si>
  <si>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</si>
  <si>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</si>
  <si>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</si>
  <si>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</si>
  <si>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</si>
  <si>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</si>
  <si>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</si>
  <si>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</si>
  <si>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</si>
  <si>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</si>
  <si>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</si>
  <si>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</si>
  <si>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</si>
  <si>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</si>
  <si>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</si>
  <si>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</si>
  <si>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</si>
  <si>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</si>
  <si>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</si>
  <si>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</si>
  <si>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</si>
  <si>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</si>
  <si>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</si>
  <si>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</si>
  <si>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</si>
  <si>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</si>
  <si>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</si>
  <si>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</si>
  <si>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</si>
  <si>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</si>
  <si>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</si>
  <si>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</si>
  <si>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</si>
  <si>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</si>
  <si>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</si>
  <si>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</si>
  <si>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</si>
  <si>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</si>
  <si>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</si>
  <si>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</si>
  <si>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</si>
  <si>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</si>
  <si>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</si>
  <si>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</si>
  <si>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</si>
  <si>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</si>
  <si>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</si>
  <si>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</si>
  <si>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</si>
  <si>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</si>
  <si>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</si>
  <si>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</si>
  <si>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</si>
  <si>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</si>
  <si>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</si>
  <si>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</si>
  <si>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</si>
  <si>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</si>
  <si>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</si>
  <si>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</si>
  <si>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</si>
  <si>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</si>
  <si>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</si>
  <si>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</si>
  <si>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</si>
  <si>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</si>
  <si>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</si>
  <si>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</si>
  <si>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</si>
  <si>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</si>
  <si>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</si>
  <si>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</si>
  <si>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</si>
  <si>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</si>
  <si>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</si>
  <si>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</si>
  <si>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</si>
  <si>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</si>
  <si>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</si>
  <si>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</si>
  <si>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</si>
  <si>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</si>
  <si>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</si>
  <si>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</si>
  <si>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</si>
  <si>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</si>
  <si>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</si>
  <si>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</si>
  <si>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</si>
  <si>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</si>
  <si>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</si>
  <si>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</si>
  <si>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</si>
  <si>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</si>
  <si>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</si>
  <si>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</si>
  <si>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</si>
  <si>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</si>
  <si>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</si>
  <si>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</si>
  <si>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</si>
  <si>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</si>
  <si>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</si>
  <si>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</si>
  <si>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</si>
  <si>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</si>
  <si>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</si>
  <si>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</si>
  <si>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</si>
  <si>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</si>
  <si>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</si>
  <si>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</si>
  <si>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</si>
  <si>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</si>
  <si>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</si>
  <si>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</si>
  <si>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</si>
  <si>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</si>
  <si>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</si>
  <si>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</si>
  <si>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</si>
  <si>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</si>
  <si>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</si>
  <si>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</si>
  <si>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</si>
  <si>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</si>
  <si>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</si>
  <si>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</si>
  <si>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</si>
  <si>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</si>
  <si>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</si>
  <si>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</si>
  <si>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</si>
  <si>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</si>
  <si>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</si>
  <si>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</si>
  <si>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</si>
  <si>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</si>
  <si>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</si>
  <si>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</si>
  <si>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</si>
  <si>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</si>
  <si>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</si>
  <si>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</si>
  <si>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</si>
  <si>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</si>
  <si>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</si>
  <si>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</si>
  <si>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</si>
  <si>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</si>
  <si>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</si>
  <si>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</si>
  <si>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</si>
  <si>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</si>
  <si>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</si>
  <si>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</si>
  <si>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</si>
  <si>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</si>
  <si>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</si>
  <si>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</si>
  <si>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</si>
  <si>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</si>
  <si>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</si>
  <si>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</si>
  <si>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</si>
  <si>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</si>
  <si>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</si>
  <si>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</si>
  <si>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</si>
  <si>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</si>
  <si>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</si>
  <si>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</si>
  <si>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</si>
  <si>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</si>
  <si>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</si>
  <si>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</si>
  <si>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</si>
  <si>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</si>
  <si>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</si>
  <si>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</si>
  <si>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</si>
  <si>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</si>
  <si>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</si>
  <si>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</si>
  <si>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</si>
  <si>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</si>
  <si>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</si>
  <si>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</si>
  <si>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</si>
  <si>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</si>
  <si>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</si>
  <si>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</si>
  <si>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</si>
  <si>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</si>
  <si>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</si>
  <si>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</si>
  <si>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</si>
  <si>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</si>
  <si>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</si>
  <si>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</si>
  <si>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</si>
  <si>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</si>
  <si>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</si>
  <si>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</si>
  <si>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</si>
  <si>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</si>
  <si>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</si>
  <si>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</si>
  <si>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</si>
  <si>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</si>
  <si>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</si>
  <si>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</si>
  <si>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</si>
  <si>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</si>
  <si>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</si>
  <si>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</si>
  <si>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</si>
  <si>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</si>
  <si>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</si>
  <si>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</si>
  <si>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</si>
  <si>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</si>
  <si>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</si>
  <si>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</si>
  <si>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</si>
  <si>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</si>
  <si>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</si>
  <si>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</si>
  <si>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</si>
  <si>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</si>
  <si>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</si>
  <si>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</si>
  <si>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</si>
  <si>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</si>
  <si>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</si>
  <si>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</si>
  <si>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</si>
  <si>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</si>
  <si>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</si>
  <si>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</si>
  <si>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</si>
  <si>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</si>
  <si>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</si>
  <si>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</si>
  <si>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</si>
  <si>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</si>
  <si>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iLikeYi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</si>
</sst>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3" t="s">
        <v>240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426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239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405</v>
      </c>
      <c r="O9" s="116"/>
      <c r="P9" s="116" t="s">
        <v>402</v>
      </c>
      <c r="Q9" s="116"/>
      <c r="R9" s="116"/>
      <c r="S9" s="116"/>
      <c r="BB9" s="3" t="s">
        <v>423</v>
      </c>
      <c r="BC9" s="3" t="s">
        <v>424</v>
      </c>
      <c r="BD9" s="3" t="s">
        <v>425</v>
      </c>
    </row>
    <row r="10" spans="2:56" ht="55" customHeight="1" x14ac:dyDescent="0.4">
      <c r="B10" s="78"/>
      <c r="C10" s="79"/>
      <c r="D10" s="81" t="s">
        <v>249</v>
      </c>
      <c r="E10" s="81" t="s">
        <v>248</v>
      </c>
      <c r="F10" s="81" t="s">
        <v>238</v>
      </c>
      <c r="G10" s="81" t="s">
        <v>77</v>
      </c>
      <c r="H10" s="81" t="s">
        <v>245</v>
      </c>
      <c r="I10" s="81" t="s">
        <v>78</v>
      </c>
      <c r="J10" s="81" t="s">
        <v>79</v>
      </c>
      <c r="K10" s="81" t="s">
        <v>244</v>
      </c>
      <c r="L10" s="81" t="s">
        <v>246</v>
      </c>
      <c r="M10" s="81" t="s">
        <v>247</v>
      </c>
      <c r="N10" s="81" t="s">
        <v>403</v>
      </c>
      <c r="O10" s="81" t="s">
        <v>404</v>
      </c>
      <c r="P10" s="81" t="s">
        <v>264</v>
      </c>
      <c r="Q10" s="81" t="s">
        <v>265</v>
      </c>
      <c r="R10" s="81" t="s">
        <v>266</v>
      </c>
      <c r="S10" s="81" t="s">
        <v>267</v>
      </c>
      <c r="BC10" s="3" t="s">
        <v>421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identifier]],Store_History[Type],$D$81)</f>
        <v>0</v>
      </c>
      <c r="M11" s="38">
        <f>SUMIFS(Store_History[Quantity],Store_History[Unique identifier],Store_Setting[[#This Row],[Unique
identifier]],Store_History[Type],$E$81)</f>
        <v>0</v>
      </c>
      <c r="N11" s="13" t="s">
        <v>84</v>
      </c>
      <c r="O11" s="13" t="s">
        <v>84</v>
      </c>
      <c r="P11" s="10" t="s">
        <v>268</v>
      </c>
      <c r="Q11" s="10" t="s">
        <v>269</v>
      </c>
      <c r="R11" s="10" t="s">
        <v>270</v>
      </c>
      <c r="S11" s="10" t="s">
        <v>271</v>
      </c>
      <c r="BC11" s="3" t="s">
        <v>422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identifier]],Store_History[Type],$D$81)</f>
        <v>0</v>
      </c>
      <c r="M12" s="38">
        <f>SUMIFS(Store_History[Quantity],Store_History[Unique identifier],Store_Setting[[#This Row],[Unique
identifier]],Store_History[Type],$E$81)</f>
        <v>0</v>
      </c>
      <c r="N12" s="13" t="s">
        <v>84</v>
      </c>
      <c r="O12" s="13" t="s">
        <v>84</v>
      </c>
      <c r="P12" s="10" t="s">
        <v>272</v>
      </c>
      <c r="Q12" s="10" t="s">
        <v>273</v>
      </c>
      <c r="R12" s="10" t="s">
        <v>274</v>
      </c>
      <c r="S12" s="10" t="s">
        <v>269</v>
      </c>
      <c r="BD12" s="3" t="s">
        <v>93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identifier]],Store_History[Type],$D$81)</f>
        <v>0</v>
      </c>
      <c r="M13" s="38">
        <f>SUMIFS(Store_History[Quantity],Store_History[Unique identifier],Store_Setting[[#This Row],[Unique
identifier]],Store_History[Type],$E$81)</f>
        <v>0</v>
      </c>
      <c r="N13" s="13" t="s">
        <v>84</v>
      </c>
      <c r="O13" s="13" t="s">
        <v>84</v>
      </c>
      <c r="P13" s="10" t="s">
        <v>275</v>
      </c>
      <c r="Q13" s="10" t="s">
        <v>276</v>
      </c>
      <c r="R13" s="10" t="s">
        <v>277</v>
      </c>
      <c r="S13" s="10" t="s">
        <v>270</v>
      </c>
      <c r="BD13" s="3" t="s">
        <v>427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identifier]],Store_History[Type],$D$81)</f>
        <v>0</v>
      </c>
      <c r="M14" s="38">
        <f>SUMIFS(Store_History[Quantity],Store_History[Unique identifier],Store_Setting[[#This Row],[Unique
identifier]],Store_History[Type],$E$81)</f>
        <v>0</v>
      </c>
      <c r="N14" s="13" t="s">
        <v>84</v>
      </c>
      <c r="O14" s="13" t="s">
        <v>84</v>
      </c>
      <c r="P14" s="10" t="s">
        <v>278</v>
      </c>
      <c r="Q14" s="10" t="s">
        <v>279</v>
      </c>
      <c r="R14" s="10" t="s">
        <v>280</v>
      </c>
      <c r="S14" s="10" t="s">
        <v>281</v>
      </c>
      <c r="BD14" s="3" t="s">
        <v>428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identifier]],Store_History[Type],$D$81)</f>
        <v>0</v>
      </c>
      <c r="M15" s="38">
        <f>SUMIFS(Store_History[Quantity],Store_History[Unique identifier],Store_Setting[[#This Row],[Unique
identifier]],Store_History[Type],$E$81)</f>
        <v>0</v>
      </c>
      <c r="N15" s="13" t="s">
        <v>84</v>
      </c>
      <c r="O15" s="13" t="s">
        <v>84</v>
      </c>
      <c r="P15" s="10" t="s">
        <v>282</v>
      </c>
      <c r="Q15" s="10" t="s">
        <v>283</v>
      </c>
      <c r="R15" s="10" t="s">
        <v>284</v>
      </c>
      <c r="S15" s="10" t="s">
        <v>273</v>
      </c>
      <c r="BD15" s="3" t="s">
        <v>429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identifier]],Store_History[Type],$D$81)</f>
        <v>0</v>
      </c>
      <c r="M16" s="38">
        <f>SUMIFS(Store_History[Quantity],Store_History[Unique identifier],Store_Setting[[#This Row],[Unique
identifier]],Store_History[Type],$E$81)</f>
        <v>0</v>
      </c>
      <c r="N16" s="13" t="s">
        <v>84</v>
      </c>
      <c r="O16" s="13" t="s">
        <v>84</v>
      </c>
      <c r="P16" s="10" t="s">
        <v>285</v>
      </c>
      <c r="Q16" s="10" t="s">
        <v>286</v>
      </c>
      <c r="R16" s="10" t="s">
        <v>287</v>
      </c>
      <c r="S16" s="10" t="s">
        <v>274</v>
      </c>
      <c r="BD16" s="3" t="s">
        <v>430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identifier]],Store_History[Type],$D$81)</f>
        <v>0</v>
      </c>
      <c r="M17" s="38">
        <f>SUMIFS(Store_History[Quantity],Store_History[Unique identifier],Store_Setting[[#This Row],[Unique
identifier]],Store_History[Type],$E$81)</f>
        <v>0</v>
      </c>
      <c r="N17" s="13" t="s">
        <v>84</v>
      </c>
      <c r="O17" s="13" t="s">
        <v>84</v>
      </c>
      <c r="P17" s="10" t="s">
        <v>288</v>
      </c>
      <c r="Q17" s="10" t="s">
        <v>289</v>
      </c>
      <c r="R17" s="10" t="s">
        <v>290</v>
      </c>
      <c r="S17" s="10" t="s">
        <v>291</v>
      </c>
      <c r="BD17" s="3" t="s">
        <v>410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identifier]],Store_History[Type],$D$81)</f>
        <v>0</v>
      </c>
      <c r="M18" s="38">
        <f>SUMIFS(Store_History[Quantity],Store_History[Unique identifier],Store_Setting[[#This Row],[Unique
identifier]],Store_History[Type],$E$81)</f>
        <v>0</v>
      </c>
      <c r="N18" s="13" t="s">
        <v>84</v>
      </c>
      <c r="O18" s="13" t="s">
        <v>84</v>
      </c>
      <c r="P18" s="10" t="s">
        <v>292</v>
      </c>
      <c r="Q18" s="10" t="s">
        <v>293</v>
      </c>
      <c r="R18" s="10" t="s">
        <v>294</v>
      </c>
      <c r="S18" s="10" t="s">
        <v>276</v>
      </c>
      <c r="BD18" s="3" t="s">
        <v>431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identifier]],Store_History[Type],$D$81)</f>
        <v>0</v>
      </c>
      <c r="M19" s="38">
        <f>SUMIFS(Store_History[Quantity],Store_History[Unique identifier],Store_Setting[[#This Row],[Unique
identifier]],Store_History[Type],$E$81)</f>
        <v>0</v>
      </c>
      <c r="N19" s="13" t="s">
        <v>84</v>
      </c>
      <c r="O19" s="13" t="s">
        <v>84</v>
      </c>
      <c r="P19" s="10" t="s">
        <v>295</v>
      </c>
      <c r="Q19" s="10" t="s">
        <v>296</v>
      </c>
      <c r="R19" s="10" t="s">
        <v>297</v>
      </c>
      <c r="S19" s="10" t="s">
        <v>277</v>
      </c>
      <c r="BD19" s="3" t="s">
        <v>432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identifier]],Store_History[Type],$D$81)</f>
        <v>0</v>
      </c>
      <c r="M20" s="38">
        <f>SUMIFS(Store_History[Quantity],Store_History[Unique identifier],Store_Setting[[#This Row],[Unique
identifier]],Store_History[Type],$E$81)</f>
        <v>0</v>
      </c>
      <c r="N20" s="13" t="s">
        <v>84</v>
      </c>
      <c r="O20" s="13" t="s">
        <v>84</v>
      </c>
      <c r="P20" s="10" t="s">
        <v>298</v>
      </c>
      <c r="Q20" s="10" t="s">
        <v>299</v>
      </c>
      <c r="R20" s="10" t="s">
        <v>300</v>
      </c>
      <c r="S20" s="10" t="s">
        <v>301</v>
      </c>
      <c r="BD20" s="3" t="s">
        <v>419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identifier]],Store_History[Type],$D$81)</f>
        <v>0</v>
      </c>
      <c r="M21" s="38">
        <f>SUMIFS(Store_History[Quantity],Store_History[Unique identifier],Store_Setting[[#This Row],[Unique
identifier]],Store_History[Type],$E$81)</f>
        <v>0</v>
      </c>
      <c r="N21" s="13" t="s">
        <v>84</v>
      </c>
      <c r="O21" s="13" t="s">
        <v>84</v>
      </c>
      <c r="P21" s="10" t="s">
        <v>302</v>
      </c>
      <c r="Q21" s="10" t="s">
        <v>303</v>
      </c>
      <c r="R21" s="10" t="s">
        <v>304</v>
      </c>
      <c r="S21" s="10" t="s">
        <v>279</v>
      </c>
      <c r="BD21" s="89" t="s">
        <v>472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identifier]],Store_History[Type],$D$81)</f>
        <v>0</v>
      </c>
      <c r="M22" s="38">
        <f>SUMIFS(Store_History[Quantity],Store_History[Unique identifier],Store_Setting[[#This Row],[Unique
identifier]],Store_History[Type],$E$81)</f>
        <v>0</v>
      </c>
      <c r="N22" s="13" t="s">
        <v>84</v>
      </c>
      <c r="O22" s="13" t="s">
        <v>84</v>
      </c>
      <c r="P22" s="10" t="s">
        <v>305</v>
      </c>
      <c r="Q22" s="10" t="s">
        <v>306</v>
      </c>
      <c r="R22" s="10" t="s">
        <v>307</v>
      </c>
      <c r="S22" s="10" t="s">
        <v>280</v>
      </c>
      <c r="BB22" s="3" t="s">
        <v>433</v>
      </c>
      <c r="BD22" s="3" t="s">
        <v>435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identifier]],Store_History[Type],$D$81)</f>
        <v>0</v>
      </c>
      <c r="M23" s="38">
        <f>SUMIFS(Store_History[Quantity],Store_History[Unique identifier],Store_Setting[[#This Row],[Unique
identifier]],Store_History[Type],$E$81)</f>
        <v>0</v>
      </c>
      <c r="N23" s="13" t="s">
        <v>84</v>
      </c>
      <c r="O23" s="13" t="s">
        <v>84</v>
      </c>
      <c r="P23" s="10" t="s">
        <v>308</v>
      </c>
      <c r="Q23" s="10" t="s">
        <v>309</v>
      </c>
      <c r="R23" s="10" t="s">
        <v>310</v>
      </c>
      <c r="S23" s="10" t="s">
        <v>311</v>
      </c>
      <c r="BD23" s="3" t="s">
        <v>436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identifier]],Store_History[Type],$D$81)</f>
        <v>0</v>
      </c>
      <c r="M24" s="38">
        <f>SUMIFS(Store_History[Quantity],Store_History[Unique identifier],Store_Setting[[#This Row],[Unique
identifier]],Store_History[Type],$E$81)</f>
        <v>0</v>
      </c>
      <c r="N24" s="13" t="s">
        <v>84</v>
      </c>
      <c r="O24" s="13" t="s">
        <v>84</v>
      </c>
      <c r="P24" s="10" t="s">
        <v>312</v>
      </c>
      <c r="Q24" s="10" t="s">
        <v>313</v>
      </c>
      <c r="R24" s="10" t="s">
        <v>314</v>
      </c>
      <c r="S24" s="10" t="s">
        <v>283</v>
      </c>
      <c r="BD24" s="3" t="s">
        <v>437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identifier]],Store_History[Type],$D$81)</f>
        <v>0</v>
      </c>
      <c r="M25" s="38">
        <f>SUMIFS(Store_History[Quantity],Store_History[Unique identifier],Store_Setting[[#This Row],[Unique
identifier]],Store_History[Type],$E$81)</f>
        <v>0</v>
      </c>
      <c r="N25" s="13" t="s">
        <v>84</v>
      </c>
      <c r="O25" s="13" t="s">
        <v>84</v>
      </c>
      <c r="P25" s="10" t="s">
        <v>315</v>
      </c>
      <c r="Q25" s="10" t="s">
        <v>316</v>
      </c>
      <c r="R25" s="10" t="s">
        <v>317</v>
      </c>
      <c r="S25" s="10" t="s">
        <v>284</v>
      </c>
      <c r="BB25" s="3" t="s">
        <v>434</v>
      </c>
      <c r="BD25" s="3" t="s">
        <v>438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identifier]],Store_History[Type],$D$81)</f>
        <v>0</v>
      </c>
      <c r="M26" s="38">
        <f>SUMIFS(Store_History[Quantity],Store_History[Unique identifier],Store_Setting[[#This Row],[Unique
identifier]],Store_History[Type],$E$81)</f>
        <v>0</v>
      </c>
      <c r="N26" s="13" t="s">
        <v>84</v>
      </c>
      <c r="O26" s="13" t="s">
        <v>84</v>
      </c>
      <c r="P26" s="10" t="s">
        <v>318</v>
      </c>
      <c r="Q26" s="10" t="s">
        <v>319</v>
      </c>
      <c r="R26" s="10" t="s">
        <v>320</v>
      </c>
      <c r="S26" s="10" t="s">
        <v>321</v>
      </c>
      <c r="BD26" s="3" t="s">
        <v>439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identifier]],Store_History[Type],$D$81)</f>
        <v>0</v>
      </c>
      <c r="M27" s="38">
        <f>SUMIFS(Store_History[Quantity],Store_History[Unique identifier],Store_Setting[[#This Row],[Unique
identifier]],Store_History[Type],$E$81)</f>
        <v>0</v>
      </c>
      <c r="N27" s="13" t="s">
        <v>84</v>
      </c>
      <c r="O27" s="13" t="s">
        <v>84</v>
      </c>
      <c r="P27" s="10" t="s">
        <v>322</v>
      </c>
      <c r="Q27" s="10" t="s">
        <v>323</v>
      </c>
      <c r="R27" s="10" t="s">
        <v>324</v>
      </c>
      <c r="S27" s="10" t="s">
        <v>286</v>
      </c>
      <c r="BD27" s="3" t="s">
        <v>440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identifier]],Store_History[Type],$D$81)</f>
        <v>0</v>
      </c>
      <c r="M28" s="38">
        <f>SUMIFS(Store_History[Quantity],Store_History[Unique identifier],Store_Setting[[#This Row],[Unique
identifier]],Store_History[Type],$E$81)</f>
        <v>0</v>
      </c>
      <c r="N28" s="13" t="s">
        <v>84</v>
      </c>
      <c r="O28" s="13" t="s">
        <v>84</v>
      </c>
      <c r="P28" s="10" t="s">
        <v>325</v>
      </c>
      <c r="Q28" s="10" t="s">
        <v>326</v>
      </c>
      <c r="R28" s="10" t="s">
        <v>327</v>
      </c>
      <c r="S28" s="10" t="s">
        <v>287</v>
      </c>
      <c r="BD28" s="3" t="s">
        <v>441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identifier]],Store_History[Type],$D$81)</f>
        <v>0</v>
      </c>
      <c r="M29" s="38">
        <f>SUMIFS(Store_History[Quantity],Store_History[Unique identifier],Store_Setting[[#This Row],[Unique
identifier]],Store_History[Type],$E$81)</f>
        <v>0</v>
      </c>
      <c r="N29" s="13" t="s">
        <v>84</v>
      </c>
      <c r="O29" s="13" t="s">
        <v>84</v>
      </c>
      <c r="P29" s="10" t="s">
        <v>328</v>
      </c>
      <c r="Q29" s="10" t="s">
        <v>329</v>
      </c>
      <c r="R29" s="10" t="s">
        <v>330</v>
      </c>
      <c r="S29" s="10" t="s">
        <v>331</v>
      </c>
      <c r="BD29" s="3" t="s">
        <v>442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identifier]],Store_History[Type],$D$81)</f>
        <v>0</v>
      </c>
      <c r="M30" s="38">
        <f>SUMIFS(Store_History[Quantity],Store_History[Unique identifier],Store_Setting[[#This Row],[Unique
identifier]],Store_History[Type],$E$81)</f>
        <v>0</v>
      </c>
      <c r="N30" s="13" t="s">
        <v>84</v>
      </c>
      <c r="O30" s="13" t="s">
        <v>84</v>
      </c>
      <c r="P30" s="10" t="s">
        <v>332</v>
      </c>
      <c r="Q30" s="10" t="s">
        <v>333</v>
      </c>
      <c r="R30" s="10" t="s">
        <v>334</v>
      </c>
      <c r="S30" s="10" t="s">
        <v>289</v>
      </c>
      <c r="BD30" s="3" t="s">
        <v>443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identifier]],Store_History[Type],$D$81)</f>
        <v>0</v>
      </c>
      <c r="M31" s="38">
        <f>SUMIFS(Store_History[Quantity],Store_History[Unique identifier],Store_Setting[[#This Row],[Unique
identifier]],Store_History[Type],$E$81)</f>
        <v>0</v>
      </c>
      <c r="N31" s="13" t="s">
        <v>84</v>
      </c>
      <c r="O31" s="13" t="s">
        <v>84</v>
      </c>
      <c r="P31" s="10" t="s">
        <v>335</v>
      </c>
      <c r="Q31" s="10" t="s">
        <v>336</v>
      </c>
      <c r="R31" s="10" t="s">
        <v>337</v>
      </c>
      <c r="S31" s="10" t="s">
        <v>290</v>
      </c>
      <c r="BD31" s="3" t="s">
        <v>444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identifier]],Store_History[Type],$D$81)</f>
        <v>0</v>
      </c>
      <c r="M32" s="38">
        <f>SUMIFS(Store_History[Quantity],Store_History[Unique identifier],Store_Setting[[#This Row],[Unique
identifier]],Store_History[Type],$E$81)</f>
        <v>0</v>
      </c>
      <c r="N32" s="13" t="s">
        <v>84</v>
      </c>
      <c r="O32" s="13" t="s">
        <v>84</v>
      </c>
      <c r="P32" s="10" t="s">
        <v>338</v>
      </c>
      <c r="Q32" s="10" t="s">
        <v>339</v>
      </c>
      <c r="R32" s="10" t="s">
        <v>340</v>
      </c>
      <c r="S32" s="10" t="s">
        <v>341</v>
      </c>
      <c r="BD32" s="3" t="s">
        <v>445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identifier]],Store_History[Type],$D$81)</f>
        <v>0</v>
      </c>
      <c r="M33" s="38">
        <f>SUMIFS(Store_History[Quantity],Store_History[Unique identifier],Store_Setting[[#This Row],[Unique
identifier]],Store_History[Type],$E$81)</f>
        <v>0</v>
      </c>
      <c r="N33" s="13" t="s">
        <v>84</v>
      </c>
      <c r="O33" s="13" t="s">
        <v>84</v>
      </c>
      <c r="P33" s="10" t="s">
        <v>342</v>
      </c>
      <c r="Q33" s="10" t="s">
        <v>343</v>
      </c>
      <c r="R33" s="10" t="s">
        <v>344</v>
      </c>
      <c r="S33" s="10" t="s">
        <v>293</v>
      </c>
      <c r="BD33" s="3" t="s">
        <v>446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identifier]],Store_History[Type],$D$81)</f>
        <v>0</v>
      </c>
      <c r="M34" s="38">
        <f>SUMIFS(Store_History[Quantity],Store_History[Unique identifier],Store_Setting[[#This Row],[Unique
identifier]],Store_History[Type],$E$81)</f>
        <v>0</v>
      </c>
      <c r="N34" s="13" t="s">
        <v>84</v>
      </c>
      <c r="O34" s="13" t="s">
        <v>84</v>
      </c>
      <c r="P34" s="10" t="s">
        <v>345</v>
      </c>
      <c r="Q34" s="10" t="s">
        <v>346</v>
      </c>
      <c r="R34" s="10" t="s">
        <v>347</v>
      </c>
      <c r="S34" s="10" t="s">
        <v>294</v>
      </c>
      <c r="BD34" s="3" t="s">
        <v>447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identifier]],Store_History[Type],$D$81)</f>
        <v>0</v>
      </c>
      <c r="M35" s="38">
        <f>SUMIFS(Store_History[Quantity],Store_History[Unique identifier],Store_Setting[[#This Row],[Unique
identifier]],Store_History[Type],$E$81)</f>
        <v>0</v>
      </c>
      <c r="N35" s="13" t="s">
        <v>84</v>
      </c>
      <c r="O35" s="13" t="s">
        <v>84</v>
      </c>
      <c r="P35" s="10" t="s">
        <v>348</v>
      </c>
      <c r="Q35" s="10" t="s">
        <v>349</v>
      </c>
      <c r="R35" s="10" t="s">
        <v>350</v>
      </c>
      <c r="S35" s="10" t="s">
        <v>351</v>
      </c>
      <c r="BB35" s="3" t="s">
        <v>193</v>
      </c>
      <c r="BD35" s="3" t="s">
        <v>448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identifier]],Store_History[Type],$D$81)</f>
        <v>0</v>
      </c>
      <c r="M36" s="38">
        <f>SUMIFS(Store_History[Quantity],Store_History[Unique identifier],Store_Setting[[#This Row],[Unique
identifier]],Store_History[Type],$E$81)</f>
        <v>0</v>
      </c>
      <c r="N36" s="13" t="s">
        <v>84</v>
      </c>
      <c r="O36" s="13" t="s">
        <v>84</v>
      </c>
      <c r="P36" s="10" t="s">
        <v>352</v>
      </c>
      <c r="Q36" s="10" t="s">
        <v>353</v>
      </c>
      <c r="R36" s="10" t="s">
        <v>354</v>
      </c>
      <c r="S36" s="10" t="s">
        <v>296</v>
      </c>
      <c r="BD36" s="3" t="s">
        <v>449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identifier]],Store_History[Type],$D$81)</f>
        <v>0</v>
      </c>
      <c r="M37" s="38">
        <f>SUMIFS(Store_History[Quantity],Store_History[Unique identifier],Store_Setting[[#This Row],[Unique
identifier]],Store_History[Type],$E$81)</f>
        <v>0</v>
      </c>
      <c r="N37" s="13" t="s">
        <v>84</v>
      </c>
      <c r="O37" s="13" t="s">
        <v>84</v>
      </c>
      <c r="P37" s="10" t="s">
        <v>355</v>
      </c>
      <c r="Q37" s="10" t="s">
        <v>356</v>
      </c>
      <c r="R37" s="10" t="s">
        <v>357</v>
      </c>
      <c r="S37" s="10" t="s">
        <v>297</v>
      </c>
      <c r="BD37" s="3" t="s">
        <v>471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identifier]],Store_History[Type],$D$81)</f>
        <v>0</v>
      </c>
      <c r="M38" s="38">
        <f>SUMIFS(Store_History[Quantity],Store_History[Unique identifier],Store_Setting[[#This Row],[Unique
identifier]],Store_History[Type],$E$81)</f>
        <v>0</v>
      </c>
      <c r="N38" s="13" t="s">
        <v>84</v>
      </c>
      <c r="O38" s="13" t="s">
        <v>84</v>
      </c>
      <c r="P38" s="10" t="s">
        <v>358</v>
      </c>
      <c r="Q38" s="10" t="s">
        <v>359</v>
      </c>
      <c r="R38" s="10" t="s">
        <v>360</v>
      </c>
      <c r="S38" s="10" t="s">
        <v>361</v>
      </c>
      <c r="BD38" s="3" t="s">
        <v>469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identifier]],Store_History[Type],$D$81)</f>
        <v>0</v>
      </c>
      <c r="M39" s="38">
        <f>SUMIFS(Store_History[Quantity],Store_History[Unique identifier],Store_Setting[[#This Row],[Unique
identifier]],Store_History[Type],$E$81)</f>
        <v>0</v>
      </c>
      <c r="N39" s="13" t="s">
        <v>84</v>
      </c>
      <c r="O39" s="13" t="s">
        <v>84</v>
      </c>
      <c r="P39" s="10" t="s">
        <v>362</v>
      </c>
      <c r="Q39" s="10" t="s">
        <v>363</v>
      </c>
      <c r="R39" s="10" t="s">
        <v>364</v>
      </c>
      <c r="S39" s="10" t="s">
        <v>299</v>
      </c>
      <c r="BD39" s="3" t="s">
        <v>470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identifier]],Store_History[Type],$D$81)</f>
        <v>0</v>
      </c>
      <c r="M40" s="38">
        <f>SUMIFS(Store_History[Quantity],Store_History[Unique identifier],Store_Setting[[#This Row],[Unique
identifier]],Store_History[Type],$E$81)</f>
        <v>0</v>
      </c>
      <c r="N40" s="13" t="s">
        <v>84</v>
      </c>
      <c r="O40" s="13" t="s">
        <v>84</v>
      </c>
      <c r="P40" s="10" t="s">
        <v>365</v>
      </c>
      <c r="Q40" s="10" t="s">
        <v>366</v>
      </c>
      <c r="R40" s="10" t="s">
        <v>367</v>
      </c>
      <c r="S40" s="10" t="s">
        <v>300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identifier]],Store_History[Type],$D$81)</f>
        <v>0</v>
      </c>
      <c r="M41" s="38">
        <f>SUMIFS(Store_History[Quantity],Store_History[Unique identifier],Store_Setting[[#This Row],[Unique
identifier]],Store_History[Type],$E$81)</f>
        <v>0</v>
      </c>
      <c r="N41" s="13" t="s">
        <v>84</v>
      </c>
      <c r="O41" s="13" t="s">
        <v>84</v>
      </c>
      <c r="P41" s="10" t="s">
        <v>368</v>
      </c>
      <c r="Q41" s="10" t="s">
        <v>369</v>
      </c>
      <c r="R41" s="10" t="s">
        <v>370</v>
      </c>
      <c r="S41" s="10" t="s">
        <v>371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identifier]],Store_History[Type],$D$81)</f>
        <v>0</v>
      </c>
      <c r="M42" s="38">
        <f>SUMIFS(Store_History[Quantity],Store_History[Unique identifier],Store_Setting[[#This Row],[Unique
identifier]],Store_History[Type],$E$81)</f>
        <v>0</v>
      </c>
      <c r="N42" s="13" t="s">
        <v>84</v>
      </c>
      <c r="O42" s="13" t="s">
        <v>84</v>
      </c>
      <c r="P42" s="10" t="s">
        <v>372</v>
      </c>
      <c r="Q42" s="10" t="s">
        <v>373</v>
      </c>
      <c r="R42" s="10" t="s">
        <v>374</v>
      </c>
      <c r="S42" s="10" t="s">
        <v>303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identifier]],Store_History[Type],$D$81)</f>
        <v>0</v>
      </c>
      <c r="M43" s="38">
        <f>SUMIFS(Store_History[Quantity],Store_History[Unique identifier],Store_Setting[[#This Row],[Unique
identifier]],Store_History[Type],$E$81)</f>
        <v>0</v>
      </c>
      <c r="N43" s="13" t="s">
        <v>84</v>
      </c>
      <c r="O43" s="13" t="s">
        <v>84</v>
      </c>
      <c r="P43" s="10" t="s">
        <v>375</v>
      </c>
      <c r="Q43" s="10" t="s">
        <v>376</v>
      </c>
      <c r="R43" s="10" t="s">
        <v>377</v>
      </c>
      <c r="S43" s="10" t="s">
        <v>304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identifier]],Store_History[Type],$D$81)</f>
        <v>0</v>
      </c>
      <c r="M44" s="38">
        <f>SUMIFS(Store_History[Quantity],Store_History[Unique identifier],Store_Setting[[#This Row],[Unique
identifier]],Store_History[Type],$E$81)</f>
        <v>0</v>
      </c>
      <c r="N44" s="13" t="s">
        <v>84</v>
      </c>
      <c r="O44" s="13" t="s">
        <v>84</v>
      </c>
      <c r="P44" s="10" t="s">
        <v>378</v>
      </c>
      <c r="Q44" s="10" t="s">
        <v>379</v>
      </c>
      <c r="R44" s="10" t="s">
        <v>380</v>
      </c>
      <c r="S44" s="10" t="s">
        <v>381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identifier]],Store_History[Type],$D$81)</f>
        <v>0</v>
      </c>
      <c r="M45" s="38">
        <f>SUMIFS(Store_History[Quantity],Store_History[Unique identifier],Store_Setting[[#This Row],[Unique
identifier]],Store_History[Type],$E$81)</f>
        <v>0</v>
      </c>
      <c r="N45" s="13" t="s">
        <v>84</v>
      </c>
      <c r="O45" s="13" t="s">
        <v>84</v>
      </c>
      <c r="P45" s="10" t="s">
        <v>382</v>
      </c>
      <c r="Q45" s="10" t="s">
        <v>383</v>
      </c>
      <c r="R45" s="10" t="s">
        <v>384</v>
      </c>
      <c r="S45" s="10" t="s">
        <v>306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identifier]],Store_History[Type],$D$81)</f>
        <v>0</v>
      </c>
      <c r="M46" s="38">
        <f>SUMIFS(Store_History[Quantity],Store_History[Unique identifier],Store_Setting[[#This Row],[Unique
identifier]],Store_History[Type],$E$81)</f>
        <v>0</v>
      </c>
      <c r="N46" s="13" t="s">
        <v>84</v>
      </c>
      <c r="O46" s="13" t="s">
        <v>84</v>
      </c>
      <c r="P46" s="10" t="s">
        <v>385</v>
      </c>
      <c r="Q46" s="10" t="s">
        <v>386</v>
      </c>
      <c r="R46" s="10" t="s">
        <v>387</v>
      </c>
      <c r="S46" s="10" t="s">
        <v>307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identifier]],Store_History[Type],$D$81)</f>
        <v>0</v>
      </c>
      <c r="M47" s="38">
        <f>SUMIFS(Store_History[Quantity],Store_History[Unique identifier],Store_Setting[[#This Row],[Unique
identifier]],Store_History[Type],$E$81)</f>
        <v>0</v>
      </c>
      <c r="N47" s="13" t="s">
        <v>84</v>
      </c>
      <c r="O47" s="13" t="s">
        <v>84</v>
      </c>
      <c r="P47" s="10" t="s">
        <v>388</v>
      </c>
      <c r="Q47" s="10" t="s">
        <v>389</v>
      </c>
      <c r="R47" s="10" t="s">
        <v>390</v>
      </c>
      <c r="S47" s="10" t="s">
        <v>391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identifier]],Store_History[Type],$D$81)</f>
        <v>0</v>
      </c>
      <c r="M48" s="38">
        <f>SUMIFS(Store_History[Quantity],Store_History[Unique identifier],Store_Setting[[#This Row],[Unique
identifier]],Store_History[Type],$E$81)</f>
        <v>0</v>
      </c>
      <c r="N48" s="13" t="s">
        <v>84</v>
      </c>
      <c r="O48" s="13" t="s">
        <v>84</v>
      </c>
      <c r="P48" s="10" t="s">
        <v>392</v>
      </c>
      <c r="Q48" s="10" t="s">
        <v>393</v>
      </c>
      <c r="R48" s="10" t="s">
        <v>394</v>
      </c>
      <c r="S48" s="10" t="s">
        <v>309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identifier]],Store_History[Type],$D$81)</f>
        <v>0</v>
      </c>
      <c r="M49" s="38">
        <f>SUMIFS(Store_History[Quantity],Store_History[Unique identifier],Store_Setting[[#This Row],[Unique
identifier]],Store_History[Type],$E$81)</f>
        <v>0</v>
      </c>
      <c r="N49" s="13" t="s">
        <v>84</v>
      </c>
      <c r="O49" s="13" t="s">
        <v>84</v>
      </c>
      <c r="P49" s="10" t="s">
        <v>395</v>
      </c>
      <c r="Q49" s="10" t="s">
        <v>396</v>
      </c>
      <c r="R49" s="10" t="s">
        <v>397</v>
      </c>
      <c r="S49" s="10" t="s">
        <v>310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identifier]],Store_History[Type],$D$81)</f>
        <v>0</v>
      </c>
      <c r="M50" s="38">
        <f>SUMIFS(Store_History[Quantity],Store_History[Unique identifier],Store_Setting[[#This Row],[Unique
identifier]],Store_History[Type],$E$81)</f>
        <v>0</v>
      </c>
      <c r="N50" s="13" t="s">
        <v>84</v>
      </c>
      <c r="O50" s="13" t="s">
        <v>84</v>
      </c>
      <c r="P50" s="10" t="s">
        <v>398</v>
      </c>
      <c r="Q50" s="10" t="s">
        <v>399</v>
      </c>
      <c r="R50" s="10" t="s">
        <v>400</v>
      </c>
      <c r="S50" s="10" t="s">
        <v>401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195</v>
      </c>
      <c r="D52" s="84" t="s">
        <v>473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196</v>
      </c>
      <c r="D53" s="86" t="s">
        <v>474</v>
      </c>
      <c r="E53" s="86" t="s">
        <v>473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194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78" t="s">
        <v>54</v>
      </c>
      <c r="C56" s="85"/>
      <c r="D56" s="90" t="s">
        <v>71</v>
      </c>
      <c r="E56" s="90" t="s">
        <v>72</v>
      </c>
      <c r="F56" s="90" t="s">
        <v>73</v>
      </c>
      <c r="G56" s="91" t="s">
        <v>74</v>
      </c>
      <c r="H56" s="91" t="s">
        <v>1</v>
      </c>
      <c r="I56" s="91" t="s">
        <v>75</v>
      </c>
      <c r="J56" s="91" t="s">
        <v>407</v>
      </c>
      <c r="K56" s="91" t="s">
        <v>408</v>
      </c>
      <c r="L56" s="91" t="s">
        <v>88</v>
      </c>
      <c r="M56" s="91" t="s">
        <v>462</v>
      </c>
      <c r="N56" s="91" t="s">
        <v>420</v>
      </c>
      <c r="O56" s="92"/>
    </row>
    <row r="57" spans="2:19" ht="40" customHeight="1" x14ac:dyDescent="0.4">
      <c r="B57" s="78"/>
      <c r="C57" s="85" t="s">
        <v>62</v>
      </c>
      <c r="D57" s="93" t="s">
        <v>84</v>
      </c>
      <c r="E57" s="93" t="s">
        <v>85</v>
      </c>
      <c r="F57" s="93" t="s">
        <v>85</v>
      </c>
      <c r="G57" s="93" t="s">
        <v>85</v>
      </c>
      <c r="H57" s="93" t="s">
        <v>85</v>
      </c>
      <c r="I57" s="93" t="s">
        <v>85</v>
      </c>
      <c r="J57" s="94" t="s">
        <v>409</v>
      </c>
      <c r="K57" s="92"/>
      <c r="L57" s="92"/>
      <c r="M57" s="92"/>
      <c r="N57" s="92"/>
      <c r="O57" s="92"/>
    </row>
    <row r="58" spans="2:19" ht="50.05" customHeight="1" x14ac:dyDescent="0.4">
      <c r="B58" s="78"/>
      <c r="C58" s="85" t="s">
        <v>411</v>
      </c>
      <c r="D58" s="93" t="s">
        <v>410</v>
      </c>
      <c r="E58" s="93" t="s">
        <v>410</v>
      </c>
      <c r="F58" s="93" t="s">
        <v>431</v>
      </c>
      <c r="G58" s="93" t="s">
        <v>431</v>
      </c>
      <c r="H58" s="93" t="s">
        <v>431</v>
      </c>
      <c r="I58" s="93" t="s">
        <v>431</v>
      </c>
      <c r="J58" s="93" t="s">
        <v>410</v>
      </c>
      <c r="K58" s="93" t="s">
        <v>410</v>
      </c>
      <c r="L58" s="93" t="s">
        <v>410</v>
      </c>
      <c r="M58" s="93" t="s">
        <v>410</v>
      </c>
      <c r="N58" s="93" t="s">
        <v>410</v>
      </c>
      <c r="O58" s="92"/>
    </row>
    <row r="59" spans="2:19" ht="50.05" customHeight="1" x14ac:dyDescent="0.4">
      <c r="B59" s="78"/>
      <c r="C59" s="85" t="s">
        <v>412</v>
      </c>
      <c r="D59" s="93" t="s">
        <v>410</v>
      </c>
      <c r="E59" s="93" t="s">
        <v>410</v>
      </c>
      <c r="F59" s="93" t="s">
        <v>410</v>
      </c>
      <c r="G59" s="93" t="s">
        <v>410</v>
      </c>
      <c r="H59" s="93" t="s">
        <v>410</v>
      </c>
      <c r="I59" s="93" t="s">
        <v>410</v>
      </c>
      <c r="J59" s="94"/>
      <c r="K59" s="93" t="s">
        <v>410</v>
      </c>
      <c r="L59" s="93" t="s">
        <v>410</v>
      </c>
      <c r="M59" s="94"/>
      <c r="N59" s="92"/>
      <c r="O59" s="92"/>
    </row>
    <row r="60" spans="2:19" ht="50.05" customHeight="1" x14ac:dyDescent="0.4">
      <c r="B60" s="78"/>
      <c r="C60" s="85" t="s">
        <v>450</v>
      </c>
      <c r="D60" s="93" t="s">
        <v>85</v>
      </c>
      <c r="E60" s="94" t="s">
        <v>83</v>
      </c>
      <c r="F60" s="95"/>
      <c r="G60" s="95"/>
      <c r="H60" s="95"/>
      <c r="I60" s="95"/>
      <c r="J60" s="95"/>
      <c r="K60" s="95"/>
      <c r="L60" s="95"/>
      <c r="M60" s="95"/>
      <c r="N60" s="92"/>
      <c r="O60" s="92"/>
    </row>
    <row r="61" spans="2:19" ht="50.05" customHeight="1" x14ac:dyDescent="0.4">
      <c r="B61" s="78"/>
      <c r="C61" s="85" t="s">
        <v>250</v>
      </c>
      <c r="D61" s="93" t="s">
        <v>84</v>
      </c>
      <c r="E61" s="94" t="s">
        <v>252</v>
      </c>
      <c r="F61" s="95"/>
      <c r="G61" s="95"/>
      <c r="H61" s="95"/>
      <c r="I61" s="95"/>
      <c r="J61" s="95"/>
      <c r="K61" s="95"/>
      <c r="L61" s="95"/>
      <c r="M61" s="95"/>
      <c r="N61" s="92"/>
      <c r="O61" s="92"/>
    </row>
    <row r="62" spans="2:19" ht="40" customHeight="1" x14ac:dyDescent="0.4">
      <c r="B62" s="78"/>
      <c r="C62" s="85" t="s">
        <v>415</v>
      </c>
      <c r="D62" s="93" t="s">
        <v>84</v>
      </c>
      <c r="E62" s="94" t="s">
        <v>414</v>
      </c>
      <c r="F62" s="95"/>
      <c r="G62" s="95"/>
      <c r="H62" s="95"/>
      <c r="I62" s="95"/>
      <c r="J62" s="95"/>
      <c r="K62" s="95"/>
      <c r="L62" s="95"/>
      <c r="M62" s="95"/>
      <c r="N62" s="92"/>
      <c r="O62" s="92"/>
    </row>
    <row r="63" spans="2:19" ht="50.05" customHeight="1" x14ac:dyDescent="0.4">
      <c r="B63" s="78"/>
      <c r="C63" s="85" t="s">
        <v>253</v>
      </c>
      <c r="D63" s="93" t="s">
        <v>84</v>
      </c>
      <c r="E63" s="94" t="s">
        <v>251</v>
      </c>
      <c r="F63" s="95"/>
      <c r="G63" s="95"/>
      <c r="H63" s="95"/>
      <c r="I63" s="95"/>
      <c r="J63" s="95"/>
      <c r="K63" s="95"/>
      <c r="L63" s="95"/>
      <c r="M63" s="95"/>
      <c r="N63" s="92"/>
      <c r="O63" s="92"/>
    </row>
    <row r="64" spans="2:19" ht="8.15" customHeight="1" x14ac:dyDescent="0.4">
      <c r="B64" s="88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78" t="s">
        <v>55</v>
      </c>
      <c r="C65" s="85" t="s">
        <v>96</v>
      </c>
      <c r="D65" s="84" t="s">
        <v>186</v>
      </c>
      <c r="E65" s="84" t="s">
        <v>187</v>
      </c>
      <c r="F65" s="84" t="s">
        <v>69</v>
      </c>
      <c r="G65" s="84" t="s">
        <v>188</v>
      </c>
      <c r="H65" s="84" t="s">
        <v>189</v>
      </c>
      <c r="I65" s="84" t="s">
        <v>70</v>
      </c>
      <c r="J65" s="84" t="s">
        <v>190</v>
      </c>
      <c r="K65" s="84"/>
      <c r="L65" s="84"/>
      <c r="M65" s="84"/>
      <c r="N65" s="84"/>
      <c r="O65" s="84"/>
    </row>
    <row r="66" spans="2:15" ht="50.05" customHeight="1" x14ac:dyDescent="0.4">
      <c r="B66" s="78"/>
      <c r="C66" s="85" t="s">
        <v>63</v>
      </c>
      <c r="D66" s="93" t="s">
        <v>84</v>
      </c>
      <c r="E66" s="94" t="s">
        <v>82</v>
      </c>
      <c r="F66" s="95"/>
      <c r="G66" s="95"/>
      <c r="H66" s="95"/>
      <c r="I66" s="95"/>
      <c r="J66" s="95"/>
      <c r="K66" s="95"/>
      <c r="L66" s="95"/>
      <c r="M66" s="95"/>
      <c r="N66" s="92"/>
      <c r="O66" s="92"/>
    </row>
    <row r="67" spans="2:15" ht="50.05" customHeight="1" x14ac:dyDescent="0.4">
      <c r="B67" s="78"/>
      <c r="C67" s="85" t="s">
        <v>254</v>
      </c>
      <c r="D67" s="93" t="s">
        <v>84</v>
      </c>
      <c r="E67" s="94" t="s">
        <v>256</v>
      </c>
      <c r="F67" s="95"/>
      <c r="G67" s="95"/>
      <c r="H67" s="95"/>
      <c r="I67" s="95"/>
      <c r="J67" s="95"/>
      <c r="K67" s="95"/>
      <c r="L67" s="95"/>
      <c r="M67" s="95"/>
      <c r="N67" s="92"/>
      <c r="O67" s="92"/>
    </row>
    <row r="68" spans="2:15" ht="50.05" customHeight="1" x14ac:dyDescent="0.4">
      <c r="B68" s="78"/>
      <c r="C68" s="85" t="s">
        <v>255</v>
      </c>
      <c r="D68" s="93" t="s">
        <v>84</v>
      </c>
      <c r="E68" s="94" t="s">
        <v>257</v>
      </c>
      <c r="F68" s="95"/>
      <c r="G68" s="95"/>
      <c r="H68" s="95"/>
      <c r="I68" s="95"/>
      <c r="J68" s="95"/>
      <c r="K68" s="95"/>
      <c r="L68" s="95"/>
      <c r="M68" s="95"/>
      <c r="N68" s="92"/>
      <c r="O68" s="92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78" t="s">
        <v>56</v>
      </c>
      <c r="C70" s="85" t="s">
        <v>417</v>
      </c>
      <c r="D70" s="96" t="s">
        <v>460</v>
      </c>
      <c r="E70" s="93">
        <v>1</v>
      </c>
      <c r="F70" s="94" t="s">
        <v>461</v>
      </c>
      <c r="G70" s="92"/>
      <c r="H70" s="92"/>
      <c r="I70" s="92"/>
      <c r="J70" s="92"/>
      <c r="K70" s="92"/>
      <c r="L70" s="92"/>
      <c r="M70" s="92"/>
      <c r="N70" s="92"/>
      <c r="O70" s="92"/>
    </row>
    <row r="71" spans="2:15" ht="55" customHeight="1" x14ac:dyDescent="0.4">
      <c r="B71" s="78"/>
      <c r="C71" s="85" t="s">
        <v>459</v>
      </c>
      <c r="D71" s="90" t="s">
        <v>463</v>
      </c>
      <c r="E71" s="93" t="s">
        <v>84</v>
      </c>
      <c r="F71" s="94"/>
      <c r="G71" s="92"/>
      <c r="H71" s="92"/>
      <c r="I71" s="92"/>
      <c r="J71" s="92"/>
      <c r="K71" s="92"/>
      <c r="L71" s="92"/>
      <c r="M71" s="92"/>
      <c r="N71" s="92"/>
      <c r="O71" s="92"/>
    </row>
    <row r="72" spans="2:15" ht="40" customHeight="1" x14ac:dyDescent="0.4">
      <c r="B72" s="78"/>
      <c r="C72" s="85"/>
      <c r="D72" s="90" t="s">
        <v>451</v>
      </c>
      <c r="E72" s="93" t="s">
        <v>84</v>
      </c>
      <c r="F72" s="94"/>
      <c r="G72" s="92"/>
      <c r="H72" s="92"/>
      <c r="I72" s="92"/>
      <c r="J72" s="92"/>
      <c r="K72" s="92"/>
      <c r="L72" s="92"/>
      <c r="M72" s="92"/>
      <c r="N72" s="92"/>
      <c r="O72" s="92"/>
    </row>
    <row r="73" spans="2:15" ht="40" customHeight="1" x14ac:dyDescent="0.4">
      <c r="B73" s="78"/>
      <c r="C73" s="85"/>
      <c r="D73" s="90" t="s">
        <v>193</v>
      </c>
      <c r="E73" s="93" t="s">
        <v>84</v>
      </c>
      <c r="F73" s="94"/>
      <c r="G73" s="92"/>
      <c r="H73" s="92"/>
      <c r="I73" s="92"/>
      <c r="J73" s="92"/>
      <c r="K73" s="92"/>
      <c r="L73" s="92"/>
      <c r="M73" s="92"/>
      <c r="N73" s="92"/>
      <c r="O73" s="92"/>
    </row>
    <row r="74" spans="2:15" ht="8.25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65.05" customHeight="1" x14ac:dyDescent="0.4">
      <c r="B75" s="78" t="s">
        <v>57</v>
      </c>
      <c r="C75" s="79" t="s">
        <v>454</v>
      </c>
      <c r="D75" s="90" t="s">
        <v>455</v>
      </c>
      <c r="E75" s="90" t="s">
        <v>465</v>
      </c>
      <c r="F75" s="90" t="s">
        <v>466</v>
      </c>
      <c r="G75" s="90" t="s">
        <v>467</v>
      </c>
      <c r="H75" s="94" t="s">
        <v>464</v>
      </c>
      <c r="I75" s="92"/>
      <c r="J75" s="92"/>
      <c r="K75" s="92"/>
      <c r="L75" s="92"/>
      <c r="M75" s="92"/>
      <c r="N75" s="92"/>
      <c r="O75" s="92"/>
    </row>
    <row r="76" spans="2:15" ht="50.05" customHeight="1" x14ac:dyDescent="0.4">
      <c r="B76" s="78"/>
      <c r="C76" s="79"/>
      <c r="D76" s="93" t="s">
        <v>85</v>
      </c>
      <c r="E76" s="93" t="s">
        <v>85</v>
      </c>
      <c r="F76" s="93" t="s">
        <v>85</v>
      </c>
      <c r="G76" s="93" t="s">
        <v>84</v>
      </c>
      <c r="H76" s="92"/>
      <c r="I76" s="92"/>
      <c r="J76" s="92"/>
      <c r="K76" s="92"/>
      <c r="L76" s="92"/>
      <c r="M76" s="92"/>
      <c r="N76" s="92"/>
      <c r="O76" s="92"/>
    </row>
    <row r="77" spans="2:15" ht="40" customHeight="1" x14ac:dyDescent="0.4">
      <c r="B77" s="78"/>
      <c r="C77" s="79"/>
      <c r="D77" s="90" t="s">
        <v>453</v>
      </c>
      <c r="E77" s="97"/>
      <c r="F77" s="98"/>
      <c r="G77" s="98"/>
      <c r="H77" s="98"/>
      <c r="I77" s="98"/>
      <c r="J77" s="98"/>
      <c r="K77" s="98"/>
      <c r="L77" s="98"/>
      <c r="M77" s="98"/>
      <c r="N77" s="98"/>
      <c r="O77" s="80"/>
    </row>
    <row r="78" spans="2:15" ht="8.15" hidden="1" customHeight="1" x14ac:dyDescent="0.4">
      <c r="C78" s="89"/>
    </row>
    <row r="79" spans="2:15" ht="40" hidden="1" customHeight="1" x14ac:dyDescent="0.4">
      <c r="B79" s="99" t="s">
        <v>58</v>
      </c>
      <c r="C79" s="85" t="s">
        <v>94</v>
      </c>
      <c r="D79" s="100" t="s">
        <v>65</v>
      </c>
      <c r="E79" s="100" t="s">
        <v>67</v>
      </c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2:15" ht="8.15" hidden="1" customHeight="1" x14ac:dyDescent="0.4">
      <c r="B80" s="88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hidden="1" customHeight="1" x14ac:dyDescent="0.4">
      <c r="B81" s="99" t="s">
        <v>416</v>
      </c>
      <c r="C81" s="85" t="s">
        <v>64</v>
      </c>
      <c r="D81" s="100" t="s">
        <v>66</v>
      </c>
      <c r="E81" s="100" t="s">
        <v>68</v>
      </c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9" t="s">
        <v>452</v>
      </c>
      <c r="C83" s="85" t="s">
        <v>72</v>
      </c>
      <c r="D83" s="100" t="s">
        <v>191</v>
      </c>
      <c r="E83" s="100" t="s">
        <v>192</v>
      </c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2:15" ht="8.15" customHeight="1" x14ac:dyDescent="0.4">
      <c r="B84" s="88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customHeight="1" x14ac:dyDescent="0.4">
      <c r="B85" s="99" t="s">
        <v>239</v>
      </c>
      <c r="C85" s="102" t="s">
        <v>48</v>
      </c>
      <c r="D85" s="9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2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2:15" ht="40" customHeight="1" x14ac:dyDescent="0.4">
      <c r="B86" s="99"/>
      <c r="C86" s="103" t="s">
        <v>61</v>
      </c>
      <c r="D86" s="9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2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2:15" ht="40" customHeight="1" x14ac:dyDescent="0.4">
      <c r="B87" s="99"/>
      <c r="C87" s="102" t="s">
        <v>193</v>
      </c>
      <c r="D87" s="9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2"/>
      <c r="F87" s="79"/>
      <c r="G87" s="104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9"/>
      <c r="C88" s="102" t="s">
        <v>49</v>
      </c>
      <c r="D88" s="94" t="str">
        <f>_xlfn.CONCAT("Shared ", COUNTA(Get_Staff_Member)," employees")</f>
        <v>Shared 2 employees</v>
      </c>
      <c r="E88" s="92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9"/>
      <c r="C89" s="102" t="s">
        <v>96</v>
      </c>
      <c r="D89" s="94" t="str">
        <f>_xlfn.CONCAT("Has been set ", COUNTA(Get_Work_Unit)," units")</f>
        <v>Has been set 7 units</v>
      </c>
      <c r="E89" s="92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2:15" ht="16" customHeight="1" x14ac:dyDescent="0.4"/>
    <row r="91" spans="2:15" ht="40" customHeight="1" x14ac:dyDescent="0.4">
      <c r="B91" s="105" t="s">
        <v>59</v>
      </c>
      <c r="C91" s="106"/>
      <c r="D91" s="106"/>
      <c r="E91" s="106"/>
    </row>
    <row r="92" spans="2:15" ht="40" customHeight="1" x14ac:dyDescent="0.4">
      <c r="B92" s="96" t="s">
        <v>456</v>
      </c>
      <c r="C92" s="107" t="s">
        <v>23</v>
      </c>
      <c r="D92" s="108"/>
      <c r="E92" s="108"/>
    </row>
    <row r="93" spans="2:15" ht="40" customHeight="1" x14ac:dyDescent="0.4">
      <c r="B93" s="109" t="s">
        <v>458</v>
      </c>
      <c r="C93" s="110" t="s">
        <v>0</v>
      </c>
      <c r="D93" s="111"/>
      <c r="E93" s="111"/>
    </row>
    <row r="94" spans="2:15" ht="40" customHeight="1" x14ac:dyDescent="0.4">
      <c r="B94" s="96" t="s">
        <v>457</v>
      </c>
      <c r="C94" s="107" t="s">
        <v>22</v>
      </c>
      <c r="D94" s="108"/>
      <c r="E94" s="108"/>
    </row>
    <row r="95" spans="2:15" ht="40" customHeight="1" x14ac:dyDescent="0.4">
      <c r="B95" s="109" t="s">
        <v>60</v>
      </c>
      <c r="C95" s="107" t="s">
        <v>406</v>
      </c>
      <c r="D95" s="107"/>
      <c r="E95" s="107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2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241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3" t="s">
        <v>76</v>
      </c>
      <c r="D7" s="63" t="s">
        <v>93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242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238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3" t="s">
        <v>92</v>
      </c>
      <c r="D11" s="63" t="s">
        <v>94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95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96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88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3" t="s">
        <v>243</v>
      </c>
      <c r="D17" s="63" t="s">
        <v>89</v>
      </c>
      <c r="E17" s="70" t="s">
        <v>473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2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418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473</v>
      </c>
      <c r="I5" s="42" t="s">
        <v>468</v>
      </c>
      <c r="J5" s="66" t="s">
        <v>432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2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241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3" t="s">
        <v>90</v>
      </c>
      <c r="D7" s="54" t="s">
        <v>93</v>
      </c>
      <c r="E7" s="55" t="str">
        <f>CONCATENATE(IF(E8="","", _xlfn.CONCAT(E8)), IF(E9="","", _xlfn.CONCAT(" ",E9)), IF(E14="","", _xlfn.CONCAT(" | ",E14)))</f>
        <v/>
      </c>
      <c r="F7" s="3"/>
      <c r="G7" s="3"/>
    </row>
    <row r="8" spans="1:8" ht="35.15" customHeight="1" x14ac:dyDescent="0.4">
      <c r="B8" s="3"/>
      <c r="C8" s="3"/>
      <c r="D8" s="56" t="s">
        <v>86</v>
      </c>
      <c r="E8" s="57"/>
      <c r="F8" s="58">
        <v>-1</v>
      </c>
      <c r="G8" s="3"/>
    </row>
    <row r="9" spans="1:8" ht="35.15" customHeight="1" x14ac:dyDescent="0.4">
      <c r="B9" s="3"/>
      <c r="C9" s="3"/>
      <c r="D9" s="56" t="s">
        <v>71</v>
      </c>
      <c r="E9" s="59"/>
      <c r="F9" s="60">
        <v>-1</v>
      </c>
      <c r="G9" s="3"/>
    </row>
    <row r="10" spans="1:8" ht="35.15" customHeight="1" x14ac:dyDescent="0.4">
      <c r="B10" s="3"/>
      <c r="C10" s="3"/>
      <c r="D10" s="56" t="s">
        <v>72</v>
      </c>
      <c r="E10" s="59"/>
      <c r="F10" s="60"/>
      <c r="G10" s="3"/>
    </row>
    <row r="11" spans="1:8" ht="35.15" customHeight="1" x14ac:dyDescent="0.4">
      <c r="B11" s="3"/>
      <c r="C11" s="3"/>
      <c r="D11" s="56" t="s">
        <v>184</v>
      </c>
      <c r="E11" s="61"/>
      <c r="F11" s="60"/>
      <c r="G11" s="3"/>
    </row>
    <row r="12" spans="1:8" ht="35.15" customHeight="1" x14ac:dyDescent="0.4">
      <c r="B12" s="3"/>
      <c r="C12" s="3"/>
      <c r="D12" s="56" t="s">
        <v>74</v>
      </c>
      <c r="E12" s="62"/>
      <c r="F12" s="60"/>
      <c r="G12" s="3"/>
    </row>
    <row r="13" spans="1:8" ht="15" customHeight="1" x14ac:dyDescent="0.4">
      <c r="B13" s="3"/>
      <c r="C13" s="3"/>
      <c r="D13" s="3"/>
      <c r="E13" s="3"/>
      <c r="F13" s="3"/>
      <c r="G13" s="3"/>
    </row>
    <row r="14" spans="1:8" ht="35.15" customHeight="1" x14ac:dyDescent="0.4">
      <c r="B14" s="3"/>
      <c r="C14" s="43" t="s">
        <v>91</v>
      </c>
      <c r="D14" s="56" t="s">
        <v>87</v>
      </c>
      <c r="E14" s="59"/>
      <c r="F14" s="60">
        <v>-1</v>
      </c>
      <c r="G14" s="3"/>
    </row>
    <row r="15" spans="1:8" ht="35.15" customHeight="1" x14ac:dyDescent="0.4">
      <c r="B15" s="3"/>
      <c r="C15" s="3"/>
      <c r="D15" s="56" t="s">
        <v>1</v>
      </c>
      <c r="E15" s="59"/>
      <c r="F15" s="60"/>
      <c r="G15" s="3"/>
    </row>
    <row r="16" spans="1:8" ht="35.15" customHeight="1" x14ac:dyDescent="0.4">
      <c r="B16" s="3"/>
      <c r="C16" s="3"/>
      <c r="D16" s="56" t="s">
        <v>75</v>
      </c>
      <c r="E16" s="57"/>
      <c r="F16" s="58"/>
      <c r="G16" s="3"/>
    </row>
    <row r="17" spans="2:7" ht="15" customHeight="1" x14ac:dyDescent="0.4">
      <c r="B17" s="3"/>
      <c r="C17" s="3"/>
      <c r="D17" s="3"/>
      <c r="E17" s="3"/>
      <c r="F17" s="3"/>
      <c r="G17" s="3"/>
    </row>
    <row r="18" spans="2:7" ht="35.15" customHeight="1" x14ac:dyDescent="0.4">
      <c r="B18" s="3"/>
      <c r="C18" s="3"/>
      <c r="D18" s="63" t="s">
        <v>88</v>
      </c>
      <c r="E18" s="57"/>
      <c r="F18" s="58"/>
      <c r="G18" s="3"/>
    </row>
    <row r="19" spans="2:7" ht="15" customHeight="1" x14ac:dyDescent="0.4">
      <c r="B19" s="3"/>
      <c r="C19" s="3"/>
      <c r="D19" s="3"/>
      <c r="E19" s="3"/>
      <c r="F19" s="3"/>
      <c r="G19" s="3"/>
    </row>
    <row r="20" spans="2:7" ht="35.15" customHeight="1" x14ac:dyDescent="0.4">
      <c r="B20" s="3"/>
      <c r="C20" s="43" t="s">
        <v>243</v>
      </c>
      <c r="D20" s="63" t="s">
        <v>89</v>
      </c>
      <c r="E20" s="59" t="s">
        <v>473</v>
      </c>
      <c r="F20" s="60">
        <v>1</v>
      </c>
      <c r="G20" s="3"/>
    </row>
    <row r="21" spans="2:7" ht="14.15" customHeight="1" x14ac:dyDescent="0.4">
      <c r="B21" s="3"/>
      <c r="C21" s="3"/>
      <c r="D21" s="3"/>
      <c r="E21" s="3"/>
      <c r="F21" s="3"/>
      <c r="G21" s="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44" customWidth="1"/>
    <col min="125" max="125" width="14.69140625" style="45" customWidth="1"/>
    <col min="126" max="126" width="12.69140625" style="18" customWidth="1"/>
    <col min="127" max="127" width="24.69140625" style="46" hidden="1" customWidth="1"/>
    <col min="128" max="128" width="12.69140625" style="18" hidden="1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19" customWidth="1"/>
    <col min="133" max="133" width="14.69140625" style="18" customWidth="1"/>
    <col min="134" max="134" width="22.69140625" style="47" customWidth="1"/>
    <col min="135" max="135" width="14.69140625" style="30" customWidth="1"/>
    <col min="136" max="137" width="14.69140625" style="48" customWidth="1"/>
    <col min="138" max="138" width="14.69140625" style="114" customWidth="1"/>
    <col min="139" max="139" width="2.69140625" style="8" customWidth="1"/>
    <col min="140" max="16384" width="9.15234375" style="8" hidden="1"/>
  </cols>
  <sheetData>
    <row r="1" spans="1:138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4"/>
      <c r="EG1" s="24"/>
    </row>
    <row r="2" spans="1:138" s="29" customFormat="1" ht="55" customHeight="1" x14ac:dyDescent="0.4">
      <c r="A2" s="2"/>
      <c r="B2" s="112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8"/>
      <c r="EG2" s="28"/>
    </row>
    <row r="3" spans="1:138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1"/>
      <c r="EF3" s="31"/>
      <c r="EG3" s="31"/>
      <c r="EH3" s="8"/>
    </row>
    <row r="4" spans="1:138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7" t="s">
        <v>181</v>
      </c>
      <c r="DU4" s="117"/>
      <c r="DV4" s="117"/>
      <c r="DW4" s="117"/>
      <c r="DX4" s="117"/>
      <c r="DY4" s="117" t="s">
        <v>182</v>
      </c>
      <c r="DZ4" s="117"/>
      <c r="EA4" s="117"/>
      <c r="EB4" s="117" t="s">
        <v>183</v>
      </c>
      <c r="EC4" s="117"/>
      <c r="ED4" s="34" t="s">
        <v>413</v>
      </c>
      <c r="EE4" s="118" t="s">
        <v>258</v>
      </c>
      <c r="EF4" s="118"/>
      <c r="EG4" s="118"/>
      <c r="EH4" s="7" t="s">
        <v>420</v>
      </c>
    </row>
    <row r="5" spans="1:138" s="3" customFormat="1" ht="8.15" customHeight="1" x14ac:dyDescent="0.4"/>
    <row r="6" spans="1:138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86</v>
      </c>
      <c r="DU6" s="9" t="s">
        <v>71</v>
      </c>
      <c r="DV6" s="9" t="s">
        <v>72</v>
      </c>
      <c r="DW6" s="9" t="s">
        <v>184</v>
      </c>
      <c r="DX6" s="9" t="s">
        <v>74</v>
      </c>
      <c r="DY6" s="9" t="s">
        <v>87</v>
      </c>
      <c r="DZ6" s="9" t="s">
        <v>1</v>
      </c>
      <c r="EA6" s="9" t="s">
        <v>75</v>
      </c>
      <c r="EB6" s="35" t="s">
        <v>185</v>
      </c>
      <c r="EC6" s="9" t="s">
        <v>89</v>
      </c>
      <c r="ED6" s="9" t="s">
        <v>88</v>
      </c>
      <c r="EE6" s="36" t="s">
        <v>262</v>
      </c>
      <c r="EF6" s="36" t="s">
        <v>263</v>
      </c>
      <c r="EG6" s="36" t="s">
        <v>261</v>
      </c>
      <c r="EH6" s="9" t="s">
        <v>418</v>
      </c>
    </row>
    <row r="7" spans="1:138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39" t="s">
        <v>197</v>
      </c>
      <c r="DU7" s="40" t="s">
        <v>0</v>
      </c>
      <c r="DV7" s="41" t="s">
        <v>191</v>
      </c>
      <c r="DW7" s="41"/>
      <c r="DX7" s="13"/>
      <c r="DY7" s="41" t="s">
        <v>46</v>
      </c>
      <c r="DZ7" s="41" t="s">
        <v>44</v>
      </c>
      <c r="EA7" s="41"/>
      <c r="EB7" s="14"/>
      <c r="EC7" s="13" t="s">
        <v>473</v>
      </c>
      <c r="ED7" s="42" t="s">
        <v>468</v>
      </c>
      <c r="EE7" s="38" cm="1">
        <f t="array" ref="EE7">History_Total</f>
        <v>1</v>
      </c>
      <c r="EF7" s="38" cm="1">
        <f t="array" ref="EF7">History_Saved</f>
        <v>1</v>
      </c>
      <c r="EG7" s="38" cm="1">
        <f t="array" ref="EG7">History_Withdraw</f>
        <v>0</v>
      </c>
      <c r="EH7" s="81" t="s">
        <v>432</v>
      </c>
    </row>
    <row r="8" spans="1:138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39" t="s">
        <v>198</v>
      </c>
      <c r="DU8" s="40" t="s">
        <v>0</v>
      </c>
      <c r="DV8" s="41" t="s">
        <v>192</v>
      </c>
      <c r="DW8" s="41"/>
      <c r="DX8" s="13"/>
      <c r="DY8" s="41" t="s">
        <v>47</v>
      </c>
      <c r="DZ8" s="41"/>
      <c r="EA8" s="41"/>
      <c r="EB8" s="14"/>
      <c r="EC8" s="13" t="s">
        <v>473</v>
      </c>
      <c r="ED8" s="42" t="s">
        <v>468</v>
      </c>
      <c r="EE8" s="38" cm="1">
        <f t="array" ref="EE8">History_Total</f>
        <v>1</v>
      </c>
      <c r="EF8" s="38" cm="1">
        <f t="array" ref="EF8">History_Saved</f>
        <v>1</v>
      </c>
      <c r="EG8" s="38" cm="1">
        <f t="array" ref="EG8">History_Withdraw</f>
        <v>0</v>
      </c>
      <c r="EH8" s="81" t="s">
        <v>432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2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7" t="s">
        <v>199</v>
      </c>
      <c r="AS4" s="117"/>
      <c r="AT4" s="117"/>
      <c r="AU4" s="117"/>
      <c r="AV4" s="7" t="s">
        <v>420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418</v>
      </c>
    </row>
    <row r="7" spans="2:48" ht="40" customHeight="1" x14ac:dyDescent="0.4">
      <c r="B7" s="10" cm="1">
        <f t="array" ref="B7">SN</f>
        <v>1</v>
      </c>
      <c r="C7" s="11" t="s">
        <v>259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473</v>
      </c>
      <c r="AU7" s="15" t="s">
        <v>468</v>
      </c>
      <c r="AV7" s="10" t="s">
        <v>432</v>
      </c>
    </row>
    <row r="8" spans="2:48" ht="40" customHeight="1" x14ac:dyDescent="0.4">
      <c r="B8" s="10" cm="1">
        <f t="array" ref="B8">SN</f>
        <v>2</v>
      </c>
      <c r="C8" s="11" t="s">
        <v>260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473</v>
      </c>
      <c r="AU8" s="15" t="s">
        <v>468</v>
      </c>
      <c r="AV8" s="10" t="s">
        <v>432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2024-03-06T03:36:55Z</cp:lastPrinted>
  <dcterms:created xsi:type="dcterms:W3CDTF">2023-11-27T09:49:08Z</dcterms:created>
  <dcterms:modified xsi:type="dcterms:W3CDTF">2024-03-07T10:32:52Z</dcterms:modified>
</cp:coreProperties>
</file>