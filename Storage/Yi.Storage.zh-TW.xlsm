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27EB32B3-A72D-4E48-B368-EAB9EDE6464C}" xr6:coauthVersionLast="47" xr6:coauthVersionMax="47" xr10:uidLastSave="{00000000-0000-0000-0000-000000000000}"/>
  <workbookProtection lockStructure="1"/>
  <bookViews>
    <workbookView xWindow="-110" yWindow="-110" windowWidth="25820" windowHeight="15500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89" i="1"/>
  <c r="D88" i="1"/>
  <c r="D87" i="1"/>
  <c r="B2" i="5"/>
  <c r="B2" i="6"/>
  <c r="B2" i="4"/>
  <c r="B2" i="8"/>
  <c r="B2" i="9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<sst xmlns="http://schemas.openxmlformats.org/spreadsheetml/2006/main" count="724" uniqueCount="489">
  <si>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</si>
  <si>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</si>
  <si>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</si>
  <si>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</si>
  <si>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</si>
  <si>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</si>
  <si>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</si>
  <si>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</si>
  <si>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</si>
  <si>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</si>
  <si>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</si>
  <si>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</si>
  <si>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</si>
  <si>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</si>
  <si>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</si>
  <si>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</si>
  <si>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</si>
  <si>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</si>
  <si>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</si>
  <si>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</si>
  <si>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</si>
  <si>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</si>
  <si>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</si>
  <si>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</si>
  <si>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</si>
  <si>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</si>
  <si>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</si>
  <si>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</si>
  <si>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</si>
  <si>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</si>
  <si>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</si>
  <si>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</si>
  <si>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</si>
  <si>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</si>
  <si>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</si>
  <si>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</si>
  <si>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</si>
  <si>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</si>
  <si>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</si>
  <si>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</si>
  <si>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</si>
  <si>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</si>
  <si>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</si>
  <si>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</si>
  <si>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</si>
  <si>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</si>
  <si>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</si>
  <si>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</si>
  <si>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</si>
  <si>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</si>
  <si>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</si>
  <si>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</si>
  <si>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</si>
  <si>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</si>
  <si>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</si>
  <si>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</si>
  <si>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</si>
  <si>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</si>
  <si>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</si>
  <si>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</si>
  <si>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</si>
  <si>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</si>
  <si>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</si>
  <si>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</si>
  <si>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</si>
  <si>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</si>
  <si>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</si>
  <si>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</si>
  <si>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</si>
  <si>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</si>
  <si>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</si>
  <si>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</si>
  <si>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</si>
  <si>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</si>
  <si>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</si>
  <si>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</si>
  <si>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</si>
  <si>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</si>
  <si>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</si>
  <si>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</si>
  <si>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</si>
  <si>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</si>
  <si>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</si>
  <si>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</si>
  <si>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</si>
  <si>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</si>
  <si>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</si>
  <si>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</si>
  <si>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</si>
  <si>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</si>
  <si>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</si>
  <si>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</si>
  <si>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</si>
  <si>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</si>
  <si>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</si>
  <si>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</si>
  <si>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</si>
  <si>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</si>
  <si>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</si>
  <si>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</si>
  <si>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</si>
  <si>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</si>
  <si>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</si>
  <si>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</si>
  <si>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</si>
  <si>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</si>
  <si>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</si>
  <si>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</si>
  <si>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</si>
  <si>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</si>
  <si>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</si>
  <si>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</si>
  <si>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</si>
  <si>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</si>
  <si>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</si>
  <si>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</si>
  <si>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</si>
  <si>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</si>
  <si>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</si>
  <si>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</si>
  <si>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</si>
  <si>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</si>
  <si>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</si>
  <si>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</si>
  <si>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</si>
  <si>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</si>
  <si>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</si>
  <si>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</si>
  <si>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</si>
  <si>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</si>
  <si>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</si>
  <si>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</si>
  <si>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</si>
  <si>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</si>
  <si>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</si>
  <si>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</si>
  <si>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</si>
  <si>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</si>
  <si>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</si>
  <si>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</si>
  <si>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</si>
  <si>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</si>
  <si>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</si>
  <si>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</si>
  <si>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</si>
  <si>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</si>
  <si>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</si>
  <si>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</si>
  <si>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</si>
  <si>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</si>
  <si>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</si>
  <si>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</si>
  <si>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</si>
  <si>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</si>
  <si>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</si>
  <si>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</si>
  <si>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</si>
  <si>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</si>
  <si>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</si>
  <si>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</si>
  <si>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</si>
  <si>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</si>
  <si>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</si>
  <si>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</si>
  <si>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</si>
  <si>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</si>
  <si>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</si>
  <si>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</si>
  <si>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</si>
  <si>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</si>
  <si>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</si>
  <si>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</si>
  <si>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</si>
  <si>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</si>
  <si>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</si>
  <si>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</si>
  <si>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</si>
  <si>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</si>
  <si>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</si>
  <si>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</si>
  <si>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</si>
  <si>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</si>
  <si>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</si>
  <si>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</si>
  <si>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</si>
  <si>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</si>
  <si>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</si>
  <si>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</si>
  <si>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</si>
  <si>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</si>
  <si>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</si>
  <si>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</si>
  <si>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</si>
  <si>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</si>
  <si>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</si>
  <si>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</si>
  <si>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</si>
  <si>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</si>
  <si>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</si>
  <si>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</si>
  <si>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</si>
  <si>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</si>
  <si>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</si>
  <si>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</si>
  <si>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</si>
  <si>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</si>
  <si>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</si>
  <si>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</si>
  <si>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</si>
  <si>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</si>
  <si>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</si>
  <si>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</si>
  <si>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</si>
  <si>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</si>
  <si>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</si>
  <si>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</si>
  <si>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</si>
  <si>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</si>
  <si>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</si>
  <si>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</si>
  <si>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</si>
  <si>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</si>
  <si>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</si>
  <si>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</si>
  <si>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</si>
  <si>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</si>
  <si>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</si>
  <si>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</si>
  <si>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</si>
  <si>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</si>
  <si>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</si>
  <si>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</si>
  <si>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</si>
  <si>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</si>
  <si>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</si>
  <si>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</si>
  <si>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</si>
  <si>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</si>
  <si>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</si>
  <si>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</si>
  <si>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</si>
  <si>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</si>
  <si>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</si>
  <si>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</si>
  <si>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</si>
  <si>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</si>
  <si>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</si>
  <si>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</si>
  <si>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</si>
  <si>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</si>
  <si>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</si>
  <si>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</si>
  <si>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</si>
  <si>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</si>
  <si>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</si>
  <si>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</si>
  <si>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</si>
  <si>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</si>
  <si>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</si>
  <si>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</si>
  <si>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</si>
  <si>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</si>
  <si>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</si>
  <si>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</si>
  <si>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</si>
  <si>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</si>
  <si>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</si>
  <si>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</si>
  <si>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</si>
  <si>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</si>
  <si>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</si>
  <si>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</si>
  <si>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</si>
  <si>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</si>
  <si>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</si>
  <si>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</si>
  <si>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</si>
  <si>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</si>
  <si>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</si>
  <si>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</si>
  <si>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</si>
  <si>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</si>
  <si>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</si>
  <si>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</si>
  <si>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</si>
  <si>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</si>
  <si>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</si>
  <si>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</si>
  <si>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</si>
  <si>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</si>
  <si>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</si>
  <si>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</si>
  <si>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</si>
  <si>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</si>
  <si>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</si>
  <si>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</si>
  <si>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</si>
  <si>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</si>
  <si>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</si>
  <si>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</si>
  <si>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</si>
  <si>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</si>
  <si>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</si>
  <si>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</si>
  <si>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</si>
  <si>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</si>
  <si>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</si>
  <si>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</si>
  <si>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</si>
  <si>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</si>
  <si>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</si>
  <si>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</si>
  <si>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</si>
  <si>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</si>
  <si>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</si>
  <si>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</si>
  <si>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</si>
  <si>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</si>
  <si>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</si>
  <si>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</si>
  <si>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</si>
  <si>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</si>
  <si>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</si>
  <si>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</si>
  <si>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</si>
  <si>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</si>
  <si>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</si>
  <si>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</si>
  <si>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</si>
  <si>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</si>
  <si>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</si>
  <si>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</si>
  <si>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</si>
  <si>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</si>
  <si>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</si>
  <si>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</si>
  <si>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</si>
  <si>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</si>
  <si>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</si>
  <si>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</si>
  <si>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</si>
  <si>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</si>
  <si>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</si>
  <si>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</si>
  <si>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</si>
  <si>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</si>
  <si>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</si>
  <si>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</si>
  <si>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</si>
  <si>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</si>
  <si>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</si>
  <si>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</si>
  <si>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</si>
  <si>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</si>
  <si>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</si>
  <si>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</si>
  <si>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</si>
  <si>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</si>
  <si>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</si>
  <si>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</si>
  <si>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</si>
  <si>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</si>
  <si>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</si>
  <si>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</si>
  <si>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</si>
  <si>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</si>
  <si>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</si>
  <si>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</si>
  <si>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</si>
  <si>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</si>
  <si>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</si>
  <si>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</si>
  <si>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</si>
  <si>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</si>
  <si>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</si>
  <si>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</si>
  <si>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</si>
  <si>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</si>
  <si>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</si>
  <si>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</si>
  <si>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</si>
  <si>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</si>
  <si>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</si>
  <si>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</si>
  <si>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</si>
  <si>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</si>
  <si>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</si>
  <si>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</si>
  <si>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</si>
  <si>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</si>
  <si>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</si>
  <si>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</si>
  <si>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</si>
  <si>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</si>
  <si>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</si>
  <si>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</si>
  <si>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</si>
  <si>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</si>
  <si>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</si>
  <si>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</si>
  <si>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</si>
  <si>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</si>
  <si>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</si>
  <si>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</si>
  <si>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</si>
  <si>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</si>
  <si>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</si>
  <si>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</si>
  <si>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</si>
  <si>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</si>
  <si>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</si>
  <si>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</si>
  <si>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</si>
  <si>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</si>
  <si>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</si>
  <si>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</si>
  <si>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</si>
  <si>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</si>
  <si>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</si>
  <si>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</si>
  <si>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</si>
  <si>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</si>
  <si>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</si>
  <si>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</si>
  <si>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</si>
  <si>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</si>
  <si>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</si>
  <si>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</si>
  <si>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</si>
  <si>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</si>
  <si>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</si>
  <si>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</si>
  <si>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</si>
  <si>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</si>
  <si>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</si>
  <si>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</si>
  <si>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</si>
  <si>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</si>
  <si>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</si>
  <si>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</si>
  <si>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</si>
  <si>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</si>
  <si>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</si>
  <si>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</si>
  <si>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</si>
  <si>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</si>
  <si>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</si>
  <si>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</si>
  <si>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</si>
  <si>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</si>
  <si>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</si>
  <si>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</si>
  <si>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</si>
  <si>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</si>
  <si>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</si>
  <si>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</si>
  <si>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備份</t>
  </si>
  <si>
    <t>允許自動備份</t>
  </si>
  <si>
    <t>保存到</t>
  </si>
  <si>
    <t>入庫 | 存貨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</si>
  <si>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</si>
  <si>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</si>
  <si>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</si>
  <si>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</si>
  <si>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</si>
  <si>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</si>
  <si>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</si>
  <si>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</si>
  <si>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</si>
  <si>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</si>
  <si>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</si>
  <si>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</si>
  <si>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</si>
  <si>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</si>
  <si>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</si>
  <si>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</si>
  <si>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</si>
  <si>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</si>
  <si>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</si>
  <si>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</si>
  <si>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</si>
  <si>
    <t>v4.1</t>
  </si>
  <si>
    <t>會員詳細資訊</t>
  </si>
  <si>
    <t>自動鎖定
超過</t>
  </si>
  <si>
    <t>每隔 1 小時
自動刷新</t>
  </si>
  <si>
    <t>開啟工作表後
刷新</t>
  </si>
  <si>
    <t>離開設定後
刷新</t>
  </si>
  <si>
    <t>小時後自動鎖定，標記狀態為：可編輯、不可編輯</t>
  </si>
  <si>
    <t>小時後自動鎖定，標記狀態為：可編輯、不可編輯、部分編輯受限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</si>
</sst>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6" borderId="0" xfId="0" applyFont="1" applyFill="1" applyAlignment="1" applyProtection="1">
      <alignment horizontal="right" vertical="center" indent="2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0066"/>
      <color rgb="FFFFD966"/>
      <color rgb="FFFFC000"/>
      <color rgb="FFF8CBAD"/>
      <color rgb="FFF4B084"/>
      <color rgb="FFDF4C26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196850</xdr:colOff>
          <xdr:row>1</xdr:row>
          <xdr:rowOff>514350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2489200</xdr:colOff>
          <xdr:row>1</xdr:row>
          <xdr:rowOff>514350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196850</xdr:colOff>
          <xdr:row>1</xdr:row>
          <xdr:rowOff>514350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2489200</xdr:colOff>
          <xdr:row>1</xdr:row>
          <xdr:rowOff>514350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101600</xdr:colOff>
          <xdr:row>3</xdr:row>
          <xdr:rowOff>107950</xdr:rowOff>
        </xdr:from>
        <xdr:to>
          <xdr:col>2</xdr:col>
          <xdr:colOff>1016000</xdr:colOff>
          <xdr:row>3</xdr:row>
          <xdr:rowOff>438150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107950</xdr:rowOff>
        </xdr:from>
        <xdr:to>
          <xdr:col>2</xdr:col>
          <xdr:colOff>2057400</xdr:colOff>
          <xdr:row>3</xdr:row>
          <xdr:rowOff>438150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",Store_Setting[[#This Row],[商品名稱]])))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7265625" style="7" customWidth="1"/>
    <col min="2" max="2" width="14.7265625" style="7" customWidth="1"/>
    <col min="3" max="3" width="18.7265625" style="7" customWidth="1"/>
    <col min="4" max="15" width="14.7265625" style="7" customWidth="1"/>
    <col min="16" max="19" width="14.7265625" style="7" hidden="1" customWidth="1"/>
    <col min="20" max="20" width="2.7265625" style="7" customWidth="1"/>
    <col min="21" max="53" width="9.1796875" style="7" hidden="1" customWidth="1"/>
    <col min="54" max="55" width="18.7265625" style="7" hidden="1" customWidth="1"/>
    <col min="56" max="56" width="60.7265625" style="7" hidden="1" customWidth="1"/>
    <col min="57" max="16384" width="9.17968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167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169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170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455</v>
      </c>
    </row>
    <row r="8" spans="2:56" ht="8.15" customHeight="1"/>
    <row r="9" spans="2:56" ht="40" customHeight="1">
      <c r="B9" s="9" t="s">
        <v>8</v>
      </c>
      <c r="C9" s="10" t="s">
        <v>171</v>
      </c>
      <c r="D9" s="10"/>
      <c r="E9" s="10"/>
      <c r="F9" s="10"/>
      <c r="G9" s="10" t="s">
        <v>180</v>
      </c>
      <c r="H9" s="104" t="s">
        <v>181</v>
      </c>
      <c r="I9" s="104"/>
      <c r="J9" s="104"/>
      <c r="K9" s="105" t="s">
        <v>182</v>
      </c>
      <c r="L9" s="105"/>
      <c r="M9" s="105"/>
      <c r="N9" s="105" t="s">
        <v>411</v>
      </c>
      <c r="O9" s="105"/>
      <c r="P9" s="105" t="s">
        <v>410</v>
      </c>
      <c r="Q9" s="105"/>
      <c r="R9" s="105"/>
      <c r="S9" s="105"/>
      <c r="BB9" s="7" t="s">
        <v>454</v>
      </c>
      <c r="BC9" s="7" t="s">
        <v>209</v>
      </c>
      <c r="BD9" s="7" t="s">
        <v>430</v>
      </c>
    </row>
    <row r="10" spans="2:56" ht="40" customHeight="1">
      <c r="B10" s="9"/>
      <c r="C10" s="10"/>
      <c r="D10" s="14" t="s">
        <v>172</v>
      </c>
      <c r="E10" s="14" t="s">
        <v>173</v>
      </c>
      <c r="F10" s="14" t="s">
        <v>174</v>
      </c>
      <c r="G10" s="14" t="s">
        <v>175</v>
      </c>
      <c r="H10" s="14" t="s">
        <v>176</v>
      </c>
      <c r="I10" s="14" t="s">
        <v>151</v>
      </c>
      <c r="J10" s="14" t="s">
        <v>152</v>
      </c>
      <c r="K10" s="14" t="s">
        <v>177</v>
      </c>
      <c r="L10" s="14" t="s">
        <v>178</v>
      </c>
      <c r="M10" s="14" t="s">
        <v>179</v>
      </c>
      <c r="N10" s="14" t="s">
        <v>413</v>
      </c>
      <c r="O10" s="14" t="s">
        <v>412</v>
      </c>
      <c r="P10" s="14" t="s">
        <v>272</v>
      </c>
      <c r="Q10" s="14" t="s">
        <v>273</v>
      </c>
      <c r="R10" s="14" t="s">
        <v>274</v>
      </c>
      <c r="S10" s="14" t="s">
        <v>275</v>
      </c>
      <c r="BC10" s="7" t="s">
        <v>428</v>
      </c>
      <c r="BD10" s="7" t="s">
        <v>80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",Store_Setting[[#This Row],[商品名稱]])))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80</v>
      </c>
      <c r="O11" s="20" t="s">
        <v>80</v>
      </c>
      <c r="P11" s="16" t="s">
        <v>276</v>
      </c>
      <c r="Q11" s="16" t="s">
        <v>277</v>
      </c>
      <c r="R11" s="16" t="s">
        <v>278</v>
      </c>
      <c r="S11" s="16" t="s">
        <v>279</v>
      </c>
      <c r="BC11" s="7" t="s">
        <v>429</v>
      </c>
      <c r="BD11" s="7" t="s">
        <v>81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",Store_Setting[[#This Row],[商品名稱]])))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80</v>
      </c>
      <c r="O12" s="20" t="s">
        <v>80</v>
      </c>
      <c r="P12" s="16" t="s">
        <v>280</v>
      </c>
      <c r="Q12" s="16" t="s">
        <v>281</v>
      </c>
      <c r="R12" s="16" t="s">
        <v>282</v>
      </c>
      <c r="S12" s="16" t="s">
        <v>277</v>
      </c>
      <c r="BD12" s="7" t="s">
        <v>172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",Store_Setting[[#This Row],[商品名稱]])))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80</v>
      </c>
      <c r="O13" s="20" t="s">
        <v>80</v>
      </c>
      <c r="P13" s="16" t="s">
        <v>283</v>
      </c>
      <c r="Q13" s="16" t="s">
        <v>284</v>
      </c>
      <c r="R13" s="16" t="s">
        <v>285</v>
      </c>
      <c r="S13" s="16" t="s">
        <v>278</v>
      </c>
      <c r="BD13" s="7" t="s">
        <v>431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",Store_Setting[[#This Row],[商品名稱]])))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80</v>
      </c>
      <c r="O14" s="20" t="s">
        <v>80</v>
      </c>
      <c r="P14" s="16" t="s">
        <v>286</v>
      </c>
      <c r="Q14" s="16" t="s">
        <v>287</v>
      </c>
      <c r="R14" s="16" t="s">
        <v>288</v>
      </c>
      <c r="S14" s="16" t="s">
        <v>289</v>
      </c>
      <c r="BD14" s="7" t="s">
        <v>432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",Store_Setting[[#This Row],[商品名稱]])))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80</v>
      </c>
      <c r="O15" s="20" t="s">
        <v>80</v>
      </c>
      <c r="P15" s="16" t="s">
        <v>290</v>
      </c>
      <c r="Q15" s="16" t="s">
        <v>291</v>
      </c>
      <c r="R15" s="16" t="s">
        <v>292</v>
      </c>
      <c r="S15" s="16" t="s">
        <v>281</v>
      </c>
      <c r="BD15" s="7" t="s">
        <v>433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",Store_Setting[[#This Row],[商品名稱]])))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80</v>
      </c>
      <c r="O16" s="20" t="s">
        <v>80</v>
      </c>
      <c r="P16" s="16" t="s">
        <v>293</v>
      </c>
      <c r="Q16" s="16" t="s">
        <v>294</v>
      </c>
      <c r="R16" s="16" t="s">
        <v>295</v>
      </c>
      <c r="S16" s="16" t="s">
        <v>282</v>
      </c>
      <c r="BD16" s="7" t="s">
        <v>434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",Store_Setting[[#This Row],[商品名稱]])))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80</v>
      </c>
      <c r="O17" s="20" t="s">
        <v>80</v>
      </c>
      <c r="P17" s="16" t="s">
        <v>296</v>
      </c>
      <c r="Q17" s="16" t="s">
        <v>297</v>
      </c>
      <c r="R17" s="16" t="s">
        <v>298</v>
      </c>
      <c r="S17" s="16" t="s">
        <v>299</v>
      </c>
      <c r="BD17" s="7" t="s">
        <v>417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",Store_Setting[[#This Row],[商品名稱]])))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80</v>
      </c>
      <c r="O18" s="20" t="s">
        <v>80</v>
      </c>
      <c r="P18" s="16" t="s">
        <v>300</v>
      </c>
      <c r="Q18" s="16" t="s">
        <v>301</v>
      </c>
      <c r="R18" s="16" t="s">
        <v>302</v>
      </c>
      <c r="S18" s="16" t="s">
        <v>284</v>
      </c>
      <c r="BD18" s="7" t="s">
        <v>435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",Store_Setting[[#This Row],[商品名稱]])))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80</v>
      </c>
      <c r="O19" s="20" t="s">
        <v>80</v>
      </c>
      <c r="P19" s="16" t="s">
        <v>303</v>
      </c>
      <c r="Q19" s="16" t="s">
        <v>304</v>
      </c>
      <c r="R19" s="16" t="s">
        <v>305</v>
      </c>
      <c r="S19" s="16" t="s">
        <v>285</v>
      </c>
      <c r="BD19" s="7" t="s">
        <v>436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",Store_Setting[[#This Row],[商品名稱]])))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80</v>
      </c>
      <c r="O20" s="20" t="s">
        <v>80</v>
      </c>
      <c r="P20" s="16" t="s">
        <v>306</v>
      </c>
      <c r="Q20" s="16" t="s">
        <v>307</v>
      </c>
      <c r="R20" s="16" t="s">
        <v>308</v>
      </c>
      <c r="S20" s="16" t="s">
        <v>309</v>
      </c>
      <c r="BD20" s="7" t="s">
        <v>424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",Store_Setting[[#This Row],[商品名稱]])))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80</v>
      </c>
      <c r="O21" s="20" t="s">
        <v>80</v>
      </c>
      <c r="P21" s="16" t="s">
        <v>310</v>
      </c>
      <c r="Q21" s="16" t="s">
        <v>311</v>
      </c>
      <c r="R21" s="16" t="s">
        <v>312</v>
      </c>
      <c r="S21" s="16" t="s">
        <v>287</v>
      </c>
      <c r="BD21" s="7" t="s">
        <v>468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",Store_Setting[[#This Row],[商品名稱]])))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80</v>
      </c>
      <c r="O22" s="20" t="s">
        <v>80</v>
      </c>
      <c r="P22" s="16" t="s">
        <v>313</v>
      </c>
      <c r="Q22" s="16" t="s">
        <v>314</v>
      </c>
      <c r="R22" s="16" t="s">
        <v>315</v>
      </c>
      <c r="S22" s="16" t="s">
        <v>288</v>
      </c>
      <c r="BB22" s="7" t="s">
        <v>453</v>
      </c>
      <c r="BD22" s="7" t="s">
        <v>437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",Store_Setting[[#This Row],[商品名稱]])))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80</v>
      </c>
      <c r="O23" s="20" t="s">
        <v>80</v>
      </c>
      <c r="P23" s="16" t="s">
        <v>316</v>
      </c>
      <c r="Q23" s="16" t="s">
        <v>317</v>
      </c>
      <c r="R23" s="16" t="s">
        <v>318</v>
      </c>
      <c r="S23" s="16" t="s">
        <v>319</v>
      </c>
      <c r="BD23" s="7" t="s">
        <v>438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",Store_Setting[[#This Row],[商品名稱]])))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80</v>
      </c>
      <c r="O24" s="20" t="s">
        <v>80</v>
      </c>
      <c r="P24" s="16" t="s">
        <v>320</v>
      </c>
      <c r="Q24" s="16" t="s">
        <v>321</v>
      </c>
      <c r="R24" s="16" t="s">
        <v>322</v>
      </c>
      <c r="S24" s="16" t="s">
        <v>291</v>
      </c>
      <c r="BD24" s="7" t="s">
        <v>439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",Store_Setting[[#This Row],[商品名稱]])))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80</v>
      </c>
      <c r="O25" s="20" t="s">
        <v>80</v>
      </c>
      <c r="P25" s="16" t="s">
        <v>323</v>
      </c>
      <c r="Q25" s="16" t="s">
        <v>324</v>
      </c>
      <c r="R25" s="16" t="s">
        <v>325</v>
      </c>
      <c r="S25" s="16" t="s">
        <v>292</v>
      </c>
      <c r="BB25" s="7" t="s">
        <v>452</v>
      </c>
      <c r="BD25" s="7" t="s">
        <v>440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",Store_Setting[[#This Row],[商品名稱]])))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80</v>
      </c>
      <c r="O26" s="20" t="s">
        <v>80</v>
      </c>
      <c r="P26" s="16" t="s">
        <v>326</v>
      </c>
      <c r="Q26" s="16" t="s">
        <v>327</v>
      </c>
      <c r="R26" s="16" t="s">
        <v>328</v>
      </c>
      <c r="S26" s="16" t="s">
        <v>329</v>
      </c>
      <c r="BD26" s="7" t="s">
        <v>441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",Store_Setting[[#This Row],[商品名稱]])))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80</v>
      </c>
      <c r="O27" s="20" t="s">
        <v>80</v>
      </c>
      <c r="P27" s="16" t="s">
        <v>330</v>
      </c>
      <c r="Q27" s="16" t="s">
        <v>331</v>
      </c>
      <c r="R27" s="16" t="s">
        <v>332</v>
      </c>
      <c r="S27" s="16" t="s">
        <v>294</v>
      </c>
      <c r="BD27" s="7" t="s">
        <v>442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",Store_Setting[[#This Row],[商品名稱]])))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80</v>
      </c>
      <c r="O28" s="20" t="s">
        <v>80</v>
      </c>
      <c r="P28" s="16" t="s">
        <v>333</v>
      </c>
      <c r="Q28" s="16" t="s">
        <v>334</v>
      </c>
      <c r="R28" s="16" t="s">
        <v>335</v>
      </c>
      <c r="S28" s="16" t="s">
        <v>295</v>
      </c>
      <c r="BD28" s="7" t="s">
        <v>443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",Store_Setting[[#This Row],[商品名稱]])))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80</v>
      </c>
      <c r="O29" s="20" t="s">
        <v>80</v>
      </c>
      <c r="P29" s="16" t="s">
        <v>336</v>
      </c>
      <c r="Q29" s="16" t="s">
        <v>337</v>
      </c>
      <c r="R29" s="16" t="s">
        <v>338</v>
      </c>
      <c r="S29" s="16" t="s">
        <v>339</v>
      </c>
      <c r="BD29" s="7" t="s">
        <v>444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",Store_Setting[[#This Row],[商品名稱]])))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80</v>
      </c>
      <c r="O30" s="20" t="s">
        <v>80</v>
      </c>
      <c r="P30" s="16" t="s">
        <v>340</v>
      </c>
      <c r="Q30" s="16" t="s">
        <v>341</v>
      </c>
      <c r="R30" s="16" t="s">
        <v>342</v>
      </c>
      <c r="S30" s="16" t="s">
        <v>297</v>
      </c>
      <c r="BD30" s="7" t="s">
        <v>445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",Store_Setting[[#This Row],[商品名稱]])))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80</v>
      </c>
      <c r="O31" s="20" t="s">
        <v>80</v>
      </c>
      <c r="P31" s="16" t="s">
        <v>343</v>
      </c>
      <c r="Q31" s="16" t="s">
        <v>344</v>
      </c>
      <c r="R31" s="16" t="s">
        <v>345</v>
      </c>
      <c r="S31" s="16" t="s">
        <v>298</v>
      </c>
      <c r="BD31" s="7" t="s">
        <v>446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",Store_Setting[[#This Row],[商品名稱]])))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80</v>
      </c>
      <c r="O32" s="20" t="s">
        <v>80</v>
      </c>
      <c r="P32" s="16" t="s">
        <v>346</v>
      </c>
      <c r="Q32" s="16" t="s">
        <v>347</v>
      </c>
      <c r="R32" s="16" t="s">
        <v>348</v>
      </c>
      <c r="S32" s="16" t="s">
        <v>349</v>
      </c>
      <c r="BD32" s="7" t="s">
        <v>447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",Store_Setting[[#This Row],[商品名稱]])))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80</v>
      </c>
      <c r="O33" s="20" t="s">
        <v>80</v>
      </c>
      <c r="P33" s="16" t="s">
        <v>350</v>
      </c>
      <c r="Q33" s="16" t="s">
        <v>351</v>
      </c>
      <c r="R33" s="16" t="s">
        <v>352</v>
      </c>
      <c r="S33" s="16" t="s">
        <v>301</v>
      </c>
      <c r="BD33" s="7" t="s">
        <v>448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",Store_Setting[[#This Row],[商品名稱]])))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80</v>
      </c>
      <c r="O34" s="20" t="s">
        <v>80</v>
      </c>
      <c r="P34" s="16" t="s">
        <v>353</v>
      </c>
      <c r="Q34" s="16" t="s">
        <v>354</v>
      </c>
      <c r="R34" s="16" t="s">
        <v>355</v>
      </c>
      <c r="S34" s="16" t="s">
        <v>302</v>
      </c>
      <c r="BD34" s="7" t="s">
        <v>449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",Store_Setting[[#This Row],[商品名稱]])))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80</v>
      </c>
      <c r="O35" s="20" t="s">
        <v>80</v>
      </c>
      <c r="P35" s="16" t="s">
        <v>356</v>
      </c>
      <c r="Q35" s="16" t="s">
        <v>357</v>
      </c>
      <c r="R35" s="16" t="s">
        <v>358</v>
      </c>
      <c r="S35" s="16" t="s">
        <v>359</v>
      </c>
      <c r="BD35" s="7" t="s">
        <v>470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",Store_Setting[[#This Row],[商品名稱]])))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80</v>
      </c>
      <c r="O36" s="20" t="s">
        <v>80</v>
      </c>
      <c r="P36" s="16" t="s">
        <v>360</v>
      </c>
      <c r="Q36" s="16" t="s">
        <v>361</v>
      </c>
      <c r="R36" s="16" t="s">
        <v>362</v>
      </c>
      <c r="S36" s="16" t="s">
        <v>304</v>
      </c>
      <c r="BB36" s="7" t="s">
        <v>168</v>
      </c>
      <c r="BD36" s="7" t="s">
        <v>450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",Store_Setting[[#This Row],[商品名稱]])))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80</v>
      </c>
      <c r="O37" s="20" t="s">
        <v>80</v>
      </c>
      <c r="P37" s="16" t="s">
        <v>363</v>
      </c>
      <c r="Q37" s="16" t="s">
        <v>364</v>
      </c>
      <c r="R37" s="16" t="s">
        <v>365</v>
      </c>
      <c r="S37" s="16" t="s">
        <v>305</v>
      </c>
      <c r="BD37" s="7" t="s">
        <v>451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",Store_Setting[[#This Row],[商品名稱]])))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80</v>
      </c>
      <c r="O38" s="20" t="s">
        <v>80</v>
      </c>
      <c r="P38" s="16" t="s">
        <v>366</v>
      </c>
      <c r="Q38" s="16" t="s">
        <v>367</v>
      </c>
      <c r="R38" s="16" t="s">
        <v>368</v>
      </c>
      <c r="S38" s="16" t="s">
        <v>369</v>
      </c>
      <c r="BD38" s="7" t="s">
        <v>467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",Store_Setting[[#This Row],[商品名稱]])))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80</v>
      </c>
      <c r="O39" s="20" t="s">
        <v>80</v>
      </c>
      <c r="P39" s="16" t="s">
        <v>370</v>
      </c>
      <c r="Q39" s="16" t="s">
        <v>371</v>
      </c>
      <c r="R39" s="16" t="s">
        <v>372</v>
      </c>
      <c r="S39" s="16" t="s">
        <v>307</v>
      </c>
      <c r="BD39" s="7" t="s">
        <v>465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",Store_Setting[[#This Row],[商品名稱]])))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80</v>
      </c>
      <c r="O40" s="20" t="s">
        <v>80</v>
      </c>
      <c r="P40" s="16" t="s">
        <v>373</v>
      </c>
      <c r="Q40" s="16" t="s">
        <v>374</v>
      </c>
      <c r="R40" s="16" t="s">
        <v>375</v>
      </c>
      <c r="S40" s="16" t="s">
        <v>308</v>
      </c>
      <c r="BD40" s="7" t="s">
        <v>466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",Store_Setting[[#This Row],[商品名稱]])))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80</v>
      </c>
      <c r="O41" s="20" t="s">
        <v>80</v>
      </c>
      <c r="P41" s="16" t="s">
        <v>376</v>
      </c>
      <c r="Q41" s="16" t="s">
        <v>377</v>
      </c>
      <c r="R41" s="16" t="s">
        <v>378</v>
      </c>
      <c r="S41" s="16" t="s">
        <v>379</v>
      </c>
      <c r="BD41" s="7" t="s">
        <v>469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",Store_Setting[[#This Row],[商品名稱]])))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80</v>
      </c>
      <c r="O42" s="20" t="s">
        <v>80</v>
      </c>
      <c r="P42" s="16" t="s">
        <v>380</v>
      </c>
      <c r="Q42" s="16" t="s">
        <v>381</v>
      </c>
      <c r="R42" s="16" t="s">
        <v>382</v>
      </c>
      <c r="S42" s="16" t="s">
        <v>311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",Store_Setting[[#This Row],[商品名稱]])))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80</v>
      </c>
      <c r="O43" s="20" t="s">
        <v>80</v>
      </c>
      <c r="P43" s="16" t="s">
        <v>383</v>
      </c>
      <c r="Q43" s="16" t="s">
        <v>384</v>
      </c>
      <c r="R43" s="16" t="s">
        <v>385</v>
      </c>
      <c r="S43" s="16" t="s">
        <v>312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",Store_Setting[[#This Row],[商品名稱]])))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80</v>
      </c>
      <c r="O44" s="20" t="s">
        <v>80</v>
      </c>
      <c r="P44" s="16" t="s">
        <v>386</v>
      </c>
      <c r="Q44" s="16" t="s">
        <v>387</v>
      </c>
      <c r="R44" s="16" t="s">
        <v>388</v>
      </c>
      <c r="S44" s="16" t="s">
        <v>389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",Store_Setting[[#This Row],[商品名稱]])))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80</v>
      </c>
      <c r="O45" s="20" t="s">
        <v>80</v>
      </c>
      <c r="P45" s="16" t="s">
        <v>390</v>
      </c>
      <c r="Q45" s="16" t="s">
        <v>391</v>
      </c>
      <c r="R45" s="16" t="s">
        <v>392</v>
      </c>
      <c r="S45" s="16" t="s">
        <v>314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",Store_Setting[[#This Row],[商品名稱]])))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80</v>
      </c>
      <c r="O46" s="20" t="s">
        <v>80</v>
      </c>
      <c r="P46" s="16" t="s">
        <v>393</v>
      </c>
      <c r="Q46" s="16" t="s">
        <v>394</v>
      </c>
      <c r="R46" s="16" t="s">
        <v>395</v>
      </c>
      <c r="S46" s="16" t="s">
        <v>315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",Store_Setting[[#This Row],[商品名稱]])))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80</v>
      </c>
      <c r="O47" s="20" t="s">
        <v>80</v>
      </c>
      <c r="P47" s="16" t="s">
        <v>396</v>
      </c>
      <c r="Q47" s="16" t="s">
        <v>397</v>
      </c>
      <c r="R47" s="16" t="s">
        <v>398</v>
      </c>
      <c r="S47" s="16" t="s">
        <v>399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",Store_Setting[[#This Row],[商品名稱]])))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80</v>
      </c>
      <c r="O48" s="20" t="s">
        <v>80</v>
      </c>
      <c r="P48" s="16" t="s">
        <v>400</v>
      </c>
      <c r="Q48" s="16" t="s">
        <v>401</v>
      </c>
      <c r="R48" s="16" t="s">
        <v>402</v>
      </c>
      <c r="S48" s="16" t="s">
        <v>317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",Store_Setting[[#This Row],[商品名稱]])))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80</v>
      </c>
      <c r="O49" s="20" t="s">
        <v>80</v>
      </c>
      <c r="P49" s="16" t="s">
        <v>403</v>
      </c>
      <c r="Q49" s="16" t="s">
        <v>404</v>
      </c>
      <c r="R49" s="16" t="s">
        <v>405</v>
      </c>
      <c r="S49" s="16" t="s">
        <v>318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",Store_Setting[[#This Row],[商品名稱]])))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80</v>
      </c>
      <c r="O50" s="20" t="s">
        <v>80</v>
      </c>
      <c r="P50" s="16" t="s">
        <v>406</v>
      </c>
      <c r="Q50" s="16" t="s">
        <v>407</v>
      </c>
      <c r="R50" s="16" t="s">
        <v>408</v>
      </c>
      <c r="S50" s="16" t="s">
        <v>409</v>
      </c>
    </row>
    <row r="51" spans="2:19" ht="8.15" customHeight="1"/>
    <row r="52" spans="2:19" ht="40" customHeight="1">
      <c r="B52" s="9" t="s">
        <v>9</v>
      </c>
      <c r="C52" s="10" t="s">
        <v>183</v>
      </c>
      <c r="D52" s="21" t="s">
        <v>161</v>
      </c>
      <c r="E52" s="31" t="s">
        <v>480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184</v>
      </c>
      <c r="D53" s="23" t="s">
        <v>201</v>
      </c>
      <c r="E53" s="23" t="s">
        <v>161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185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10</v>
      </c>
      <c r="C56" s="10" t="s">
        <v>472</v>
      </c>
      <c r="D56" s="96" t="s">
        <v>473</v>
      </c>
      <c r="E56" s="31" t="s">
        <v>474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471</v>
      </c>
      <c r="D57" s="96" t="s">
        <v>473</v>
      </c>
      <c r="E57" s="97" t="s">
        <v>475</v>
      </c>
      <c r="F57" s="97" t="s">
        <v>476</v>
      </c>
      <c r="G57" s="98" t="s">
        <v>477</v>
      </c>
      <c r="H57" s="98" t="s">
        <v>478</v>
      </c>
      <c r="I57" s="98" t="s">
        <v>479</v>
      </c>
      <c r="J57" s="98"/>
      <c r="K57" s="98"/>
      <c r="L57" s="98"/>
      <c r="M57" s="98"/>
      <c r="N57" s="98"/>
      <c r="O57" s="98"/>
    </row>
    <row r="58" spans="2:19" ht="40" customHeight="1">
      <c r="B58" s="9"/>
      <c r="C58" s="10" t="s">
        <v>196</v>
      </c>
      <c r="D58" s="22" t="s">
        <v>471</v>
      </c>
      <c r="E58" s="22" t="s">
        <v>17</v>
      </c>
      <c r="F58" s="10" t="s">
        <v>198</v>
      </c>
      <c r="G58" s="10" t="s">
        <v>199</v>
      </c>
      <c r="H58" s="28" t="s">
        <v>200</v>
      </c>
      <c r="I58" s="28" t="s">
        <v>13</v>
      </c>
      <c r="J58" s="28" t="s">
        <v>14</v>
      </c>
      <c r="K58" s="28" t="s">
        <v>414</v>
      </c>
      <c r="L58" s="28" t="s">
        <v>415</v>
      </c>
      <c r="M58" s="28" t="s">
        <v>207</v>
      </c>
      <c r="N58" s="28" t="s">
        <v>460</v>
      </c>
      <c r="O58" s="28" t="s">
        <v>425</v>
      </c>
    </row>
    <row r="59" spans="2:19" ht="40" customHeight="1">
      <c r="B59" s="9"/>
      <c r="C59" s="10"/>
      <c r="D59" s="29" t="s">
        <v>80</v>
      </c>
      <c r="E59" s="29" t="s">
        <v>80</v>
      </c>
      <c r="F59" s="29" t="s">
        <v>81</v>
      </c>
      <c r="G59" s="29" t="s">
        <v>81</v>
      </c>
      <c r="H59" s="29" t="s">
        <v>81</v>
      </c>
      <c r="I59" s="29" t="s">
        <v>81</v>
      </c>
      <c r="J59" s="29" t="s">
        <v>81</v>
      </c>
      <c r="K59" s="30" t="s">
        <v>416</v>
      </c>
      <c r="L59" s="28"/>
      <c r="M59" s="28"/>
      <c r="N59" s="28"/>
      <c r="O59" s="28"/>
    </row>
    <row r="60" spans="2:19" ht="40" customHeight="1">
      <c r="B60" s="9"/>
      <c r="C60" s="22" t="s">
        <v>418</v>
      </c>
      <c r="D60" s="29" t="s">
        <v>417</v>
      </c>
      <c r="E60" s="29" t="s">
        <v>417</v>
      </c>
      <c r="F60" s="29" t="s">
        <v>417</v>
      </c>
      <c r="G60" s="29" t="s">
        <v>435</v>
      </c>
      <c r="H60" s="29" t="s">
        <v>435</v>
      </c>
      <c r="I60" s="29" t="s">
        <v>435</v>
      </c>
      <c r="J60" s="29" t="s">
        <v>435</v>
      </c>
      <c r="K60" s="29" t="s">
        <v>417</v>
      </c>
      <c r="L60" s="29" t="s">
        <v>417</v>
      </c>
      <c r="M60" s="29" t="s">
        <v>417</v>
      </c>
      <c r="N60" s="29" t="s">
        <v>417</v>
      </c>
      <c r="O60" s="29" t="s">
        <v>417</v>
      </c>
    </row>
    <row r="61" spans="2:19" ht="40" customHeight="1">
      <c r="B61" s="9"/>
      <c r="C61" s="22" t="s">
        <v>419</v>
      </c>
      <c r="D61" s="29" t="s">
        <v>417</v>
      </c>
      <c r="E61" s="29" t="s">
        <v>417</v>
      </c>
      <c r="F61" s="29" t="s">
        <v>417</v>
      </c>
      <c r="G61" s="29" t="s">
        <v>417</v>
      </c>
      <c r="H61" s="29" t="s">
        <v>417</v>
      </c>
      <c r="I61" s="29" t="s">
        <v>417</v>
      </c>
      <c r="J61" s="29" t="s">
        <v>417</v>
      </c>
      <c r="K61" s="30"/>
      <c r="L61" s="29" t="s">
        <v>417</v>
      </c>
      <c r="M61" s="29" t="s">
        <v>417</v>
      </c>
      <c r="N61" s="30"/>
      <c r="O61" s="28"/>
    </row>
    <row r="62" spans="2:19" ht="40" customHeight="1">
      <c r="B62" s="9"/>
      <c r="C62" s="22" t="s">
        <v>197</v>
      </c>
      <c r="D62" s="29" t="s">
        <v>81</v>
      </c>
      <c r="E62" s="31" t="s">
        <v>195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262</v>
      </c>
      <c r="D63" s="29" t="s">
        <v>80</v>
      </c>
      <c r="E63" s="31" t="s">
        <v>261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421</v>
      </c>
      <c r="D64" s="29" t="s">
        <v>80</v>
      </c>
      <c r="E64" s="31" t="s">
        <v>422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263</v>
      </c>
      <c r="D65" s="29" t="s">
        <v>80</v>
      </c>
      <c r="E65" s="31" t="s">
        <v>260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15</v>
      </c>
      <c r="C67" s="10" t="s">
        <v>187</v>
      </c>
      <c r="D67" s="21" t="s">
        <v>147</v>
      </c>
      <c r="E67" s="21" t="s">
        <v>193</v>
      </c>
      <c r="F67" s="21" t="s">
        <v>148</v>
      </c>
      <c r="G67" s="21" t="s">
        <v>154</v>
      </c>
      <c r="H67" s="21" t="s">
        <v>155</v>
      </c>
      <c r="I67" s="21" t="s">
        <v>156</v>
      </c>
      <c r="J67" s="21" t="s">
        <v>157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264</v>
      </c>
      <c r="D68" s="29" t="s">
        <v>80</v>
      </c>
      <c r="E68" s="31" t="s">
        <v>194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265</v>
      </c>
      <c r="D69" s="29" t="s">
        <v>80</v>
      </c>
      <c r="E69" s="31" t="s">
        <v>259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266</v>
      </c>
      <c r="D70" s="29" t="s">
        <v>80</v>
      </c>
      <c r="E70" s="31" t="s">
        <v>258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50" customHeight="1">
      <c r="B72" s="9" t="s">
        <v>144</v>
      </c>
      <c r="C72" s="10"/>
      <c r="D72" s="27" t="s">
        <v>486</v>
      </c>
      <c r="E72" s="27" t="s">
        <v>485</v>
      </c>
      <c r="F72" s="27" t="s">
        <v>484</v>
      </c>
      <c r="G72" s="27" t="s">
        <v>483</v>
      </c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186</v>
      </c>
      <c r="D73" s="29" t="s">
        <v>80</v>
      </c>
      <c r="E73" s="29" t="s">
        <v>80</v>
      </c>
      <c r="F73" s="29" t="s">
        <v>80</v>
      </c>
      <c r="G73" s="103">
        <v>1</v>
      </c>
      <c r="H73" s="30" t="s">
        <v>487</v>
      </c>
      <c r="I73" s="30"/>
      <c r="J73" s="28"/>
      <c r="K73" s="28"/>
      <c r="L73" s="28"/>
      <c r="M73" s="28"/>
      <c r="N73" s="28"/>
      <c r="O73" s="28"/>
    </row>
    <row r="74" spans="2:15" ht="40" customHeight="1">
      <c r="B74" s="9"/>
      <c r="C74" s="10" t="s">
        <v>482</v>
      </c>
      <c r="D74" s="29" t="s">
        <v>80</v>
      </c>
      <c r="E74" s="29" t="s">
        <v>80</v>
      </c>
      <c r="F74" s="29" t="s">
        <v>80</v>
      </c>
      <c r="G74" s="103">
        <v>1</v>
      </c>
      <c r="H74" s="30" t="s">
        <v>488</v>
      </c>
      <c r="I74" s="30"/>
      <c r="J74" s="28"/>
      <c r="K74" s="28"/>
      <c r="L74" s="28"/>
      <c r="M74" s="28"/>
      <c r="N74" s="28"/>
      <c r="O74" s="28"/>
    </row>
    <row r="75" spans="2:15" ht="40" customHeight="1">
      <c r="B75" s="9"/>
      <c r="C75" s="10" t="s">
        <v>168</v>
      </c>
      <c r="D75" s="29" t="s">
        <v>80</v>
      </c>
      <c r="E75" s="29" t="s">
        <v>80</v>
      </c>
      <c r="F75" s="29" t="s">
        <v>80</v>
      </c>
      <c r="G75" s="103">
        <v>1</v>
      </c>
      <c r="H75" s="30" t="s">
        <v>487</v>
      </c>
      <c r="I75" s="30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" customHeight="1">
      <c r="B77" s="9" t="s">
        <v>153</v>
      </c>
      <c r="C77" s="10" t="s">
        <v>456</v>
      </c>
      <c r="D77" s="27" t="s">
        <v>457</v>
      </c>
      <c r="E77" s="27" t="s">
        <v>464</v>
      </c>
      <c r="F77" s="27" t="s">
        <v>463</v>
      </c>
      <c r="G77" s="27" t="s">
        <v>462</v>
      </c>
      <c r="H77" s="30" t="s">
        <v>461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81</v>
      </c>
      <c r="E78" s="29" t="s">
        <v>81</v>
      </c>
      <c r="F78" s="29" t="s">
        <v>81</v>
      </c>
      <c r="G78" s="29" t="s">
        <v>80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458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/>
    <row r="81" spans="2:15" ht="40" hidden="1" customHeight="1">
      <c r="B81" s="34"/>
      <c r="C81" s="10" t="s">
        <v>210</v>
      </c>
      <c r="D81" s="35" t="s">
        <v>3</v>
      </c>
      <c r="E81" s="35" t="s">
        <v>4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4"/>
      <c r="C83" s="10" t="s">
        <v>459</v>
      </c>
      <c r="D83" s="35" t="s">
        <v>188</v>
      </c>
      <c r="E83" s="35" t="s">
        <v>189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4"/>
      <c r="C85" s="10" t="s">
        <v>198</v>
      </c>
      <c r="D85" s="35" t="s">
        <v>5</v>
      </c>
      <c r="E85" s="35" t="s">
        <v>6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4" t="s">
        <v>180</v>
      </c>
      <c r="C87" s="37" t="s">
        <v>165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4"/>
      <c r="C88" s="37" t="s">
        <v>186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4"/>
      <c r="C89" s="37" t="s">
        <v>168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8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4"/>
      <c r="C90" s="37" t="s">
        <v>166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4"/>
      <c r="C91" s="37" t="s">
        <v>187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39" t="s">
        <v>192</v>
      </c>
      <c r="C93" s="39"/>
      <c r="D93" s="39"/>
      <c r="E93" s="39"/>
    </row>
    <row r="94" spans="2:15" ht="40" customHeight="1">
      <c r="B94" s="40" t="s">
        <v>190</v>
      </c>
      <c r="C94" s="41" t="s">
        <v>83</v>
      </c>
      <c r="D94" s="42"/>
      <c r="E94" s="42"/>
    </row>
    <row r="95" spans="2:15" ht="40" customHeight="1">
      <c r="B95" s="40" t="s">
        <v>12</v>
      </c>
      <c r="C95" s="43" t="s">
        <v>11</v>
      </c>
      <c r="D95" s="44"/>
      <c r="E95" s="44"/>
    </row>
    <row r="96" spans="2:15" ht="40" customHeight="1">
      <c r="B96" s="40" t="s">
        <v>191</v>
      </c>
      <c r="C96" s="41" t="s">
        <v>82</v>
      </c>
      <c r="D96" s="42"/>
      <c r="E96" s="42"/>
    </row>
    <row r="97" spans="2:5" ht="40" customHeight="1">
      <c r="B97" s="40" t="s">
        <v>79</v>
      </c>
      <c r="C97" s="41" t="s">
        <v>481</v>
      </c>
      <c r="D97" s="41"/>
      <c r="E97" s="41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E76 D73:F75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G73:G75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7265625" style="48" customWidth="1"/>
    <col min="3" max="3" width="14.7265625" style="48" customWidth="1"/>
    <col min="4" max="4" width="15.7265625" style="48" customWidth="1"/>
    <col min="5" max="5" width="44.7265625" style="48" customWidth="1"/>
    <col min="6" max="6" width="5.7265625" style="48" customWidth="1"/>
    <col min="7" max="8" width="2.7265625" style="48" customWidth="1"/>
    <col min="9" max="16384" width="9.1796875" style="48" hidden="1"/>
  </cols>
  <sheetData>
    <row r="1" spans="1:8" s="12" customFormat="1" ht="6" customHeight="1"/>
    <row r="2" spans="1:8" ht="55" customHeight="1">
      <c r="A2" s="46"/>
      <c r="B2" s="47" t="str">
        <f>CONCATENATE(IF(設定!D7="","",_xlfn.CONCAT(設定!D7," - ")),"新增入庫取貨")</f>
        <v>Yi - 新增入庫取貨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202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171</v>
      </c>
      <c r="D7" s="52" t="s">
        <v>172</v>
      </c>
      <c r="E7" s="53"/>
      <c r="F7" s="94">
        <v>-1</v>
      </c>
      <c r="G7" s="7"/>
    </row>
    <row r="8" spans="1:8" ht="35.15" customHeight="1">
      <c r="B8" s="7"/>
      <c r="C8" s="7"/>
      <c r="D8" s="55" t="s">
        <v>209</v>
      </c>
      <c r="E8" s="56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5" t="s">
        <v>174</v>
      </c>
      <c r="E9" s="56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1" t="s">
        <v>150</v>
      </c>
      <c r="D11" s="52" t="s">
        <v>210</v>
      </c>
      <c r="E11" s="57"/>
      <c r="F11" s="95">
        <v>-1</v>
      </c>
      <c r="G11" s="7"/>
    </row>
    <row r="12" spans="1:8" ht="35.15" customHeight="1">
      <c r="B12" s="7"/>
      <c r="C12" s="7"/>
      <c r="D12" s="52" t="s">
        <v>211</v>
      </c>
      <c r="E12" s="59"/>
      <c r="F12" s="95">
        <v>-1</v>
      </c>
      <c r="G12" s="7"/>
    </row>
    <row r="13" spans="1:8" ht="35.15" customHeight="1">
      <c r="B13" s="7"/>
      <c r="C13" s="7"/>
      <c r="D13" s="52" t="s">
        <v>187</v>
      </c>
      <c r="E13" s="53"/>
      <c r="F13" s="94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2" t="s">
        <v>207</v>
      </c>
      <c r="E15" s="60"/>
      <c r="F15" s="94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1" t="s">
        <v>205</v>
      </c>
      <c r="D17" s="52" t="s">
        <v>208</v>
      </c>
      <c r="E17" s="57" t="s">
        <v>161</v>
      </c>
      <c r="F17" s="95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196850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2489200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7265625" style="7" customWidth="1"/>
    <col min="2" max="2" width="8.7265625" style="7" customWidth="1"/>
    <col min="3" max="3" width="30.7265625" style="68" customWidth="1"/>
    <col min="4" max="4" width="12.7265625" style="58" customWidth="1"/>
    <col min="5" max="5" width="12.7265625" style="69" customWidth="1"/>
    <col min="6" max="6" width="12.7265625" style="58" customWidth="1"/>
    <col min="7" max="7" width="22.7265625" style="70" customWidth="1"/>
    <col min="8" max="8" width="12.7265625" style="58" customWidth="1"/>
    <col min="9" max="9" width="22.7265625" style="71" customWidth="1"/>
    <col min="10" max="10" width="14.7265625" style="7" customWidth="1"/>
    <col min="11" max="11" width="2.7265625" style="7" customWidth="1"/>
    <col min="12" max="16384" width="9.1796875" style="7" hidden="1"/>
  </cols>
  <sheetData>
    <row r="1" spans="2:10" s="12" customFormat="1" ht="6" customHeight="1"/>
    <row r="2" spans="2:10" s="46" customFormat="1" ht="55" customHeight="1">
      <c r="B2" s="47" t="str">
        <f>CONCATENATE(IF(設定!D7="","",_xlfn.CONCAT(設定!D7," - ")),"入库取货")</f>
        <v>Yi - 入库取货</v>
      </c>
      <c r="D2" s="62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3" t="s">
        <v>209</v>
      </c>
      <c r="C4" s="63" t="s">
        <v>172</v>
      </c>
      <c r="D4" s="63" t="s">
        <v>210</v>
      </c>
      <c r="E4" s="63" t="s">
        <v>145</v>
      </c>
      <c r="F4" s="63" t="s">
        <v>146</v>
      </c>
      <c r="G4" s="63" t="s">
        <v>0</v>
      </c>
      <c r="H4" s="63" t="s">
        <v>1</v>
      </c>
      <c r="I4" s="63" t="s">
        <v>2</v>
      </c>
      <c r="J4" s="63" t="s">
        <v>423</v>
      </c>
    </row>
    <row r="5" spans="2:10" ht="40" customHeight="1">
      <c r="B5" s="16" cm="1">
        <f t="array" ref="B5">SNGKI</f>
        <v>1</v>
      </c>
      <c r="C5" s="64" t="s">
        <v>162</v>
      </c>
      <c r="D5" s="20" t="s">
        <v>188</v>
      </c>
      <c r="E5" s="65"/>
      <c r="F5" s="20"/>
      <c r="G5" s="66"/>
      <c r="H5" s="20" t="s">
        <v>161</v>
      </c>
      <c r="I5" s="17" t="s">
        <v>426</v>
      </c>
      <c r="J5" s="67" t="s">
        <v>436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7265625" style="48" customWidth="1"/>
    <col min="3" max="3" width="14.7265625" style="48" customWidth="1"/>
    <col min="4" max="4" width="15.7265625" style="48" customWidth="1"/>
    <col min="5" max="5" width="44.7265625" style="48" customWidth="1"/>
    <col min="6" max="6" width="5.7265625" style="48" customWidth="1"/>
    <col min="7" max="8" width="2.7265625" style="48" customWidth="1"/>
    <col min="9" max="16384" width="9.1796875" style="48" hidden="1"/>
  </cols>
  <sheetData>
    <row r="1" spans="1:8" ht="6" customHeight="1">
      <c r="A1" s="72"/>
      <c r="B1" s="72"/>
      <c r="C1" s="72"/>
      <c r="D1" s="72"/>
      <c r="E1" s="72"/>
      <c r="F1" s="72"/>
      <c r="G1" s="72"/>
      <c r="H1" s="72"/>
    </row>
    <row r="2" spans="1:8" ht="55" customHeight="1">
      <c r="A2" s="46"/>
      <c r="B2" s="47" t="str">
        <f>CONCATENATE(IF(設定!D7="","",_xlfn.CONCAT(設定!D7," - ")),"新增會員")</f>
        <v>Yi - 新增會員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202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203</v>
      </c>
      <c r="D7" s="73" t="s">
        <v>172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1"/>
      <c r="D8" s="52" t="s">
        <v>471</v>
      </c>
      <c r="E8" s="60" t="s">
        <v>473</v>
      </c>
      <c r="F8" s="94">
        <v>1</v>
      </c>
      <c r="G8" s="7"/>
    </row>
    <row r="9" spans="1:8" ht="35.15" customHeight="1">
      <c r="B9" s="7"/>
      <c r="C9" s="7"/>
      <c r="D9" s="52" t="s">
        <v>16</v>
      </c>
      <c r="E9" s="60"/>
      <c r="F9" s="94">
        <v>-1</v>
      </c>
      <c r="G9" s="7"/>
    </row>
    <row r="10" spans="1:8" ht="35.15" customHeight="1">
      <c r="B10" s="7"/>
      <c r="C10" s="7"/>
      <c r="D10" s="52" t="s">
        <v>17</v>
      </c>
      <c r="E10" s="75"/>
      <c r="F10" s="95">
        <v>-1</v>
      </c>
      <c r="G10" s="7"/>
    </row>
    <row r="11" spans="1:8" ht="35.15" customHeight="1">
      <c r="B11" s="7"/>
      <c r="C11" s="7"/>
      <c r="D11" s="52" t="s">
        <v>198</v>
      </c>
      <c r="E11" s="75"/>
      <c r="F11" s="95"/>
      <c r="G11" s="7"/>
    </row>
    <row r="12" spans="1:8" ht="35.15" customHeight="1">
      <c r="B12" s="7"/>
      <c r="C12" s="7"/>
      <c r="D12" s="52" t="s">
        <v>199</v>
      </c>
      <c r="E12" s="11"/>
      <c r="F12" s="95"/>
      <c r="G12" s="7"/>
    </row>
    <row r="13" spans="1:8" ht="35.15" customHeight="1">
      <c r="B13" s="7"/>
      <c r="C13" s="7"/>
      <c r="D13" s="52" t="s">
        <v>200</v>
      </c>
      <c r="E13" s="76"/>
      <c r="F13" s="95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1" t="s">
        <v>204</v>
      </c>
      <c r="D15" s="52" t="s">
        <v>206</v>
      </c>
      <c r="E15" s="75"/>
      <c r="F15" s="95">
        <v>-1</v>
      </c>
      <c r="G15" s="7"/>
    </row>
    <row r="16" spans="1:8" ht="35.15" customHeight="1">
      <c r="B16" s="7"/>
      <c r="C16" s="7"/>
      <c r="D16" s="52" t="s">
        <v>13</v>
      </c>
      <c r="E16" s="75"/>
      <c r="F16" s="95"/>
      <c r="G16" s="7"/>
    </row>
    <row r="17" spans="2:7" ht="35.15" customHeight="1">
      <c r="B17" s="7"/>
      <c r="C17" s="7"/>
      <c r="D17" s="52" t="s">
        <v>14</v>
      </c>
      <c r="E17" s="60"/>
      <c r="F17" s="94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2" t="s">
        <v>207</v>
      </c>
      <c r="E19" s="60"/>
      <c r="F19" s="94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1" t="s">
        <v>205</v>
      </c>
      <c r="D21" s="52" t="s">
        <v>208</v>
      </c>
      <c r="E21" s="75" t="s">
        <v>161</v>
      </c>
      <c r="F21" s="95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196850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2489200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/>
  <cols>
    <col min="1" max="1" width="2.7265625" style="7" customWidth="1"/>
    <col min="2" max="2" width="8.7265625" style="7" customWidth="1"/>
    <col min="3" max="3" width="30.7265625" style="61" customWidth="1"/>
    <col min="4" max="4" width="12.7265625" style="85" customWidth="1"/>
    <col min="5" max="6" width="12.7265625" style="85" hidden="1" customWidth="1"/>
    <col min="7" max="7" width="12.7265625" style="85" customWidth="1"/>
    <col min="8" max="123" width="12.7265625" style="85" hidden="1" customWidth="1"/>
    <col min="124" max="124" width="12.7265625" style="58" customWidth="1"/>
    <col min="125" max="125" width="8.7265625" style="86" customWidth="1"/>
    <col min="126" max="126" width="14.7265625" style="87" customWidth="1"/>
    <col min="127" max="127" width="8.7265625" style="58" customWidth="1"/>
    <col min="128" max="128" width="24.7265625" style="88" hidden="1" customWidth="1"/>
    <col min="129" max="129" width="12.7265625" style="58" hidden="1" customWidth="1"/>
    <col min="130" max="130" width="20.7265625" style="88" customWidth="1"/>
    <col min="131" max="131" width="28.7265625" style="88" hidden="1" customWidth="1"/>
    <col min="132" max="132" width="44.7265625" style="88" hidden="1" customWidth="1"/>
    <col min="133" max="133" width="22.7265625" style="70" customWidth="1"/>
    <col min="134" max="134" width="12.7265625" style="58" customWidth="1"/>
    <col min="135" max="135" width="22.7265625" style="71" customWidth="1"/>
    <col min="136" max="136" width="12.7265625" style="85" customWidth="1"/>
    <col min="137" max="138" width="12.7265625" style="89" customWidth="1"/>
    <col min="139" max="139" width="14.7265625" style="84" customWidth="1"/>
    <col min="140" max="140" width="2.7265625" style="84" customWidth="1"/>
    <col min="141" max="16384" width="9.1796875" style="84" hidden="1"/>
  </cols>
  <sheetData>
    <row r="1" spans="2:139" s="72" customFormat="1" ht="6" customHeight="1"/>
    <row r="2" spans="2:139" s="46" customFormat="1" ht="55" customHeight="1">
      <c r="B2" s="47" t="str">
        <f>CONCATENATE(IF(設定!D7="","",_xlfn.CONCAT(設定!D7," - ")),"會員詳細資訊")</f>
        <v>Yi - 會員詳細資訊</v>
      </c>
      <c r="D2" s="62"/>
    </row>
    <row r="3" spans="2:139" s="7" customFormat="1" ht="8.15" customHeight="1"/>
    <row r="4" spans="2:139" s="7" customFormat="1" ht="40" customHeight="1">
      <c r="C4" s="77"/>
      <c r="D4" s="99" t="str">
        <f>_xlfn.CONCAT(設定!F11)</f>
        <v>1</v>
      </c>
      <c r="E4" s="99" t="str">
        <f>_xlfn.CONCAT(設定!F11," - 歷史記錄")</f>
        <v>1 - 歷史記錄</v>
      </c>
      <c r="F4" s="99"/>
      <c r="G4" s="100" t="str">
        <f>_xlfn.CONCAT(設定!F12)</f>
        <v>2</v>
      </c>
      <c r="H4" s="100" t="str">
        <f>_xlfn.CONCAT(設定!F12," - 歷史記錄")</f>
        <v>2 - 歷史記錄</v>
      </c>
      <c r="I4" s="100"/>
      <c r="J4" s="99" t="str">
        <f>_xlfn.CONCAT(設定!F13)</f>
        <v/>
      </c>
      <c r="K4" s="99" t="str">
        <f>_xlfn.CONCAT(設定!F13," - 歷史記錄")</f>
        <v xml:space="preserve"> - 歷史記錄</v>
      </c>
      <c r="L4" s="99"/>
      <c r="M4" s="100" t="str">
        <f>_xlfn.CONCAT(設定!F14)</f>
        <v/>
      </c>
      <c r="N4" s="100" t="str">
        <f>_xlfn.CONCAT(設定!F14," - 歷史記錄")</f>
        <v xml:space="preserve"> - 歷史記錄</v>
      </c>
      <c r="O4" s="100"/>
      <c r="P4" s="99" t="str">
        <f>_xlfn.CONCAT(設定!F15)</f>
        <v/>
      </c>
      <c r="Q4" s="99" t="str">
        <f>_xlfn.CONCAT(設定!F15," - 歷史記錄")</f>
        <v xml:space="preserve"> - 歷史記錄</v>
      </c>
      <c r="R4" s="99"/>
      <c r="S4" s="100" t="str">
        <f>_xlfn.CONCAT(設定!F16)</f>
        <v/>
      </c>
      <c r="T4" s="100" t="str">
        <f>_xlfn.CONCAT(設定!F16," - 歷史記錄")</f>
        <v xml:space="preserve"> - 歷史記錄</v>
      </c>
      <c r="U4" s="100"/>
      <c r="V4" s="99" t="str">
        <f>_xlfn.CONCAT(設定!F17)</f>
        <v/>
      </c>
      <c r="W4" s="99" t="str">
        <f>_xlfn.CONCAT(設定!F17," - 歷史記錄")</f>
        <v xml:space="preserve"> - 歷史記錄</v>
      </c>
      <c r="X4" s="99"/>
      <c r="Y4" s="100" t="str">
        <f>_xlfn.CONCAT(設定!F18)</f>
        <v/>
      </c>
      <c r="Z4" s="100" t="str">
        <f>_xlfn.CONCAT(設定!F18," - 歷史記錄")</f>
        <v xml:space="preserve"> - 歷史記錄</v>
      </c>
      <c r="AA4" s="100"/>
      <c r="AB4" s="99" t="str">
        <f>_xlfn.CONCAT(設定!F19)</f>
        <v/>
      </c>
      <c r="AC4" s="99" t="str">
        <f>_xlfn.CONCAT(設定!F19," - 歷史記錄")</f>
        <v xml:space="preserve"> - 歷史記錄</v>
      </c>
      <c r="AD4" s="99"/>
      <c r="AE4" s="100" t="str">
        <f>_xlfn.CONCAT(設定!F20)</f>
        <v/>
      </c>
      <c r="AF4" s="100" t="str">
        <f>_xlfn.CONCAT(設定!F20," - 歷史記錄")</f>
        <v xml:space="preserve"> - 歷史記錄</v>
      </c>
      <c r="AG4" s="100"/>
      <c r="AH4" s="99" t="str">
        <f>_xlfn.CONCAT(設定!F21)</f>
        <v/>
      </c>
      <c r="AI4" s="99" t="str">
        <f>_xlfn.CONCAT(設定!F21," - 歷史記錄")</f>
        <v xml:space="preserve"> - 歷史記錄</v>
      </c>
      <c r="AJ4" s="99"/>
      <c r="AK4" s="100" t="str">
        <f>_xlfn.CONCAT(設定!F22)</f>
        <v/>
      </c>
      <c r="AL4" s="100" t="str">
        <f>_xlfn.CONCAT(設定!F22," - 歷史記錄")</f>
        <v xml:space="preserve"> - 歷史記錄</v>
      </c>
      <c r="AM4" s="100"/>
      <c r="AN4" s="99" t="str">
        <f>_xlfn.CONCAT(設定!F23)</f>
        <v/>
      </c>
      <c r="AO4" s="99" t="str">
        <f>_xlfn.CONCAT(設定!F23," - 歷史記錄")</f>
        <v xml:space="preserve"> - 歷史記錄</v>
      </c>
      <c r="AP4" s="99"/>
      <c r="AQ4" s="100" t="str">
        <f>_xlfn.CONCAT(設定!F24)</f>
        <v/>
      </c>
      <c r="AR4" s="100" t="str">
        <f>_xlfn.CONCAT(設定!F24," - 歷史記錄")</f>
        <v xml:space="preserve"> - 歷史記錄</v>
      </c>
      <c r="AS4" s="100"/>
      <c r="AT4" s="99" t="str">
        <f>_xlfn.CONCAT(設定!F25)</f>
        <v/>
      </c>
      <c r="AU4" s="99" t="str">
        <f>_xlfn.CONCAT(設定!F25," - 歷史記錄")</f>
        <v xml:space="preserve"> - 歷史記錄</v>
      </c>
      <c r="AV4" s="99"/>
      <c r="AW4" s="100" t="str">
        <f>_xlfn.CONCAT(設定!F26)</f>
        <v/>
      </c>
      <c r="AX4" s="100" t="str">
        <f>_xlfn.CONCAT(設定!F26," - 歷史記錄")</f>
        <v xml:space="preserve"> - 歷史記錄</v>
      </c>
      <c r="AY4" s="100"/>
      <c r="AZ4" s="99" t="str">
        <f>_xlfn.CONCAT(設定!F27)</f>
        <v/>
      </c>
      <c r="BA4" s="99" t="str">
        <f>_xlfn.CONCAT(設定!F27," - 歷史記錄")</f>
        <v xml:space="preserve"> - 歷史記錄</v>
      </c>
      <c r="BB4" s="99"/>
      <c r="BC4" s="100" t="str">
        <f>_xlfn.CONCAT(設定!F28)</f>
        <v/>
      </c>
      <c r="BD4" s="100" t="str">
        <f>_xlfn.CONCAT(設定!F28," - 歷史記錄")</f>
        <v xml:space="preserve"> - 歷史記錄</v>
      </c>
      <c r="BE4" s="100"/>
      <c r="BF4" s="99" t="str">
        <f>_xlfn.CONCAT(設定!F29)</f>
        <v/>
      </c>
      <c r="BG4" s="99" t="str">
        <f>_xlfn.CONCAT(設定!F29," - 歷史記錄")</f>
        <v xml:space="preserve"> - 歷史記錄</v>
      </c>
      <c r="BH4" s="99"/>
      <c r="BI4" s="100" t="str">
        <f>_xlfn.CONCAT(設定!F30)</f>
        <v/>
      </c>
      <c r="BJ4" s="100" t="str">
        <f>_xlfn.CONCAT(設定!F30," - 歷史記錄")</f>
        <v xml:space="preserve"> - 歷史記錄</v>
      </c>
      <c r="BK4" s="100"/>
      <c r="BL4" s="101" t="str">
        <f>_xlfn.CONCAT(設定!F31)</f>
        <v/>
      </c>
      <c r="BM4" s="101" t="str">
        <f>_xlfn.CONCAT(設定!F31," - 歷史記錄")</f>
        <v xml:space="preserve"> - 歷史記錄</v>
      </c>
      <c r="BN4" s="101"/>
      <c r="BO4" s="100" t="str">
        <f>_xlfn.CONCAT(設定!F32)</f>
        <v/>
      </c>
      <c r="BP4" s="100" t="str">
        <f>_xlfn.CONCAT(設定!F32," - 歷史記錄")</f>
        <v xml:space="preserve"> - 歷史記錄</v>
      </c>
      <c r="BQ4" s="100"/>
      <c r="BR4" s="102" t="s">
        <v>271</v>
      </c>
      <c r="BS4" s="101" t="str">
        <f>_xlfn.CONCAT(設定!F33," - 歷史記錄")</f>
        <v xml:space="preserve"> - 歷史記錄</v>
      </c>
      <c r="BT4" s="101"/>
      <c r="BU4" s="100" t="str">
        <f>_xlfn.CONCAT(設定!F34)</f>
        <v/>
      </c>
      <c r="BV4" s="100" t="str">
        <f>_xlfn.CONCAT(設定!F34," - 歷史記錄")</f>
        <v xml:space="preserve"> - 歷史記錄</v>
      </c>
      <c r="BW4" s="100"/>
      <c r="BX4" s="101" t="str">
        <f>_xlfn.CONCAT(設定!F35)</f>
        <v/>
      </c>
      <c r="BY4" s="101" t="str">
        <f>_xlfn.CONCAT(設定!F35," - 歷史記錄")</f>
        <v xml:space="preserve"> - 歷史記錄</v>
      </c>
      <c r="BZ4" s="101"/>
      <c r="CA4" s="100" t="str">
        <f>_xlfn.CONCAT(設定!F36)</f>
        <v/>
      </c>
      <c r="CB4" s="100" t="str">
        <f>_xlfn.CONCAT(設定!F36," - 歷史記錄")</f>
        <v xml:space="preserve"> - 歷史記錄</v>
      </c>
      <c r="CC4" s="100"/>
      <c r="CD4" s="101" t="str">
        <f>_xlfn.CONCAT(設定!F37)</f>
        <v/>
      </c>
      <c r="CE4" s="101" t="str">
        <f>_xlfn.CONCAT(設定!F37," - 歷史記錄")</f>
        <v xml:space="preserve"> - 歷史記錄</v>
      </c>
      <c r="CF4" s="101"/>
      <c r="CG4" s="100" t="str">
        <f>_xlfn.CONCAT(設定!F38)</f>
        <v/>
      </c>
      <c r="CH4" s="100" t="str">
        <f>_xlfn.CONCAT(設定!F38," - 歷史記錄")</f>
        <v xml:space="preserve"> - 歷史記錄</v>
      </c>
      <c r="CI4" s="100"/>
      <c r="CJ4" s="101" t="str">
        <f>_xlfn.CONCAT(設定!F39)</f>
        <v/>
      </c>
      <c r="CK4" s="101" t="str">
        <f>_xlfn.CONCAT(設定!F39," - 歷史記錄")</f>
        <v xml:space="preserve"> - 歷史記錄</v>
      </c>
      <c r="CL4" s="101"/>
      <c r="CM4" s="100" t="str">
        <f>_xlfn.CONCAT(設定!F40)</f>
        <v/>
      </c>
      <c r="CN4" s="100" t="str">
        <f>_xlfn.CONCAT(設定!F40," - 歷史記錄")</f>
        <v xml:space="preserve"> - 歷史記錄</v>
      </c>
      <c r="CO4" s="100"/>
      <c r="CP4" s="101" t="str">
        <f>_xlfn.CONCAT(設定!F41)</f>
        <v/>
      </c>
      <c r="CQ4" s="101" t="str">
        <f>_xlfn.CONCAT(設定!F41," - 歷史記錄")</f>
        <v xml:space="preserve"> - 歷史記錄</v>
      </c>
      <c r="CR4" s="101"/>
      <c r="CS4" s="100" t="str">
        <f>_xlfn.CONCAT(設定!F42)</f>
        <v/>
      </c>
      <c r="CT4" s="100" t="str">
        <f>_xlfn.CONCAT(設定!F42," - 歷史記錄")</f>
        <v xml:space="preserve"> - 歷史記錄</v>
      </c>
      <c r="CU4" s="100"/>
      <c r="CV4" s="101" t="str">
        <f>_xlfn.CONCAT(設定!F43)</f>
        <v/>
      </c>
      <c r="CW4" s="101" t="str">
        <f>_xlfn.CONCAT(設定!F43," - 歷史記錄")</f>
        <v xml:space="preserve"> - 歷史記錄</v>
      </c>
      <c r="CX4" s="101"/>
      <c r="CY4" s="100" t="str">
        <f>_xlfn.CONCAT(設定!F44)</f>
        <v/>
      </c>
      <c r="CZ4" s="100" t="str">
        <f>_xlfn.CONCAT(設定!F44," - 歷史記錄")</f>
        <v xml:space="preserve"> - 歷史記錄</v>
      </c>
      <c r="DA4" s="100"/>
      <c r="DB4" s="101" t="str">
        <f>_xlfn.CONCAT(設定!F45)</f>
        <v/>
      </c>
      <c r="DC4" s="101" t="str">
        <f>_xlfn.CONCAT(設定!F45," - 歷史記錄")</f>
        <v xml:space="preserve"> - 歷史記錄</v>
      </c>
      <c r="DD4" s="101"/>
      <c r="DE4" s="100" t="str">
        <f>_xlfn.CONCAT(設定!F46)</f>
        <v/>
      </c>
      <c r="DF4" s="100" t="str">
        <f>_xlfn.CONCAT(設定!F46," - 歷史記錄")</f>
        <v xml:space="preserve"> - 歷史記錄</v>
      </c>
      <c r="DG4" s="100"/>
      <c r="DH4" s="101" t="str">
        <f>_xlfn.CONCAT(設定!F47)</f>
        <v/>
      </c>
      <c r="DI4" s="101" t="str">
        <f>_xlfn.CONCAT(設定!F47," - 歷史記錄")</f>
        <v xml:space="preserve"> - 歷史記錄</v>
      </c>
      <c r="DJ4" s="101"/>
      <c r="DK4" s="100" t="str">
        <f>_xlfn.CONCAT(設定!F48)</f>
        <v/>
      </c>
      <c r="DL4" s="100" t="str">
        <f>_xlfn.CONCAT(設定!F48," - 歷史記錄")</f>
        <v xml:space="preserve"> - 歷史記錄</v>
      </c>
      <c r="DM4" s="100"/>
      <c r="DN4" s="101" t="str">
        <f>_xlfn.CONCAT(設定!F49)</f>
        <v/>
      </c>
      <c r="DO4" s="101" t="str">
        <f>_xlfn.CONCAT(設定!F49," - 歷史記錄")</f>
        <v xml:space="preserve"> - 歷史記錄</v>
      </c>
      <c r="DP4" s="101"/>
      <c r="DQ4" s="100" t="str">
        <f>_xlfn.CONCAT(設定!F50)</f>
        <v/>
      </c>
      <c r="DR4" s="100" t="str">
        <f>_xlfn.CONCAT(設定!F50," - 歷史記錄")</f>
        <v xml:space="preserve"> - 歷史記錄</v>
      </c>
      <c r="DS4" s="100"/>
      <c r="DT4" s="106" t="s">
        <v>214</v>
      </c>
      <c r="DU4" s="106"/>
      <c r="DV4" s="106"/>
      <c r="DW4" s="106"/>
      <c r="DX4" s="106"/>
      <c r="DY4" s="106"/>
      <c r="DZ4" s="106" t="s">
        <v>213</v>
      </c>
      <c r="EA4" s="106"/>
      <c r="EB4" s="106"/>
      <c r="EC4" s="106" t="s">
        <v>212</v>
      </c>
      <c r="ED4" s="106"/>
      <c r="EE4" s="27" t="s">
        <v>420</v>
      </c>
      <c r="EF4" s="107" t="s">
        <v>460</v>
      </c>
      <c r="EG4" s="107"/>
      <c r="EH4" s="107"/>
      <c r="EI4" s="100" t="s">
        <v>425</v>
      </c>
    </row>
    <row r="5" spans="2:139" s="7" customFormat="1" ht="8.15" customHeight="1"/>
    <row r="6" spans="2:139" s="7" customFormat="1" ht="40" customHeight="1">
      <c r="B6" s="63" t="s">
        <v>209</v>
      </c>
      <c r="C6" s="63" t="s">
        <v>172</v>
      </c>
      <c r="D6" s="63" t="s">
        <v>216</v>
      </c>
      <c r="E6" s="63" t="s">
        <v>53</v>
      </c>
      <c r="F6" s="63" t="s">
        <v>52</v>
      </c>
      <c r="G6" s="63" t="s">
        <v>217</v>
      </c>
      <c r="H6" s="63" t="s">
        <v>51</v>
      </c>
      <c r="I6" s="63" t="s">
        <v>50</v>
      </c>
      <c r="J6" s="63" t="s">
        <v>218</v>
      </c>
      <c r="K6" s="63" t="s">
        <v>28</v>
      </c>
      <c r="L6" s="63" t="s">
        <v>49</v>
      </c>
      <c r="M6" s="63" t="s">
        <v>219</v>
      </c>
      <c r="N6" s="63" t="s">
        <v>29</v>
      </c>
      <c r="O6" s="63" t="s">
        <v>48</v>
      </c>
      <c r="P6" s="63" t="s">
        <v>220</v>
      </c>
      <c r="Q6" s="63" t="s">
        <v>30</v>
      </c>
      <c r="R6" s="63" t="s">
        <v>47</v>
      </c>
      <c r="S6" s="63" t="s">
        <v>221</v>
      </c>
      <c r="T6" s="63" t="s">
        <v>31</v>
      </c>
      <c r="U6" s="63" t="s">
        <v>44</v>
      </c>
      <c r="V6" s="63" t="s">
        <v>222</v>
      </c>
      <c r="W6" s="63" t="s">
        <v>32</v>
      </c>
      <c r="X6" s="63" t="s">
        <v>37</v>
      </c>
      <c r="Y6" s="63" t="s">
        <v>223</v>
      </c>
      <c r="Z6" s="63" t="s">
        <v>33</v>
      </c>
      <c r="AA6" s="63" t="s">
        <v>38</v>
      </c>
      <c r="AB6" s="63" t="s">
        <v>224</v>
      </c>
      <c r="AC6" s="63" t="s">
        <v>34</v>
      </c>
      <c r="AD6" s="63" t="s">
        <v>39</v>
      </c>
      <c r="AE6" s="63" t="s">
        <v>225</v>
      </c>
      <c r="AF6" s="63" t="s">
        <v>35</v>
      </c>
      <c r="AG6" s="63" t="s">
        <v>40</v>
      </c>
      <c r="AH6" s="63" t="s">
        <v>226</v>
      </c>
      <c r="AI6" s="63" t="s">
        <v>36</v>
      </c>
      <c r="AJ6" s="63" t="s">
        <v>41</v>
      </c>
      <c r="AK6" s="63" t="s">
        <v>227</v>
      </c>
      <c r="AL6" s="63" t="s">
        <v>42</v>
      </c>
      <c r="AM6" s="63" t="s">
        <v>43</v>
      </c>
      <c r="AN6" s="63" t="s">
        <v>228</v>
      </c>
      <c r="AO6" s="63" t="s">
        <v>64</v>
      </c>
      <c r="AP6" s="63" t="s">
        <v>63</v>
      </c>
      <c r="AQ6" s="63" t="s">
        <v>229</v>
      </c>
      <c r="AR6" s="63" t="s">
        <v>66</v>
      </c>
      <c r="AS6" s="63" t="s">
        <v>65</v>
      </c>
      <c r="AT6" s="63" t="s">
        <v>230</v>
      </c>
      <c r="AU6" s="63" t="s">
        <v>70</v>
      </c>
      <c r="AV6" s="63" t="s">
        <v>68</v>
      </c>
      <c r="AW6" s="63" t="s">
        <v>231</v>
      </c>
      <c r="AX6" s="63" t="s">
        <v>67</v>
      </c>
      <c r="AY6" s="63" t="s">
        <v>69</v>
      </c>
      <c r="AZ6" s="63" t="s">
        <v>232</v>
      </c>
      <c r="BA6" s="63" t="s">
        <v>72</v>
      </c>
      <c r="BB6" s="63" t="s">
        <v>71</v>
      </c>
      <c r="BC6" s="63" t="s">
        <v>233</v>
      </c>
      <c r="BD6" s="63" t="s">
        <v>73</v>
      </c>
      <c r="BE6" s="63" t="s">
        <v>74</v>
      </c>
      <c r="BF6" s="63" t="s">
        <v>234</v>
      </c>
      <c r="BG6" s="63" t="s">
        <v>75</v>
      </c>
      <c r="BH6" s="63" t="s">
        <v>76</v>
      </c>
      <c r="BI6" s="63" t="s">
        <v>235</v>
      </c>
      <c r="BJ6" s="63" t="s">
        <v>77</v>
      </c>
      <c r="BK6" s="63" t="s">
        <v>78</v>
      </c>
      <c r="BL6" s="63" t="s">
        <v>236</v>
      </c>
      <c r="BM6" s="63" t="s">
        <v>105</v>
      </c>
      <c r="BN6" s="63" t="s">
        <v>104</v>
      </c>
      <c r="BO6" s="63" t="s">
        <v>237</v>
      </c>
      <c r="BP6" s="63" t="s">
        <v>106</v>
      </c>
      <c r="BQ6" s="63" t="s">
        <v>107</v>
      </c>
      <c r="BR6" s="63" t="s">
        <v>238</v>
      </c>
      <c r="BS6" s="63" t="s">
        <v>108</v>
      </c>
      <c r="BT6" s="63" t="s">
        <v>109</v>
      </c>
      <c r="BU6" s="63" t="s">
        <v>239</v>
      </c>
      <c r="BV6" s="63" t="s">
        <v>110</v>
      </c>
      <c r="BW6" s="63" t="s">
        <v>111</v>
      </c>
      <c r="BX6" s="63" t="s">
        <v>240</v>
      </c>
      <c r="BY6" s="63" t="s">
        <v>112</v>
      </c>
      <c r="BZ6" s="63" t="s">
        <v>113</v>
      </c>
      <c r="CA6" s="63" t="s">
        <v>241</v>
      </c>
      <c r="CB6" s="63" t="s">
        <v>114</v>
      </c>
      <c r="CC6" s="63" t="s">
        <v>115</v>
      </c>
      <c r="CD6" s="63" t="s">
        <v>242</v>
      </c>
      <c r="CE6" s="63" t="s">
        <v>116</v>
      </c>
      <c r="CF6" s="63" t="s">
        <v>117</v>
      </c>
      <c r="CG6" s="63" t="s">
        <v>243</v>
      </c>
      <c r="CH6" s="63" t="s">
        <v>118</v>
      </c>
      <c r="CI6" s="63" t="s">
        <v>119</v>
      </c>
      <c r="CJ6" s="63" t="s">
        <v>244</v>
      </c>
      <c r="CK6" s="63" t="s">
        <v>120</v>
      </c>
      <c r="CL6" s="63" t="s">
        <v>121</v>
      </c>
      <c r="CM6" s="63" t="s">
        <v>245</v>
      </c>
      <c r="CN6" s="63" t="s">
        <v>122</v>
      </c>
      <c r="CO6" s="63" t="s">
        <v>123</v>
      </c>
      <c r="CP6" s="63" t="s">
        <v>246</v>
      </c>
      <c r="CQ6" s="63" t="s">
        <v>124</v>
      </c>
      <c r="CR6" s="63" t="s">
        <v>125</v>
      </c>
      <c r="CS6" s="63" t="s">
        <v>247</v>
      </c>
      <c r="CT6" s="63" t="s">
        <v>126</v>
      </c>
      <c r="CU6" s="63" t="s">
        <v>127</v>
      </c>
      <c r="CV6" s="63" t="s">
        <v>248</v>
      </c>
      <c r="CW6" s="63" t="s">
        <v>128</v>
      </c>
      <c r="CX6" s="63" t="s">
        <v>129</v>
      </c>
      <c r="CY6" s="63" t="s">
        <v>249</v>
      </c>
      <c r="CZ6" s="63" t="s">
        <v>130</v>
      </c>
      <c r="DA6" s="63" t="s">
        <v>131</v>
      </c>
      <c r="DB6" s="63" t="s">
        <v>250</v>
      </c>
      <c r="DC6" s="63" t="s">
        <v>132</v>
      </c>
      <c r="DD6" s="63" t="s">
        <v>133</v>
      </c>
      <c r="DE6" s="63" t="s">
        <v>251</v>
      </c>
      <c r="DF6" s="63" t="s">
        <v>134</v>
      </c>
      <c r="DG6" s="63" t="s">
        <v>135</v>
      </c>
      <c r="DH6" s="63" t="s">
        <v>252</v>
      </c>
      <c r="DI6" s="63" t="s">
        <v>137</v>
      </c>
      <c r="DJ6" s="63" t="s">
        <v>136</v>
      </c>
      <c r="DK6" s="63" t="s">
        <v>253</v>
      </c>
      <c r="DL6" s="63" t="s">
        <v>138</v>
      </c>
      <c r="DM6" s="63" t="s">
        <v>139</v>
      </c>
      <c r="DN6" s="63" t="s">
        <v>254</v>
      </c>
      <c r="DO6" s="63" t="s">
        <v>140</v>
      </c>
      <c r="DP6" s="63" t="s">
        <v>141</v>
      </c>
      <c r="DQ6" s="63" t="s">
        <v>255</v>
      </c>
      <c r="DR6" s="63" t="s">
        <v>142</v>
      </c>
      <c r="DS6" s="63" t="s">
        <v>143</v>
      </c>
      <c r="DT6" s="63" t="s">
        <v>471</v>
      </c>
      <c r="DU6" s="63" t="s">
        <v>16</v>
      </c>
      <c r="DV6" s="63" t="s">
        <v>17</v>
      </c>
      <c r="DW6" s="63" t="s">
        <v>198</v>
      </c>
      <c r="DX6" s="63" t="s">
        <v>199</v>
      </c>
      <c r="DY6" s="63" t="s">
        <v>200</v>
      </c>
      <c r="DZ6" s="63" t="s">
        <v>206</v>
      </c>
      <c r="EA6" s="63" t="s">
        <v>13</v>
      </c>
      <c r="EB6" s="63" t="s">
        <v>14</v>
      </c>
      <c r="EC6" s="79" t="s">
        <v>215</v>
      </c>
      <c r="ED6" s="63" t="s">
        <v>208</v>
      </c>
      <c r="EE6" s="63" t="s">
        <v>207</v>
      </c>
      <c r="EF6" s="63" t="s">
        <v>427</v>
      </c>
      <c r="EG6" s="63" t="s">
        <v>269</v>
      </c>
      <c r="EH6" s="63" t="s">
        <v>270</v>
      </c>
      <c r="EI6" s="63" t="s">
        <v>423</v>
      </c>
    </row>
    <row r="7" spans="2:139" ht="40" customHeight="1">
      <c r="B7" s="16" cm="1">
        <f t="array" ref="B7">SN</f>
        <v>1</v>
      </c>
      <c r="C7" s="80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479</v>
      </c>
      <c r="DU7" s="81" t="s">
        <v>256</v>
      </c>
      <c r="DV7" s="82" t="s">
        <v>149</v>
      </c>
      <c r="DW7" s="83" t="s">
        <v>5</v>
      </c>
      <c r="DX7" s="83"/>
      <c r="DY7" s="20"/>
      <c r="DZ7" s="83" t="s">
        <v>163</v>
      </c>
      <c r="EA7" s="83" t="s">
        <v>158</v>
      </c>
      <c r="EB7" s="83"/>
      <c r="EC7" s="66"/>
      <c r="ED7" s="20" t="s">
        <v>161</v>
      </c>
      <c r="EE7" s="17" t="s">
        <v>426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436</v>
      </c>
    </row>
    <row r="8" spans="2:139" ht="40" customHeight="1">
      <c r="B8" s="16" cm="1">
        <f t="array" ref="B8">SN</f>
        <v>2</v>
      </c>
      <c r="C8" s="80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479</v>
      </c>
      <c r="DU8" s="81" t="s">
        <v>159</v>
      </c>
      <c r="DV8" s="82" t="s">
        <v>160</v>
      </c>
      <c r="DW8" s="83" t="s">
        <v>6</v>
      </c>
      <c r="DX8" s="83"/>
      <c r="DY8" s="20"/>
      <c r="DZ8" s="83" t="s">
        <v>164</v>
      </c>
      <c r="EA8" s="83"/>
      <c r="EB8" s="83"/>
      <c r="EC8" s="66"/>
      <c r="ED8" s="20" t="s">
        <v>161</v>
      </c>
      <c r="EE8" s="17" t="s">
        <v>426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436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101600</xdr:colOff>
                    <xdr:row>3</xdr:row>
                    <xdr:rowOff>107950</xdr:rowOff>
                  </from>
                  <to>
                    <xdr:col>2</xdr:col>
                    <xdr:colOff>1016000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107950</xdr:rowOff>
                  </from>
                  <to>
                    <xdr:col>2</xdr:col>
                    <xdr:colOff>2057400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7265625" style="7" customWidth="1"/>
    <col min="2" max="2" width="8.7265625" style="7" customWidth="1"/>
    <col min="3" max="3" width="30.7265625" style="68" customWidth="1"/>
    <col min="4" max="5" width="12.7265625" style="69" customWidth="1"/>
    <col min="6" max="43" width="12.7265625" style="69" hidden="1" customWidth="1"/>
    <col min="44" max="44" width="12.7265625" style="58" customWidth="1"/>
    <col min="45" max="45" width="22.7265625" style="70" customWidth="1"/>
    <col min="46" max="46" width="12.7265625" style="58" customWidth="1"/>
    <col min="47" max="47" width="22.7265625" style="54" customWidth="1"/>
    <col min="48" max="48" width="14.7265625" style="7" customWidth="1"/>
    <col min="49" max="49" width="2.7265625" style="7" customWidth="1"/>
    <col min="50" max="16384" width="9.1796875" style="7" hidden="1"/>
  </cols>
  <sheetData>
    <row r="1" spans="2:48" s="90" customFormat="1" ht="6" customHeight="1"/>
    <row r="2" spans="2:48" s="46" customFormat="1" ht="55" customHeight="1">
      <c r="B2" s="47" t="str">
        <f>CONCATENATE(IF(設定!D7="","",_xlfn.CONCAT(設定!D7," - ")),"歷史記錄")</f>
        <v>Yi - 歷史記錄</v>
      </c>
      <c r="D2" s="62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4" customFormat="1" ht="40" customHeight="1">
      <c r="B4" s="7"/>
      <c r="C4" s="91"/>
      <c r="D4" s="45" t="str">
        <f>_xlfn.CONCAT(設定!F11)</f>
        <v>1</v>
      </c>
      <c r="E4" s="78" t="str">
        <f>_xlfn.CONCAT(設定!F12)</f>
        <v>2</v>
      </c>
      <c r="F4" s="45" t="str">
        <f>_xlfn.CONCAT(設定!F13)</f>
        <v/>
      </c>
      <c r="G4" s="78" t="str">
        <f>_xlfn.CONCAT(設定!F14)</f>
        <v/>
      </c>
      <c r="H4" s="45" t="str">
        <f>_xlfn.CONCAT(設定!F15)</f>
        <v/>
      </c>
      <c r="I4" s="78" t="str">
        <f>_xlfn.CONCAT(設定!F16)</f>
        <v/>
      </c>
      <c r="J4" s="45" t="str">
        <f>_xlfn.CONCAT(設定!F17)</f>
        <v/>
      </c>
      <c r="K4" s="78" t="str">
        <f>_xlfn.CONCAT(設定!F18)</f>
        <v/>
      </c>
      <c r="L4" s="45" t="str">
        <f>_xlfn.CONCAT(設定!F19)</f>
        <v/>
      </c>
      <c r="M4" s="78" t="str">
        <f>_xlfn.CONCAT(設定!F20)</f>
        <v/>
      </c>
      <c r="N4" s="45" t="str">
        <f>_xlfn.CONCAT(設定!F21)</f>
        <v/>
      </c>
      <c r="O4" s="78" t="str">
        <f>_xlfn.CONCAT(設定!F22)</f>
        <v/>
      </c>
      <c r="P4" s="45" t="str">
        <f>_xlfn.CONCAT(設定!F23)</f>
        <v/>
      </c>
      <c r="Q4" s="78" t="str">
        <f>_xlfn.CONCAT(設定!F24)</f>
        <v/>
      </c>
      <c r="R4" s="45" t="str">
        <f>_xlfn.CONCAT(設定!F25)</f>
        <v/>
      </c>
      <c r="S4" s="78" t="str">
        <f>_xlfn.CONCAT(設定!F26)</f>
        <v/>
      </c>
      <c r="T4" s="45" t="str">
        <f>_xlfn.CONCAT(設定!F27)</f>
        <v/>
      </c>
      <c r="U4" s="78" t="str">
        <f>_xlfn.CONCAT(設定!F28)</f>
        <v/>
      </c>
      <c r="V4" s="45" t="str">
        <f>_xlfn.CONCAT(設定!F29)</f>
        <v/>
      </c>
      <c r="W4" s="78" t="str">
        <f>_xlfn.CONCAT(設定!F30)</f>
        <v/>
      </c>
      <c r="X4" s="45" t="str">
        <f>_xlfn.CONCAT(設定!F31)</f>
        <v/>
      </c>
      <c r="Y4" s="78" t="str">
        <f>_xlfn.CONCAT(設定!F32)</f>
        <v/>
      </c>
      <c r="Z4" s="45" t="str">
        <f>_xlfn.CONCAT(設定!F33)</f>
        <v/>
      </c>
      <c r="AA4" s="78" t="str">
        <f>_xlfn.CONCAT(設定!F34)</f>
        <v/>
      </c>
      <c r="AB4" s="45" t="str">
        <f>_xlfn.CONCAT(設定!F35)</f>
        <v/>
      </c>
      <c r="AC4" s="78" t="str">
        <f>_xlfn.CONCAT(設定!F36)</f>
        <v/>
      </c>
      <c r="AD4" s="45" t="str">
        <f>_xlfn.CONCAT(設定!F37)</f>
        <v/>
      </c>
      <c r="AE4" s="78" t="str">
        <f>_xlfn.CONCAT(設定!F38)</f>
        <v/>
      </c>
      <c r="AF4" s="45" t="str">
        <f>_xlfn.CONCAT(設定!F39)</f>
        <v/>
      </c>
      <c r="AG4" s="78" t="str">
        <f>_xlfn.CONCAT(設定!F40)</f>
        <v/>
      </c>
      <c r="AH4" s="45" t="str">
        <f>_xlfn.CONCAT(設定!F41)</f>
        <v/>
      </c>
      <c r="AI4" s="78" t="str">
        <f>_xlfn.CONCAT(設定!F42)</f>
        <v/>
      </c>
      <c r="AJ4" s="45" t="str">
        <f>_xlfn.CONCAT(設定!F43)</f>
        <v/>
      </c>
      <c r="AK4" s="78" t="str">
        <f>_xlfn.CONCAT(設定!F44)</f>
        <v/>
      </c>
      <c r="AL4" s="45" t="str">
        <f>_xlfn.CONCAT(設定!F45)</f>
        <v/>
      </c>
      <c r="AM4" s="78" t="str">
        <f>_xlfn.CONCAT(設定!F46)</f>
        <v/>
      </c>
      <c r="AN4" s="45" t="str">
        <f>_xlfn.CONCAT(設定!F47)</f>
        <v/>
      </c>
      <c r="AO4" s="78" t="str">
        <f>_xlfn.CONCAT(設定!F48)</f>
        <v/>
      </c>
      <c r="AP4" s="45" t="str">
        <f>_xlfn.CONCAT(設定!F49)</f>
        <v/>
      </c>
      <c r="AQ4" s="78" t="str">
        <f>_xlfn.CONCAT(設定!F50)</f>
        <v/>
      </c>
      <c r="AR4" s="108" t="s">
        <v>54</v>
      </c>
      <c r="AS4" s="108"/>
      <c r="AT4" s="108"/>
      <c r="AU4" s="108"/>
      <c r="AV4" s="78" t="s">
        <v>425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3" t="s">
        <v>209</v>
      </c>
      <c r="C6" s="63" t="s">
        <v>172</v>
      </c>
      <c r="D6" s="63" t="s">
        <v>45</v>
      </c>
      <c r="E6" s="63" t="s">
        <v>46</v>
      </c>
      <c r="F6" s="63" t="s">
        <v>18</v>
      </c>
      <c r="G6" s="63" t="s">
        <v>19</v>
      </c>
      <c r="H6" s="63" t="s">
        <v>20</v>
      </c>
      <c r="I6" s="63" t="s">
        <v>21</v>
      </c>
      <c r="J6" s="63" t="s">
        <v>22</v>
      </c>
      <c r="K6" s="63" t="s">
        <v>23</v>
      </c>
      <c r="L6" s="63" t="s">
        <v>24</v>
      </c>
      <c r="M6" s="63" t="s">
        <v>26</v>
      </c>
      <c r="N6" s="63" t="s">
        <v>25</v>
      </c>
      <c r="O6" s="63" t="s">
        <v>27</v>
      </c>
      <c r="P6" s="63" t="s">
        <v>55</v>
      </c>
      <c r="Q6" s="63" t="s">
        <v>56</v>
      </c>
      <c r="R6" s="63" t="s">
        <v>57</v>
      </c>
      <c r="S6" s="63" t="s">
        <v>58</v>
      </c>
      <c r="T6" s="63" t="s">
        <v>59</v>
      </c>
      <c r="U6" s="63" t="s">
        <v>60</v>
      </c>
      <c r="V6" s="63" t="s">
        <v>61</v>
      </c>
      <c r="W6" s="63" t="s">
        <v>62</v>
      </c>
      <c r="X6" s="63" t="s">
        <v>85</v>
      </c>
      <c r="Y6" s="63" t="s">
        <v>86</v>
      </c>
      <c r="Z6" s="63" t="s">
        <v>87</v>
      </c>
      <c r="AA6" s="63" t="s">
        <v>88</v>
      </c>
      <c r="AB6" s="63" t="s">
        <v>89</v>
      </c>
      <c r="AC6" s="63" t="s">
        <v>90</v>
      </c>
      <c r="AD6" s="63" t="s">
        <v>91</v>
      </c>
      <c r="AE6" s="63" t="s">
        <v>92</v>
      </c>
      <c r="AF6" s="63" t="s">
        <v>93</v>
      </c>
      <c r="AG6" s="63" t="s">
        <v>94</v>
      </c>
      <c r="AH6" s="63" t="s">
        <v>84</v>
      </c>
      <c r="AI6" s="63" t="s">
        <v>95</v>
      </c>
      <c r="AJ6" s="63" t="s">
        <v>96</v>
      </c>
      <c r="AK6" s="63" t="s">
        <v>97</v>
      </c>
      <c r="AL6" s="63" t="s">
        <v>98</v>
      </c>
      <c r="AM6" s="63" t="s">
        <v>99</v>
      </c>
      <c r="AN6" s="63" t="s">
        <v>100</v>
      </c>
      <c r="AO6" s="63" t="s">
        <v>101</v>
      </c>
      <c r="AP6" s="63" t="s">
        <v>102</v>
      </c>
      <c r="AQ6" s="63" t="s">
        <v>103</v>
      </c>
      <c r="AR6" s="63" t="s">
        <v>210</v>
      </c>
      <c r="AS6" s="63" t="s">
        <v>257</v>
      </c>
      <c r="AT6" s="63" t="s">
        <v>208</v>
      </c>
      <c r="AU6" s="63" t="s">
        <v>207</v>
      </c>
      <c r="AV6" s="63" t="s">
        <v>423</v>
      </c>
    </row>
    <row r="7" spans="2:48" ht="40" customHeight="1">
      <c r="B7" s="16" cm="1">
        <f t="array" ref="B7">SN</f>
        <v>1</v>
      </c>
      <c r="C7" s="64" t="s">
        <v>267</v>
      </c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20" t="s">
        <v>3</v>
      </c>
      <c r="AS7" s="66"/>
      <c r="AT7" s="20" t="s">
        <v>161</v>
      </c>
      <c r="AU7" s="93" t="s">
        <v>426</v>
      </c>
      <c r="AV7" s="16" t="s">
        <v>436</v>
      </c>
    </row>
    <row r="8" spans="2:48" ht="40" customHeight="1">
      <c r="B8" s="16" cm="1">
        <f t="array" ref="B8">SN</f>
        <v>2</v>
      </c>
      <c r="C8" s="64" t="s">
        <v>268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20" t="s">
        <v>3</v>
      </c>
      <c r="AS8" s="66"/>
      <c r="AT8" s="20" t="s">
        <v>161</v>
      </c>
      <c r="AU8" s="93" t="s">
        <v>426</v>
      </c>
      <c r="AV8" s="16" t="s">
        <v>436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2024-07-25T14:16:29Z</dcterms:modified>
</cp:coreProperties>
</file>