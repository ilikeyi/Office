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2E79B385-3655-4E6B-B9DA-1675CA2A6D8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<sst xmlns="http://schemas.openxmlformats.org/spreadsheetml/2006/main" count="693" uniqueCount="475">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</sst>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459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14" t="s">
        <v>458</v>
      </c>
      <c r="BC9" s="14" t="s">
        <v>210</v>
      </c>
      <c r="BD9" s="14" t="s">
        <v>434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414</v>
      </c>
      <c r="O10" s="32" t="s">
        <v>413</v>
      </c>
      <c r="P10" s="32" t="s">
        <v>273</v>
      </c>
      <c r="Q10" s="32" t="s">
        <v>274</v>
      </c>
      <c r="R10" s="32" t="s">
        <v>275</v>
      </c>
      <c r="S10" s="32" t="s">
        <v>276</v>
      </c>
      <c r="BC10" s="14" t="s">
        <v>432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Row],[唯一識別碼]],Store_History[類型],$D$81)</f>
        <v>0</v>
      </c>
      <c r="M11" s="26">
        <f>SUMIFS(Store_History[数量],Store_History[唯一識別碼],Store_Setting[[#This Row],[唯一識別碼]],Store_History[類型],$E$81)</f>
        <v>0</v>
      </c>
      <c r="N11" s="5" t="s">
        <v>80</v>
      </c>
      <c r="O11" s="5" t="s">
        <v>80</v>
      </c>
      <c r="P11" s="10" t="s">
        <v>277</v>
      </c>
      <c r="Q11" s="10" t="s">
        <v>278</v>
      </c>
      <c r="R11" s="10" t="s">
        <v>279</v>
      </c>
      <c r="S11" s="10" t="s">
        <v>280</v>
      </c>
      <c r="BC11" s="14" t="s">
        <v>433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Row],[唯一識別碼]],Store_History[類型],$D$81)</f>
        <v>0</v>
      </c>
      <c r="M12" s="26">
        <f>SUMIFS(Store_History[数量],Store_History[唯一識別碼],Store_Setting[[#This Row],[唯一識別碼]],Store_History[類型],$E$81)</f>
        <v>0</v>
      </c>
      <c r="N12" s="5" t="s">
        <v>80</v>
      </c>
      <c r="O12" s="5" t="s">
        <v>80</v>
      </c>
      <c r="P12" s="10" t="s">
        <v>281</v>
      </c>
      <c r="Q12" s="10" t="s">
        <v>282</v>
      </c>
      <c r="R12" s="10" t="s">
        <v>283</v>
      </c>
      <c r="S12" s="10" t="s">
        <v>278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Row],[唯一識別碼]],Store_History[類型],$D$81)</f>
        <v>0</v>
      </c>
      <c r="M13" s="26">
        <f>SUMIFS(Store_History[数量],Store_History[唯一識別碼],Store_Setting[[#This Row],[唯一識別碼]],Store_History[類型],$E$81)</f>
        <v>0</v>
      </c>
      <c r="N13" s="5" t="s">
        <v>80</v>
      </c>
      <c r="O13" s="5" t="s">
        <v>80</v>
      </c>
      <c r="P13" s="10" t="s">
        <v>284</v>
      </c>
      <c r="Q13" s="10" t="s">
        <v>285</v>
      </c>
      <c r="R13" s="10" t="s">
        <v>286</v>
      </c>
      <c r="S13" s="10" t="s">
        <v>279</v>
      </c>
      <c r="BD13" s="14" t="s">
        <v>435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Row],[唯一識別碼]],Store_History[類型],$D$81)</f>
        <v>0</v>
      </c>
      <c r="M14" s="26">
        <f>SUMIFS(Store_History[数量],Store_History[唯一識別碼],Store_Setting[[#This Row],[唯一識別碼]],Store_History[類型],$E$81)</f>
        <v>0</v>
      </c>
      <c r="N14" s="5" t="s">
        <v>80</v>
      </c>
      <c r="O14" s="5" t="s">
        <v>80</v>
      </c>
      <c r="P14" s="10" t="s">
        <v>287</v>
      </c>
      <c r="Q14" s="10" t="s">
        <v>288</v>
      </c>
      <c r="R14" s="10" t="s">
        <v>289</v>
      </c>
      <c r="S14" s="10" t="s">
        <v>290</v>
      </c>
      <c r="BD14" s="14" t="s">
        <v>436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Row],[唯一識別碼]],Store_History[類型],$D$81)</f>
        <v>0</v>
      </c>
      <c r="M15" s="26">
        <f>SUMIFS(Store_History[数量],Store_History[唯一識別碼],Store_Setting[[#This Row],[唯一識別碼]],Store_History[類型],$E$81)</f>
        <v>0</v>
      </c>
      <c r="N15" s="5" t="s">
        <v>80</v>
      </c>
      <c r="O15" s="5" t="s">
        <v>80</v>
      </c>
      <c r="P15" s="10" t="s">
        <v>291</v>
      </c>
      <c r="Q15" s="10" t="s">
        <v>292</v>
      </c>
      <c r="R15" s="10" t="s">
        <v>293</v>
      </c>
      <c r="S15" s="10" t="s">
        <v>282</v>
      </c>
      <c r="BD15" s="14" t="s">
        <v>437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Row],[唯一識別碼]],Store_History[類型],$D$81)</f>
        <v>0</v>
      </c>
      <c r="M16" s="26">
        <f>SUMIFS(Store_History[数量],Store_History[唯一識別碼],Store_Setting[[#This Row],[唯一識別碼]],Store_History[類型],$E$81)</f>
        <v>0</v>
      </c>
      <c r="N16" s="5" t="s">
        <v>80</v>
      </c>
      <c r="O16" s="5" t="s">
        <v>80</v>
      </c>
      <c r="P16" s="10" t="s">
        <v>294</v>
      </c>
      <c r="Q16" s="10" t="s">
        <v>295</v>
      </c>
      <c r="R16" s="10" t="s">
        <v>296</v>
      </c>
      <c r="S16" s="10" t="s">
        <v>283</v>
      </c>
      <c r="BD16" s="14" t="s">
        <v>438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Row],[唯一識別碼]],Store_History[類型],$D$81)</f>
        <v>0</v>
      </c>
      <c r="M17" s="26">
        <f>SUMIFS(Store_History[数量],Store_History[唯一識別碼],Store_Setting[[#This Row],[唯一識別碼]],Store_History[類型],$E$81)</f>
        <v>0</v>
      </c>
      <c r="N17" s="5" t="s">
        <v>80</v>
      </c>
      <c r="O17" s="5" t="s">
        <v>80</v>
      </c>
      <c r="P17" s="10" t="s">
        <v>297</v>
      </c>
      <c r="Q17" s="10" t="s">
        <v>298</v>
      </c>
      <c r="R17" s="10" t="s">
        <v>299</v>
      </c>
      <c r="S17" s="10" t="s">
        <v>300</v>
      </c>
      <c r="BD17" s="14" t="s">
        <v>419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Row],[唯一識別碼]],Store_History[類型],$D$81)</f>
        <v>0</v>
      </c>
      <c r="M18" s="26">
        <f>SUMIFS(Store_History[数量],Store_History[唯一識別碼],Store_Setting[[#This Row],[唯一識別碼]],Store_History[類型],$E$81)</f>
        <v>0</v>
      </c>
      <c r="N18" s="5" t="s">
        <v>80</v>
      </c>
      <c r="O18" s="5" t="s">
        <v>80</v>
      </c>
      <c r="P18" s="10" t="s">
        <v>301</v>
      </c>
      <c r="Q18" s="10" t="s">
        <v>302</v>
      </c>
      <c r="R18" s="10" t="s">
        <v>303</v>
      </c>
      <c r="S18" s="10" t="s">
        <v>285</v>
      </c>
      <c r="BD18" s="14" t="s">
        <v>439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Row],[唯一識別碼]],Store_History[類型],$D$81)</f>
        <v>0</v>
      </c>
      <c r="M19" s="26">
        <f>SUMIFS(Store_History[数量],Store_History[唯一識別碼],Store_Setting[[#This Row],[唯一識別碼]],Store_History[類型],$E$81)</f>
        <v>0</v>
      </c>
      <c r="N19" s="5" t="s">
        <v>80</v>
      </c>
      <c r="O19" s="5" t="s">
        <v>80</v>
      </c>
      <c r="P19" s="10" t="s">
        <v>304</v>
      </c>
      <c r="Q19" s="10" t="s">
        <v>305</v>
      </c>
      <c r="R19" s="10" t="s">
        <v>306</v>
      </c>
      <c r="S19" s="10" t="s">
        <v>286</v>
      </c>
      <c r="BD19" s="14" t="s">
        <v>440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Row],[唯一識別碼]],Store_History[類型],$D$81)</f>
        <v>0</v>
      </c>
      <c r="M20" s="26">
        <f>SUMIFS(Store_History[数量],Store_History[唯一識別碼],Store_Setting[[#This Row],[唯一識別碼]],Store_History[類型],$E$81)</f>
        <v>0</v>
      </c>
      <c r="N20" s="5" t="s">
        <v>80</v>
      </c>
      <c r="O20" s="5" t="s">
        <v>80</v>
      </c>
      <c r="P20" s="10" t="s">
        <v>307</v>
      </c>
      <c r="Q20" s="10" t="s">
        <v>308</v>
      </c>
      <c r="R20" s="10" t="s">
        <v>309</v>
      </c>
      <c r="S20" s="10" t="s">
        <v>310</v>
      </c>
      <c r="BD20" s="14" t="s">
        <v>428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Row],[唯一識別碼]],Store_History[類型],$D$81)</f>
        <v>0</v>
      </c>
      <c r="M21" s="26">
        <f>SUMIFS(Store_History[数量],Store_History[唯一識別碼],Store_Setting[[#This Row],[唯一識別碼]],Store_History[類型],$E$81)</f>
        <v>0</v>
      </c>
      <c r="N21" s="5" t="s">
        <v>80</v>
      </c>
      <c r="O21" s="5" t="s">
        <v>80</v>
      </c>
      <c r="P21" s="10" t="s">
        <v>311</v>
      </c>
      <c r="Q21" s="10" t="s">
        <v>312</v>
      </c>
      <c r="R21" s="10" t="s">
        <v>313</v>
      </c>
      <c r="S21" s="10" t="s">
        <v>288</v>
      </c>
      <c r="BD21" s="14" t="s">
        <v>460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Row],[唯一識別碼]],Store_History[類型],$D$81)</f>
        <v>0</v>
      </c>
      <c r="M22" s="26">
        <f>SUMIFS(Store_History[数量],Store_History[唯一識別碼],Store_Setting[[#This Row],[唯一識別碼]],Store_History[類型],$E$81)</f>
        <v>0</v>
      </c>
      <c r="N22" s="5" t="s">
        <v>80</v>
      </c>
      <c r="O22" s="5" t="s">
        <v>80</v>
      </c>
      <c r="P22" s="10" t="s">
        <v>314</v>
      </c>
      <c r="Q22" s="10" t="s">
        <v>315</v>
      </c>
      <c r="R22" s="10" t="s">
        <v>316</v>
      </c>
      <c r="S22" s="10" t="s">
        <v>289</v>
      </c>
      <c r="BB22" s="14" t="s">
        <v>457</v>
      </c>
      <c r="BD22" s="14" t="s">
        <v>441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Row],[唯一識別碼]],Store_History[類型],$D$81)</f>
        <v>0</v>
      </c>
      <c r="M23" s="26">
        <f>SUMIFS(Store_History[数量],Store_History[唯一識別碼],Store_Setting[[#This Row],[唯一識別碼]],Store_History[類型],$E$81)</f>
        <v>0</v>
      </c>
      <c r="N23" s="5" t="s">
        <v>80</v>
      </c>
      <c r="O23" s="5" t="s">
        <v>80</v>
      </c>
      <c r="P23" s="10" t="s">
        <v>317</v>
      </c>
      <c r="Q23" s="10" t="s">
        <v>318</v>
      </c>
      <c r="R23" s="10" t="s">
        <v>319</v>
      </c>
      <c r="S23" s="10" t="s">
        <v>320</v>
      </c>
      <c r="BD23" s="14" t="s">
        <v>442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Row],[唯一識別碼]],Store_History[類型],$D$81)</f>
        <v>0</v>
      </c>
      <c r="M24" s="26">
        <f>SUMIFS(Store_History[数量],Store_History[唯一識別碼],Store_Setting[[#This Row],[唯一識別碼]],Store_History[類型],$E$81)</f>
        <v>0</v>
      </c>
      <c r="N24" s="5" t="s">
        <v>80</v>
      </c>
      <c r="O24" s="5" t="s">
        <v>80</v>
      </c>
      <c r="P24" s="10" t="s">
        <v>321</v>
      </c>
      <c r="Q24" s="10" t="s">
        <v>322</v>
      </c>
      <c r="R24" s="10" t="s">
        <v>323</v>
      </c>
      <c r="S24" s="10" t="s">
        <v>292</v>
      </c>
      <c r="BD24" s="14" t="s">
        <v>443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Row],[唯一識別碼]],Store_History[類型],$D$81)</f>
        <v>0</v>
      </c>
      <c r="M25" s="26">
        <f>SUMIFS(Store_History[数量],Store_History[唯一識別碼],Store_Setting[[#This Row],[唯一識別碼]],Store_History[類型],$E$81)</f>
        <v>0</v>
      </c>
      <c r="N25" s="5" t="s">
        <v>80</v>
      </c>
      <c r="O25" s="5" t="s">
        <v>80</v>
      </c>
      <c r="P25" s="10" t="s">
        <v>324</v>
      </c>
      <c r="Q25" s="10" t="s">
        <v>325</v>
      </c>
      <c r="R25" s="10" t="s">
        <v>326</v>
      </c>
      <c r="S25" s="10" t="s">
        <v>293</v>
      </c>
      <c r="BB25" s="14" t="s">
        <v>456</v>
      </c>
      <c r="BD25" s="14" t="s">
        <v>444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Row],[唯一識別碼]],Store_History[類型],$D$81)</f>
        <v>0</v>
      </c>
      <c r="M26" s="26">
        <f>SUMIFS(Store_History[数量],Store_History[唯一識別碼],Store_Setting[[#This Row],[唯一識別碼]],Store_History[類型],$E$81)</f>
        <v>0</v>
      </c>
      <c r="N26" s="5" t="s">
        <v>80</v>
      </c>
      <c r="O26" s="5" t="s">
        <v>80</v>
      </c>
      <c r="P26" s="10" t="s">
        <v>327</v>
      </c>
      <c r="Q26" s="10" t="s">
        <v>328</v>
      </c>
      <c r="R26" s="10" t="s">
        <v>329</v>
      </c>
      <c r="S26" s="10" t="s">
        <v>330</v>
      </c>
      <c r="BD26" s="14" t="s">
        <v>445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Row],[唯一識別碼]],Store_History[類型],$D$81)</f>
        <v>0</v>
      </c>
      <c r="M27" s="26">
        <f>SUMIFS(Store_History[数量],Store_History[唯一識別碼],Store_Setting[[#This Row],[唯一識別碼]],Store_History[類型],$E$81)</f>
        <v>0</v>
      </c>
      <c r="N27" s="5" t="s">
        <v>80</v>
      </c>
      <c r="O27" s="5" t="s">
        <v>80</v>
      </c>
      <c r="P27" s="10" t="s">
        <v>331</v>
      </c>
      <c r="Q27" s="10" t="s">
        <v>332</v>
      </c>
      <c r="R27" s="10" t="s">
        <v>333</v>
      </c>
      <c r="S27" s="10" t="s">
        <v>295</v>
      </c>
      <c r="BD27" s="14" t="s">
        <v>446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Row],[唯一識別碼]],Store_History[類型],$D$81)</f>
        <v>0</v>
      </c>
      <c r="M28" s="26">
        <f>SUMIFS(Store_History[数量],Store_History[唯一識別碼],Store_Setting[[#This Row],[唯一識別碼]],Store_History[類型],$E$81)</f>
        <v>0</v>
      </c>
      <c r="N28" s="5" t="s">
        <v>80</v>
      </c>
      <c r="O28" s="5" t="s">
        <v>80</v>
      </c>
      <c r="P28" s="10" t="s">
        <v>334</v>
      </c>
      <c r="Q28" s="10" t="s">
        <v>335</v>
      </c>
      <c r="R28" s="10" t="s">
        <v>336</v>
      </c>
      <c r="S28" s="10" t="s">
        <v>296</v>
      </c>
      <c r="BD28" s="14" t="s">
        <v>447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Row],[唯一識別碼]],Store_History[類型],$D$81)</f>
        <v>0</v>
      </c>
      <c r="M29" s="26">
        <f>SUMIFS(Store_History[数量],Store_History[唯一識別碼],Store_Setting[[#This Row],[唯一識別碼]],Store_History[類型],$E$81)</f>
        <v>0</v>
      </c>
      <c r="N29" s="5" t="s">
        <v>80</v>
      </c>
      <c r="O29" s="5" t="s">
        <v>80</v>
      </c>
      <c r="P29" s="10" t="s">
        <v>337</v>
      </c>
      <c r="Q29" s="10" t="s">
        <v>338</v>
      </c>
      <c r="R29" s="10" t="s">
        <v>339</v>
      </c>
      <c r="S29" s="10" t="s">
        <v>340</v>
      </c>
      <c r="BD29" s="14" t="s">
        <v>448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Row],[唯一識別碼]],Store_History[類型],$D$81)</f>
        <v>0</v>
      </c>
      <c r="M30" s="26">
        <f>SUMIFS(Store_History[数量],Store_History[唯一識別碼],Store_Setting[[#This Row],[唯一識別碼]],Store_History[類型],$E$81)</f>
        <v>0</v>
      </c>
      <c r="N30" s="5" t="s">
        <v>80</v>
      </c>
      <c r="O30" s="5" t="s">
        <v>80</v>
      </c>
      <c r="P30" s="10" t="s">
        <v>341</v>
      </c>
      <c r="Q30" s="10" t="s">
        <v>342</v>
      </c>
      <c r="R30" s="10" t="s">
        <v>343</v>
      </c>
      <c r="S30" s="10" t="s">
        <v>298</v>
      </c>
      <c r="BD30" s="14" t="s">
        <v>449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Row],[唯一識別碼]],Store_History[類型],$D$81)</f>
        <v>0</v>
      </c>
      <c r="M31" s="26">
        <f>SUMIFS(Store_History[数量],Store_History[唯一識別碼],Store_Setting[[#This Row],[唯一識別碼]],Store_History[類型],$E$81)</f>
        <v>0</v>
      </c>
      <c r="N31" s="5" t="s">
        <v>80</v>
      </c>
      <c r="O31" s="5" t="s">
        <v>80</v>
      </c>
      <c r="P31" s="10" t="s">
        <v>344</v>
      </c>
      <c r="Q31" s="10" t="s">
        <v>345</v>
      </c>
      <c r="R31" s="10" t="s">
        <v>346</v>
      </c>
      <c r="S31" s="10" t="s">
        <v>299</v>
      </c>
      <c r="BD31" s="14" t="s">
        <v>450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Row],[唯一識別碼]],Store_History[類型],$D$81)</f>
        <v>0</v>
      </c>
      <c r="M32" s="26">
        <f>SUMIFS(Store_History[数量],Store_History[唯一識別碼],Store_Setting[[#This Row],[唯一識別碼]],Store_History[類型],$E$81)</f>
        <v>0</v>
      </c>
      <c r="N32" s="5" t="s">
        <v>80</v>
      </c>
      <c r="O32" s="5" t="s">
        <v>80</v>
      </c>
      <c r="P32" s="10" t="s">
        <v>347</v>
      </c>
      <c r="Q32" s="10" t="s">
        <v>348</v>
      </c>
      <c r="R32" s="10" t="s">
        <v>349</v>
      </c>
      <c r="S32" s="10" t="s">
        <v>350</v>
      </c>
      <c r="BD32" s="14" t="s">
        <v>451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Row],[唯一識別碼]],Store_History[類型],$D$81)</f>
        <v>0</v>
      </c>
      <c r="M33" s="26">
        <f>SUMIFS(Store_History[数量],Store_History[唯一識別碼],Store_Setting[[#This Row],[唯一識別碼]],Store_History[類型],$E$81)</f>
        <v>0</v>
      </c>
      <c r="N33" s="5" t="s">
        <v>80</v>
      </c>
      <c r="O33" s="5" t="s">
        <v>80</v>
      </c>
      <c r="P33" s="10" t="s">
        <v>351</v>
      </c>
      <c r="Q33" s="10" t="s">
        <v>352</v>
      </c>
      <c r="R33" s="10" t="s">
        <v>353</v>
      </c>
      <c r="S33" s="10" t="s">
        <v>302</v>
      </c>
      <c r="BD33" s="14" t="s">
        <v>452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Row],[唯一識別碼]],Store_History[類型],$D$81)</f>
        <v>0</v>
      </c>
      <c r="M34" s="26">
        <f>SUMIFS(Store_History[数量],Store_History[唯一識別碼],Store_Setting[[#This Row],[唯一識別碼]],Store_History[類型],$E$81)</f>
        <v>0</v>
      </c>
      <c r="N34" s="5" t="s">
        <v>80</v>
      </c>
      <c r="O34" s="5" t="s">
        <v>80</v>
      </c>
      <c r="P34" s="10" t="s">
        <v>354</v>
      </c>
      <c r="Q34" s="10" t="s">
        <v>355</v>
      </c>
      <c r="R34" s="10" t="s">
        <v>356</v>
      </c>
      <c r="S34" s="10" t="s">
        <v>303</v>
      </c>
      <c r="BD34" s="14" t="s">
        <v>453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Row],[唯一識別碼]],Store_History[類型],$D$81)</f>
        <v>0</v>
      </c>
      <c r="M35" s="26">
        <f>SUMIFS(Store_History[数量],Store_History[唯一識別碼],Store_Setting[[#This Row],[唯一識別碼]],Store_History[類型],$E$81)</f>
        <v>0</v>
      </c>
      <c r="N35" s="5" t="s">
        <v>80</v>
      </c>
      <c r="O35" s="5" t="s">
        <v>80</v>
      </c>
      <c r="P35" s="10" t="s">
        <v>357</v>
      </c>
      <c r="Q35" s="10" t="s">
        <v>358</v>
      </c>
      <c r="R35" s="10" t="s">
        <v>359</v>
      </c>
      <c r="S35" s="10" t="s">
        <v>360</v>
      </c>
      <c r="BB35" s="14" t="s">
        <v>169</v>
      </c>
      <c r="BD35" s="14" t="s">
        <v>454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Row],[唯一識別碼]],Store_History[類型],$D$81)</f>
        <v>0</v>
      </c>
      <c r="M36" s="26">
        <f>SUMIFS(Store_History[数量],Store_History[唯一識別碼],Store_Setting[[#This Row],[唯一識別碼]],Store_History[類型],$E$81)</f>
        <v>0</v>
      </c>
      <c r="N36" s="5" t="s">
        <v>80</v>
      </c>
      <c r="O36" s="5" t="s">
        <v>80</v>
      </c>
      <c r="P36" s="10" t="s">
        <v>361</v>
      </c>
      <c r="Q36" s="10" t="s">
        <v>362</v>
      </c>
      <c r="R36" s="10" t="s">
        <v>363</v>
      </c>
      <c r="S36" s="10" t="s">
        <v>305</v>
      </c>
      <c r="BD36" s="14" t="s">
        <v>455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Row],[唯一識別碼]],Store_History[類型],$D$81)</f>
        <v>0</v>
      </c>
      <c r="M37" s="26">
        <f>SUMIFS(Store_History[数量],Store_History[唯一識別碼],Store_Setting[[#This Row],[唯一識別碼]],Store_History[類型],$E$81)</f>
        <v>0</v>
      </c>
      <c r="N37" s="5" t="s">
        <v>80</v>
      </c>
      <c r="O37" s="5" t="s">
        <v>80</v>
      </c>
      <c r="P37" s="10" t="s">
        <v>364</v>
      </c>
      <c r="Q37" s="10" t="s">
        <v>365</v>
      </c>
      <c r="R37" s="10" t="s">
        <v>366</v>
      </c>
      <c r="S37" s="10" t="s">
        <v>306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Row],[唯一識別碼]],Store_History[類型],$D$81)</f>
        <v>0</v>
      </c>
      <c r="M38" s="26">
        <f>SUMIFS(Store_History[数量],Store_History[唯一識別碼],Store_Setting[[#This Row],[唯一識別碼]],Store_History[類型],$E$81)</f>
        <v>0</v>
      </c>
      <c r="N38" s="5" t="s">
        <v>80</v>
      </c>
      <c r="O38" s="5" t="s">
        <v>80</v>
      </c>
      <c r="P38" s="10" t="s">
        <v>367</v>
      </c>
      <c r="Q38" s="10" t="s">
        <v>368</v>
      </c>
      <c r="R38" s="10" t="s">
        <v>369</v>
      </c>
      <c r="S38" s="10" t="s">
        <v>370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Row],[唯一識別碼]],Store_History[類型],$D$81)</f>
        <v>0</v>
      </c>
      <c r="M39" s="26">
        <f>SUMIFS(Store_History[数量],Store_History[唯一識別碼],Store_Setting[[#This Row],[唯一識別碼]],Store_History[類型],$E$81)</f>
        <v>0</v>
      </c>
      <c r="N39" s="5" t="s">
        <v>80</v>
      </c>
      <c r="O39" s="5" t="s">
        <v>80</v>
      </c>
      <c r="P39" s="10" t="s">
        <v>371</v>
      </c>
      <c r="Q39" s="10" t="s">
        <v>372</v>
      </c>
      <c r="R39" s="10" t="s">
        <v>373</v>
      </c>
      <c r="S39" s="10" t="s">
        <v>308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Row],[唯一識別碼]],Store_History[類型],$D$81)</f>
        <v>0</v>
      </c>
      <c r="M40" s="26">
        <f>SUMIFS(Store_History[数量],Store_History[唯一識別碼],Store_Setting[[#This Row],[唯一識別碼]],Store_History[類型],$E$81)</f>
        <v>0</v>
      </c>
      <c r="N40" s="5" t="s">
        <v>80</v>
      </c>
      <c r="O40" s="5" t="s">
        <v>80</v>
      </c>
      <c r="P40" s="10" t="s">
        <v>374</v>
      </c>
      <c r="Q40" s="10" t="s">
        <v>375</v>
      </c>
      <c r="R40" s="10" t="s">
        <v>376</v>
      </c>
      <c r="S40" s="10" t="s">
        <v>309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Row],[唯一識別碼]],Store_History[類型],$D$81)</f>
        <v>0</v>
      </c>
      <c r="M41" s="26">
        <f>SUMIFS(Store_History[数量],Store_History[唯一識別碼],Store_Setting[[#This Row],[唯一識別碼]],Store_History[類型],$E$81)</f>
        <v>0</v>
      </c>
      <c r="N41" s="5" t="s">
        <v>80</v>
      </c>
      <c r="O41" s="5" t="s">
        <v>80</v>
      </c>
      <c r="P41" s="10" t="s">
        <v>377</v>
      </c>
      <c r="Q41" s="10" t="s">
        <v>378</v>
      </c>
      <c r="R41" s="10" t="s">
        <v>379</v>
      </c>
      <c r="S41" s="10" t="s">
        <v>380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Row],[唯一識別碼]],Store_History[類型],$D$81)</f>
        <v>0</v>
      </c>
      <c r="M42" s="26">
        <f>SUMIFS(Store_History[数量],Store_History[唯一識別碼],Store_Setting[[#This Row],[唯一識別碼]],Store_History[類型],$E$81)</f>
        <v>0</v>
      </c>
      <c r="N42" s="5" t="s">
        <v>80</v>
      </c>
      <c r="O42" s="5" t="s">
        <v>80</v>
      </c>
      <c r="P42" s="10" t="s">
        <v>381</v>
      </c>
      <c r="Q42" s="10" t="s">
        <v>382</v>
      </c>
      <c r="R42" s="10" t="s">
        <v>383</v>
      </c>
      <c r="S42" s="10" t="s">
        <v>312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Row],[唯一識別碼]],Store_History[類型],$D$81)</f>
        <v>0</v>
      </c>
      <c r="M43" s="26">
        <f>SUMIFS(Store_History[数量],Store_History[唯一識別碼],Store_Setting[[#This Row],[唯一識別碼]],Store_History[類型],$E$81)</f>
        <v>0</v>
      </c>
      <c r="N43" s="5" t="s">
        <v>80</v>
      </c>
      <c r="O43" s="5" t="s">
        <v>80</v>
      </c>
      <c r="P43" s="10" t="s">
        <v>384</v>
      </c>
      <c r="Q43" s="10" t="s">
        <v>385</v>
      </c>
      <c r="R43" s="10" t="s">
        <v>386</v>
      </c>
      <c r="S43" s="10" t="s">
        <v>313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Row],[唯一識別碼]],Store_History[類型],$D$81)</f>
        <v>0</v>
      </c>
      <c r="M44" s="26">
        <f>SUMIFS(Store_History[数量],Store_History[唯一識別碼],Store_Setting[[#This Row],[唯一識別碼]],Store_History[類型],$E$81)</f>
        <v>0</v>
      </c>
      <c r="N44" s="5" t="s">
        <v>80</v>
      </c>
      <c r="O44" s="5" t="s">
        <v>80</v>
      </c>
      <c r="P44" s="10" t="s">
        <v>387</v>
      </c>
      <c r="Q44" s="10" t="s">
        <v>388</v>
      </c>
      <c r="R44" s="10" t="s">
        <v>389</v>
      </c>
      <c r="S44" s="10" t="s">
        <v>390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Row],[唯一識別碼]],Store_History[類型],$D$81)</f>
        <v>0</v>
      </c>
      <c r="M45" s="26">
        <f>SUMIFS(Store_History[数量],Store_History[唯一識別碼],Store_Setting[[#This Row],[唯一識別碼]],Store_History[類型],$E$81)</f>
        <v>0</v>
      </c>
      <c r="N45" s="5" t="s">
        <v>80</v>
      </c>
      <c r="O45" s="5" t="s">
        <v>80</v>
      </c>
      <c r="P45" s="10" t="s">
        <v>391</v>
      </c>
      <c r="Q45" s="10" t="s">
        <v>392</v>
      </c>
      <c r="R45" s="10" t="s">
        <v>393</v>
      </c>
      <c r="S45" s="10" t="s">
        <v>315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Row],[唯一識別碼]],Store_History[類型],$D$81)</f>
        <v>0</v>
      </c>
      <c r="M46" s="26">
        <f>SUMIFS(Store_History[数量],Store_History[唯一識別碼],Store_Setting[[#This Row],[唯一識別碼]],Store_History[類型],$E$81)</f>
        <v>0</v>
      </c>
      <c r="N46" s="5" t="s">
        <v>80</v>
      </c>
      <c r="O46" s="5" t="s">
        <v>80</v>
      </c>
      <c r="P46" s="10" t="s">
        <v>394</v>
      </c>
      <c r="Q46" s="10" t="s">
        <v>395</v>
      </c>
      <c r="R46" s="10" t="s">
        <v>396</v>
      </c>
      <c r="S46" s="10" t="s">
        <v>316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Row],[唯一識別碼]],Store_History[類型],$D$81)</f>
        <v>0</v>
      </c>
      <c r="M47" s="26">
        <f>SUMIFS(Store_History[数量],Store_History[唯一識別碼],Store_Setting[[#This Row],[唯一識別碼]],Store_History[類型],$E$81)</f>
        <v>0</v>
      </c>
      <c r="N47" s="5" t="s">
        <v>80</v>
      </c>
      <c r="O47" s="5" t="s">
        <v>80</v>
      </c>
      <c r="P47" s="10" t="s">
        <v>397</v>
      </c>
      <c r="Q47" s="10" t="s">
        <v>398</v>
      </c>
      <c r="R47" s="10" t="s">
        <v>399</v>
      </c>
      <c r="S47" s="10" t="s">
        <v>400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Row],[唯一識別碼]],Store_History[類型],$D$81)</f>
        <v>0</v>
      </c>
      <c r="M48" s="26">
        <f>SUMIFS(Store_History[数量],Store_History[唯一識別碼],Store_Setting[[#This Row],[唯一識別碼]],Store_History[類型],$E$81)</f>
        <v>0</v>
      </c>
      <c r="N48" s="5" t="s">
        <v>80</v>
      </c>
      <c r="O48" s="5" t="s">
        <v>80</v>
      </c>
      <c r="P48" s="10" t="s">
        <v>401</v>
      </c>
      <c r="Q48" s="10" t="s">
        <v>402</v>
      </c>
      <c r="R48" s="10" t="s">
        <v>403</v>
      </c>
      <c r="S48" s="10" t="s">
        <v>318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Row],[唯一識別碼]],Store_History[類型],$D$81)</f>
        <v>0</v>
      </c>
      <c r="M49" s="26">
        <f>SUMIFS(Store_History[数量],Store_History[唯一識別碼],Store_Setting[[#This Row],[唯一識別碼]],Store_History[類型],$E$81)</f>
        <v>0</v>
      </c>
      <c r="N49" s="5" t="s">
        <v>80</v>
      </c>
      <c r="O49" s="5" t="s">
        <v>80</v>
      </c>
      <c r="P49" s="10" t="s">
        <v>404</v>
      </c>
      <c r="Q49" s="10" t="s">
        <v>405</v>
      </c>
      <c r="R49" s="10" t="s">
        <v>406</v>
      </c>
      <c r="S49" s="10" t="s">
        <v>319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Row],[唯一識別碼]],Store_History[類型],$D$81)</f>
        <v>0</v>
      </c>
      <c r="M50" s="26">
        <f>SUMIFS(Store_History[数量],Store_History[唯一識別碼],Store_Setting[[#This Row],[唯一識別碼]],Store_History[類型],$E$81)</f>
        <v>0</v>
      </c>
      <c r="N50" s="5" t="s">
        <v>80</v>
      </c>
      <c r="O50" s="5" t="s">
        <v>80</v>
      </c>
      <c r="P50" s="10" t="s">
        <v>407</v>
      </c>
      <c r="Q50" s="10" t="s">
        <v>408</v>
      </c>
      <c r="R50" s="10" t="s">
        <v>409</v>
      </c>
      <c r="S50" s="10" t="s">
        <v>410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/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416</v>
      </c>
      <c r="K56" s="70" t="s">
        <v>417</v>
      </c>
      <c r="L56" s="70" t="s">
        <v>208</v>
      </c>
      <c r="M56" s="70" t="s">
        <v>470</v>
      </c>
      <c r="N56" s="70" t="s">
        <v>429</v>
      </c>
      <c r="O56" s="71"/>
    </row>
    <row r="57" spans="2:19" ht="40" customHeight="1">
      <c r="B57" s="63"/>
      <c r="C57" s="31" t="s">
        <v>197</v>
      </c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2" t="s">
        <v>418</v>
      </c>
      <c r="K57" s="71"/>
      <c r="L57" s="71"/>
      <c r="M57" s="71"/>
      <c r="N57" s="71"/>
      <c r="O57" s="71"/>
    </row>
    <row r="58" spans="2:19" ht="40" customHeight="1">
      <c r="B58" s="63"/>
      <c r="C58" s="66" t="s">
        <v>420</v>
      </c>
      <c r="D58" s="19" t="s">
        <v>419</v>
      </c>
      <c r="E58" s="19" t="s">
        <v>419</v>
      </c>
      <c r="F58" s="19" t="s">
        <v>439</v>
      </c>
      <c r="G58" s="19" t="s">
        <v>439</v>
      </c>
      <c r="H58" s="19" t="s">
        <v>439</v>
      </c>
      <c r="I58" s="19" t="s">
        <v>439</v>
      </c>
      <c r="J58" s="19" t="s">
        <v>419</v>
      </c>
      <c r="K58" s="19" t="s">
        <v>419</v>
      </c>
      <c r="L58" s="19" t="s">
        <v>419</v>
      </c>
      <c r="M58" s="19" t="s">
        <v>419</v>
      </c>
      <c r="N58" s="19" t="s">
        <v>419</v>
      </c>
      <c r="O58" s="71"/>
    </row>
    <row r="59" spans="2:19" ht="40" customHeight="1">
      <c r="B59" s="63"/>
      <c r="C59" s="66" t="s">
        <v>421</v>
      </c>
      <c r="D59" s="19" t="s">
        <v>419</v>
      </c>
      <c r="E59" s="19" t="s">
        <v>419</v>
      </c>
      <c r="F59" s="19" t="s">
        <v>419</v>
      </c>
      <c r="G59" s="19" t="s">
        <v>419</v>
      </c>
      <c r="H59" s="19" t="s">
        <v>419</v>
      </c>
      <c r="I59" s="19" t="s">
        <v>419</v>
      </c>
      <c r="J59" s="72"/>
      <c r="K59" s="19" t="s">
        <v>419</v>
      </c>
      <c r="L59" s="19" t="s">
        <v>419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423</v>
      </c>
      <c r="D62" s="19" t="s">
        <v>80</v>
      </c>
      <c r="E62" s="73" t="s">
        <v>424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426</v>
      </c>
      <c r="D70" s="90" t="s">
        <v>467</v>
      </c>
      <c r="E70" s="19">
        <v>1</v>
      </c>
      <c r="F70" s="72" t="s">
        <v>468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469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461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50.05" customHeight="1">
      <c r="B75" s="63" t="s">
        <v>153</v>
      </c>
      <c r="C75" s="31" t="s">
        <v>463</v>
      </c>
      <c r="D75" s="69" t="s">
        <v>464</v>
      </c>
      <c r="E75" s="69" t="s">
        <v>474</v>
      </c>
      <c r="F75" s="69" t="s">
        <v>473</v>
      </c>
      <c r="G75" s="69" t="s">
        <v>472</v>
      </c>
      <c r="H75" s="72" t="s">
        <v>471</v>
      </c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19" t="s">
        <v>81</v>
      </c>
      <c r="E76" s="19" t="s">
        <v>80</v>
      </c>
      <c r="F76" s="19" t="s">
        <v>80</v>
      </c>
      <c r="G76" s="19" t="s">
        <v>80</v>
      </c>
      <c r="H76" s="71"/>
      <c r="I76" s="71"/>
      <c r="J76" s="71"/>
      <c r="K76" s="71"/>
      <c r="L76" s="71"/>
      <c r="M76" s="71"/>
      <c r="N76" s="71"/>
      <c r="O76" s="71"/>
    </row>
    <row r="77" spans="2:15" ht="40" customHeight="1">
      <c r="B77" s="63"/>
      <c r="C77" s="31"/>
      <c r="D77" s="69" t="s">
        <v>465</v>
      </c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64"/>
    </row>
    <row r="78" spans="2:15" ht="8.15" hidden="1" customHeight="1"/>
    <row r="79" spans="2:15" ht="40" hidden="1" customHeight="1">
      <c r="B79" s="74" t="s">
        <v>159</v>
      </c>
      <c r="C79" s="31" t="s">
        <v>211</v>
      </c>
      <c r="D79" s="75" t="s">
        <v>3</v>
      </c>
      <c r="E79" s="75" t="s">
        <v>4</v>
      </c>
      <c r="F79" s="76"/>
      <c r="G79" s="76"/>
      <c r="H79" s="76"/>
      <c r="I79" s="76"/>
      <c r="J79" s="76"/>
      <c r="K79" s="76"/>
      <c r="L79" s="76"/>
      <c r="M79" s="76"/>
      <c r="N79" s="76"/>
      <c r="O79" s="76"/>
    </row>
    <row r="80" spans="2:15" ht="8.15" hidden="1" customHeight="1">
      <c r="B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 ht="40" hidden="1" customHeight="1">
      <c r="B81" s="74" t="s">
        <v>425</v>
      </c>
      <c r="C81" s="31" t="s">
        <v>466</v>
      </c>
      <c r="D81" s="75" t="s">
        <v>189</v>
      </c>
      <c r="E81" s="75" t="s">
        <v>190</v>
      </c>
      <c r="F81" s="76"/>
      <c r="G81" s="76"/>
      <c r="H81" s="76"/>
      <c r="I81" s="76"/>
      <c r="J81" s="76"/>
      <c r="K81" s="76"/>
      <c r="L81" s="76"/>
      <c r="M81" s="76"/>
      <c r="N81" s="76"/>
      <c r="O81" s="76"/>
    </row>
    <row r="82" spans="2:15" ht="8.15" hidden="1" customHeight="1">
      <c r="B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 ht="40" hidden="1" customHeight="1">
      <c r="B83" s="74" t="s">
        <v>462</v>
      </c>
      <c r="C83" s="31" t="s">
        <v>199</v>
      </c>
      <c r="D83" s="75" t="s">
        <v>5</v>
      </c>
      <c r="E83" s="75" t="s">
        <v>6</v>
      </c>
      <c r="F83" s="76"/>
      <c r="G83" s="76"/>
      <c r="H83" s="76"/>
      <c r="I83" s="76"/>
      <c r="J83" s="76"/>
      <c r="K83" s="76"/>
      <c r="L83" s="76"/>
      <c r="M83" s="76"/>
      <c r="N83" s="76"/>
      <c r="O83" s="76"/>
    </row>
    <row r="84" spans="2:15" ht="8.15" customHeight="1">
      <c r="B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 ht="40" customHeight="1">
      <c r="B85" s="74" t="s">
        <v>181</v>
      </c>
      <c r="C85" s="77" t="s">
        <v>166</v>
      </c>
      <c r="D85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187</v>
      </c>
      <c r="D86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169</v>
      </c>
      <c r="D87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1"/>
      <c r="F87" s="31"/>
      <c r="G87" s="78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167</v>
      </c>
      <c r="D88" s="72" t="str">
        <f>_xlfn.CONCAT("共有 ", COUNTA(Get_Staff_Member)," 位元員工")</f>
        <v>共有 2 位元員工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40" customHeight="1">
      <c r="B89" s="74"/>
      <c r="C89" s="77" t="s">
        <v>188</v>
      </c>
      <c r="D89" s="72" t="str">
        <f>_xlfn.CONCAT("已設定 ", COUNTA(Get_Work_Unit)," 個單位")</f>
        <v>已設定 7 個單位</v>
      </c>
      <c r="E89" s="7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2:15" ht="16" customHeight="1"/>
    <row r="91" spans="2:15" ht="40" customHeight="1">
      <c r="B91" s="79" t="s">
        <v>193</v>
      </c>
      <c r="C91" s="79"/>
      <c r="D91" s="79"/>
      <c r="E91" s="79"/>
    </row>
    <row r="92" spans="2:15" ht="40" customHeight="1">
      <c r="B92" s="80" t="s">
        <v>191</v>
      </c>
      <c r="C92" s="8" t="s">
        <v>83</v>
      </c>
      <c r="D92" s="9"/>
      <c r="E92" s="9"/>
    </row>
    <row r="93" spans="2:15" ht="40" customHeight="1">
      <c r="B93" s="80" t="s">
        <v>12</v>
      </c>
      <c r="C93" s="81" t="s">
        <v>11</v>
      </c>
      <c r="D93" s="82"/>
      <c r="E93" s="82"/>
    </row>
    <row r="94" spans="2:15" ht="40" customHeight="1">
      <c r="B94" s="80" t="s">
        <v>192</v>
      </c>
      <c r="C94" s="8" t="s">
        <v>82</v>
      </c>
      <c r="D94" s="9"/>
      <c r="E94" s="9"/>
    </row>
    <row r="95" spans="2:15" ht="40" customHeight="1">
      <c r="B95" s="80" t="s">
        <v>79</v>
      </c>
      <c r="C95" s="8" t="s">
        <v>415</v>
      </c>
      <c r="D95" s="8"/>
      <c r="E95" s="8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427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430</v>
      </c>
      <c r="J5" s="54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272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422</v>
      </c>
      <c r="EE4" s="103" t="s">
        <v>470</v>
      </c>
      <c r="EF4" s="103"/>
      <c r="EG4" s="103"/>
      <c r="EH4" s="52" t="s">
        <v>429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431</v>
      </c>
      <c r="EF6" s="24" t="s">
        <v>270</v>
      </c>
      <c r="EG6" s="24" t="s">
        <v>271</v>
      </c>
      <c r="EH6" s="24" t="s">
        <v>427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430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440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430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429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427</v>
      </c>
    </row>
    <row r="7" spans="2:48" ht="40" customHeight="1">
      <c r="B7" s="10" cm="1">
        <f t="array" ref="B7">SN</f>
        <v>1</v>
      </c>
      <c r="C7" s="91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430</v>
      </c>
      <c r="AV7" s="10" t="s">
        <v>440</v>
      </c>
    </row>
    <row r="8" spans="2:48" ht="40" customHeight="1">
      <c r="B8" s="10" cm="1">
        <f t="array" ref="B8">SN</f>
        <v>2</v>
      </c>
      <c r="C8" s="91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430</v>
      </c>
      <c r="AV8" s="10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2024-03-03T21:24:52Z</dcterms:modified>
</cp:coreProperties>
</file>