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81EAD2CC-DE2F-471D-BC14-7C6F15F4825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<sst xmlns="http://schemas.openxmlformats.org/spreadsheetml/2006/main" count="696" uniqueCount="478">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</sst>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3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5" customFormat="1" ht="6" customHeight="1"/>
    <row r="2" spans="2:56" s="56" customFormat="1" ht="10" customHeight="1"/>
    <row r="3" spans="2:56" s="56" customFormat="1" ht="40" customHeight="1">
      <c r="B3" s="57"/>
      <c r="C3" s="58" t="s">
        <v>168</v>
      </c>
    </row>
    <row r="4" spans="2:56" s="56" customFormat="1" ht="8.15" customHeight="1">
      <c r="B4" s="57"/>
      <c r="C4" s="59"/>
    </row>
    <row r="5" spans="2:56" s="56" customFormat="1" ht="40" customHeight="1">
      <c r="B5" s="57"/>
      <c r="C5" s="60" t="s">
        <v>170</v>
      </c>
    </row>
    <row r="6" spans="2:56" ht="16.5" customHeight="1">
      <c r="G6" s="61"/>
      <c r="H6" s="61"/>
      <c r="I6" s="61"/>
      <c r="J6" s="61"/>
      <c r="K6" s="61"/>
    </row>
    <row r="7" spans="2:56" ht="40" customHeight="1">
      <c r="B7" s="62" t="s">
        <v>7</v>
      </c>
      <c r="C7" s="30" t="s">
        <v>171</v>
      </c>
      <c r="D7" s="35" t="s">
        <v>11</v>
      </c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BB7" s="13" t="s">
        <v>459</v>
      </c>
    </row>
    <row r="8" spans="2:56" ht="8.15" customHeight="1"/>
    <row r="9" spans="2:56" ht="40" customHeight="1">
      <c r="B9" s="62" t="s">
        <v>8</v>
      </c>
      <c r="C9" s="30" t="s">
        <v>172</v>
      </c>
      <c r="D9" s="30"/>
      <c r="E9" s="30"/>
      <c r="F9" s="30"/>
      <c r="G9" s="30" t="s">
        <v>181</v>
      </c>
      <c r="H9" s="99" t="s">
        <v>182</v>
      </c>
      <c r="I9" s="99"/>
      <c r="J9" s="99"/>
      <c r="K9" s="100" t="s">
        <v>183</v>
      </c>
      <c r="L9" s="100"/>
      <c r="M9" s="100"/>
      <c r="N9" s="100" t="s">
        <v>412</v>
      </c>
      <c r="O9" s="100"/>
      <c r="P9" s="100" t="s">
        <v>411</v>
      </c>
      <c r="Q9" s="100"/>
      <c r="R9" s="100"/>
      <c r="S9" s="100"/>
      <c r="BB9" s="13" t="s">
        <v>458</v>
      </c>
      <c r="BC9" s="13" t="s">
        <v>210</v>
      </c>
      <c r="BD9" s="13" t="s">
        <v>434</v>
      </c>
    </row>
    <row r="10" spans="2:56" ht="40" customHeight="1">
      <c r="B10" s="62"/>
      <c r="C10" s="30"/>
      <c r="D10" s="31" t="s">
        <v>173</v>
      </c>
      <c r="E10" s="31" t="s">
        <v>174</v>
      </c>
      <c r="F10" s="31" t="s">
        <v>175</v>
      </c>
      <c r="G10" s="31" t="s">
        <v>176</v>
      </c>
      <c r="H10" s="31" t="s">
        <v>177</v>
      </c>
      <c r="I10" s="31" t="s">
        <v>151</v>
      </c>
      <c r="J10" s="31" t="s">
        <v>152</v>
      </c>
      <c r="K10" s="31" t="s">
        <v>178</v>
      </c>
      <c r="L10" s="31" t="s">
        <v>179</v>
      </c>
      <c r="M10" s="31" t="s">
        <v>180</v>
      </c>
      <c r="N10" s="31" t="s">
        <v>414</v>
      </c>
      <c r="O10" s="31" t="s">
        <v>413</v>
      </c>
      <c r="P10" s="31" t="s">
        <v>273</v>
      </c>
      <c r="Q10" s="31" t="s">
        <v>274</v>
      </c>
      <c r="R10" s="31" t="s">
        <v>275</v>
      </c>
      <c r="S10" s="31" t="s">
        <v>276</v>
      </c>
      <c r="BC10" s="13" t="s">
        <v>432</v>
      </c>
      <c r="BD10" s="13" t="s">
        <v>80</v>
      </c>
    </row>
    <row r="11" spans="2:56" ht="40" customHeight="1">
      <c r="B11" s="62"/>
      <c r="C11" s="30"/>
      <c r="D11" s="64" t="str">
        <f>CONCATENATE(Store_Setting[[#This Row],[商品序號]], IF(Store_Setting[[#This Row],[商品名稱]]="","", _xlfn.CONCAT(" | ",_xlfn.SINGLE(Store_Setting[商品名稱]))))</f>
        <v>1 | 1</v>
      </c>
      <c r="E11" s="9">
        <v>1</v>
      </c>
      <c r="F11" s="34">
        <v>1</v>
      </c>
      <c r="G11" s="32">
        <f>Store_Setting[[#This Row],[庫存負差]]-SUM(Store_Setting[[#This Row],[已存入]]-Store_Setting[[#This Row],[已支取]])</f>
        <v>0</v>
      </c>
      <c r="H11" s="25">
        <f>SUM(UserInfo[1 - 剩餘])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Row],[入庫小計]]-Store_Setting[[#This Row],[取貨小計]]</f>
        <v>0</v>
      </c>
      <c r="L11" s="25">
        <f>SUMIFS(Store_History[数量],Store_History[唯一識別碼],Store_Setting[[#This Row],[唯一識別碼]],Store_History[類型],$D$81)</f>
        <v>0</v>
      </c>
      <c r="M11" s="25">
        <f>SUMIFS(Store_History[数量],Store_History[唯一識別碼],Store_Setting[[#This Row],[唯一識別碼]],Store_History[類型],$E$81)</f>
        <v>0</v>
      </c>
      <c r="N11" s="4" t="s">
        <v>80</v>
      </c>
      <c r="O11" s="4" t="s">
        <v>80</v>
      </c>
      <c r="P11" s="9" t="s">
        <v>277</v>
      </c>
      <c r="Q11" s="9" t="s">
        <v>278</v>
      </c>
      <c r="R11" s="9" t="s">
        <v>279</v>
      </c>
      <c r="S11" s="9" t="s">
        <v>280</v>
      </c>
      <c r="BC11" s="13" t="s">
        <v>433</v>
      </c>
      <c r="BD11" s="13" t="s">
        <v>81</v>
      </c>
    </row>
    <row r="12" spans="2:56" ht="40" customHeight="1">
      <c r="B12" s="62"/>
      <c r="C12" s="30"/>
      <c r="D12" s="64" t="str">
        <f>CONCATENATE(Store_Setting[[#This Row],[商品序號]], IF(Store_Setting[[#This Row],[商品名稱]]="","", _xlfn.CONCAT(" | ",_xlfn.SINGLE(Store_Setting[商品名稱]))))</f>
        <v>2 | 2</v>
      </c>
      <c r="E12" s="9">
        <v>2</v>
      </c>
      <c r="F12" s="34">
        <v>2</v>
      </c>
      <c r="G12" s="32">
        <f>Store_Setting[[#This Row],[庫存負差]]-SUM(Store_Setting[[#This Row],[已存入]]-Store_Setting[[#This Row],[已支取]])</f>
        <v>0</v>
      </c>
      <c r="H12" s="25">
        <f>SUM(UserInfo[2 - 剩餘])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Row],[入庫小計]]-Store_Setting[[#This Row],[取貨小計]]</f>
        <v>0</v>
      </c>
      <c r="L12" s="25">
        <f>SUMIFS(Store_History[数量],Store_History[唯一識別碼],Store_Setting[[#This Row],[唯一識別碼]],Store_History[類型],$D$81)</f>
        <v>0</v>
      </c>
      <c r="M12" s="25">
        <f>SUMIFS(Store_History[数量],Store_History[唯一識別碼],Store_Setting[[#This Row],[唯一識別碼]],Store_History[類型],$E$81)</f>
        <v>0</v>
      </c>
      <c r="N12" s="4" t="s">
        <v>80</v>
      </c>
      <c r="O12" s="4" t="s">
        <v>80</v>
      </c>
      <c r="P12" s="9" t="s">
        <v>281</v>
      </c>
      <c r="Q12" s="9" t="s">
        <v>282</v>
      </c>
      <c r="R12" s="9" t="s">
        <v>283</v>
      </c>
      <c r="S12" s="9" t="s">
        <v>278</v>
      </c>
      <c r="BD12" s="13" t="s">
        <v>173</v>
      </c>
    </row>
    <row r="13" spans="2:56" ht="40" customHeight="1">
      <c r="B13" s="62"/>
      <c r="C13" s="30"/>
      <c r="D13" s="64" t="str">
        <f>CONCATENATE(Store_Setting[[#This Row],[商品序號]], IF(Store_Setting[[#This Row],[商品名稱]]="","", _xlfn.CONCAT(" | ",_xlfn.SINGLE(Store_Setting[商品名稱]))))</f>
        <v>3</v>
      </c>
      <c r="E13" s="9">
        <v>3</v>
      </c>
      <c r="F13" s="34"/>
      <c r="G13" s="32">
        <f>Store_Setting[[#This Row],[庫存負差]]-SUM(Store_Setting[[#This Row],[已存入]]-Store_Setting[[#This Row],[已支取]])</f>
        <v>0</v>
      </c>
      <c r="H13" s="25">
        <f>SUM(UserInfo[3 - 剩餘])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Row],[入庫小計]]-Store_Setting[[#This Row],[取貨小計]]</f>
        <v>0</v>
      </c>
      <c r="L13" s="25">
        <f>SUMIFS(Store_History[数量],Store_History[唯一識別碼],Store_Setting[[#This Row],[唯一識別碼]],Store_History[類型],$D$81)</f>
        <v>0</v>
      </c>
      <c r="M13" s="25">
        <f>SUMIFS(Store_History[数量],Store_History[唯一識別碼],Store_Setting[[#This Row],[唯一識別碼]],Store_History[類型],$E$81)</f>
        <v>0</v>
      </c>
      <c r="N13" s="4" t="s">
        <v>80</v>
      </c>
      <c r="O13" s="4" t="s">
        <v>80</v>
      </c>
      <c r="P13" s="9" t="s">
        <v>284</v>
      </c>
      <c r="Q13" s="9" t="s">
        <v>285</v>
      </c>
      <c r="R13" s="9" t="s">
        <v>286</v>
      </c>
      <c r="S13" s="9" t="s">
        <v>279</v>
      </c>
      <c r="BD13" s="13" t="s">
        <v>435</v>
      </c>
    </row>
    <row r="14" spans="2:56" ht="40" customHeight="1">
      <c r="B14" s="62"/>
      <c r="C14" s="30"/>
      <c r="D14" s="64" t="str">
        <f>CONCATENATE(Store_Setting[[#This Row],[商品序號]], IF(Store_Setting[[#This Row],[商品名稱]]="","", _xlfn.CONCAT(" | ",_xlfn.SINGLE(Store_Setting[商品名稱]))))</f>
        <v>4</v>
      </c>
      <c r="E14" s="9">
        <v>4</v>
      </c>
      <c r="F14" s="34"/>
      <c r="G14" s="32">
        <f>Store_Setting[[#This Row],[庫存負差]]-SUM(Store_Setting[[#This Row],[已存入]]-Store_Setting[[#This Row],[已支取]])</f>
        <v>0</v>
      </c>
      <c r="H14" s="25">
        <f>SUM(UserInfo[4 - 剩餘])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Row],[入庫小計]]-Store_Setting[[#This Row],[取貨小計]]</f>
        <v>0</v>
      </c>
      <c r="L14" s="25">
        <f>SUMIFS(Store_History[数量],Store_History[唯一識別碼],Store_Setting[[#This Row],[唯一識別碼]],Store_History[類型],$D$81)</f>
        <v>0</v>
      </c>
      <c r="M14" s="25">
        <f>SUMIFS(Store_History[数量],Store_History[唯一識別碼],Store_Setting[[#This Row],[唯一識別碼]],Store_History[類型],$E$81)</f>
        <v>0</v>
      </c>
      <c r="N14" s="4" t="s">
        <v>80</v>
      </c>
      <c r="O14" s="4" t="s">
        <v>80</v>
      </c>
      <c r="P14" s="9" t="s">
        <v>287</v>
      </c>
      <c r="Q14" s="9" t="s">
        <v>288</v>
      </c>
      <c r="R14" s="9" t="s">
        <v>289</v>
      </c>
      <c r="S14" s="9" t="s">
        <v>290</v>
      </c>
      <c r="BD14" s="13" t="s">
        <v>436</v>
      </c>
    </row>
    <row r="15" spans="2:56" ht="40" customHeight="1">
      <c r="B15" s="62"/>
      <c r="C15" s="30"/>
      <c r="D15" s="64" t="str">
        <f>CONCATENATE(Store_Setting[[#This Row],[商品序號]], IF(Store_Setting[[#This Row],[商品名稱]]="","", _xlfn.CONCAT(" | ",_xlfn.SINGLE(Store_Setting[商品名稱]))))</f>
        <v>5</v>
      </c>
      <c r="E15" s="9">
        <v>5</v>
      </c>
      <c r="F15" s="34"/>
      <c r="G15" s="32">
        <f>Store_Setting[[#This Row],[庫存負差]]-SUM(Store_Setting[[#This Row],[已存入]]-Store_Setting[[#This Row],[已支取]])</f>
        <v>0</v>
      </c>
      <c r="H15" s="25">
        <f>SUM(UserInfo[5 - 剩餘])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Row],[入庫小計]]-Store_Setting[[#This Row],[取貨小計]]</f>
        <v>0</v>
      </c>
      <c r="L15" s="25">
        <f>SUMIFS(Store_History[数量],Store_History[唯一識別碼],Store_Setting[[#This Row],[唯一識別碼]],Store_History[類型],$D$81)</f>
        <v>0</v>
      </c>
      <c r="M15" s="25">
        <f>SUMIFS(Store_History[数量],Store_History[唯一識別碼],Store_Setting[[#This Row],[唯一識別碼]],Store_History[類型],$E$81)</f>
        <v>0</v>
      </c>
      <c r="N15" s="4" t="s">
        <v>80</v>
      </c>
      <c r="O15" s="4" t="s">
        <v>80</v>
      </c>
      <c r="P15" s="9" t="s">
        <v>291</v>
      </c>
      <c r="Q15" s="9" t="s">
        <v>292</v>
      </c>
      <c r="R15" s="9" t="s">
        <v>293</v>
      </c>
      <c r="S15" s="9" t="s">
        <v>282</v>
      </c>
      <c r="BD15" s="13" t="s">
        <v>437</v>
      </c>
    </row>
    <row r="16" spans="2:56" ht="40" customHeight="1">
      <c r="B16" s="62"/>
      <c r="C16" s="30"/>
      <c r="D16" s="64" t="str">
        <f>CONCATENATE(Store_Setting[[#This Row],[商品序號]], IF(Store_Setting[[#This Row],[商品名稱]]="","", _xlfn.CONCAT(" | ",_xlfn.SINGLE(Store_Setting[商品名稱]))))</f>
        <v>6</v>
      </c>
      <c r="E16" s="9">
        <v>6</v>
      </c>
      <c r="F16" s="34"/>
      <c r="G16" s="32">
        <f>Store_Setting[[#This Row],[庫存負差]]-SUM(Store_Setting[[#This Row],[已存入]]-Store_Setting[[#This Row],[已支取]])</f>
        <v>0</v>
      </c>
      <c r="H16" s="25">
        <f>SUM(UserInfo[6 - 剩餘])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Row],[入庫小計]]-Store_Setting[[#This Row],[取貨小計]]</f>
        <v>0</v>
      </c>
      <c r="L16" s="25">
        <f>SUMIFS(Store_History[数量],Store_History[唯一識別碼],Store_Setting[[#This Row],[唯一識別碼]],Store_History[類型],$D$81)</f>
        <v>0</v>
      </c>
      <c r="M16" s="25">
        <f>SUMIFS(Store_History[数量],Store_History[唯一識別碼],Store_Setting[[#This Row],[唯一識別碼]],Store_History[類型],$E$81)</f>
        <v>0</v>
      </c>
      <c r="N16" s="4" t="s">
        <v>80</v>
      </c>
      <c r="O16" s="4" t="s">
        <v>80</v>
      </c>
      <c r="P16" s="9" t="s">
        <v>294</v>
      </c>
      <c r="Q16" s="9" t="s">
        <v>295</v>
      </c>
      <c r="R16" s="9" t="s">
        <v>296</v>
      </c>
      <c r="S16" s="9" t="s">
        <v>283</v>
      </c>
      <c r="BD16" s="13" t="s">
        <v>438</v>
      </c>
    </row>
    <row r="17" spans="2:56" ht="40" customHeight="1">
      <c r="B17" s="62"/>
      <c r="C17" s="30"/>
      <c r="D17" s="64" t="str">
        <f>CONCATENATE(Store_Setting[[#This Row],[商品序號]], IF(Store_Setting[[#This Row],[商品名稱]]="","", _xlfn.CONCAT(" | ",_xlfn.SINGLE(Store_Setting[商品名稱]))))</f>
        <v>7</v>
      </c>
      <c r="E17" s="9">
        <v>7</v>
      </c>
      <c r="F17" s="34"/>
      <c r="G17" s="32">
        <f>Store_Setting[[#This Row],[庫存負差]]-SUM(Store_Setting[[#This Row],[已存入]]-Store_Setting[[#This Row],[已支取]])</f>
        <v>0</v>
      </c>
      <c r="H17" s="25">
        <f>SUM(UserInfo[7 - 剩餘])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Row],[入庫小計]]-Store_Setting[[#This Row],[取貨小計]]</f>
        <v>0</v>
      </c>
      <c r="L17" s="25">
        <f>SUMIFS(Store_History[数量],Store_History[唯一識別碼],Store_Setting[[#This Row],[唯一識別碼]],Store_History[類型],$D$81)</f>
        <v>0</v>
      </c>
      <c r="M17" s="25">
        <f>SUMIFS(Store_History[数量],Store_History[唯一識別碼],Store_Setting[[#This Row],[唯一識別碼]],Store_History[類型],$E$81)</f>
        <v>0</v>
      </c>
      <c r="N17" s="4" t="s">
        <v>80</v>
      </c>
      <c r="O17" s="4" t="s">
        <v>80</v>
      </c>
      <c r="P17" s="9" t="s">
        <v>297</v>
      </c>
      <c r="Q17" s="9" t="s">
        <v>298</v>
      </c>
      <c r="R17" s="9" t="s">
        <v>299</v>
      </c>
      <c r="S17" s="9" t="s">
        <v>300</v>
      </c>
      <c r="BD17" s="13" t="s">
        <v>419</v>
      </c>
    </row>
    <row r="18" spans="2:56" ht="40" customHeight="1">
      <c r="B18" s="62"/>
      <c r="C18" s="30"/>
      <c r="D18" s="64" t="str">
        <f>CONCATENATE(Store_Setting[[#This Row],[商品序號]], IF(Store_Setting[[#This Row],[商品名稱]]="","", _xlfn.CONCAT(" | ",_xlfn.SINGLE(Store_Setting[商品名稱]))))</f>
        <v>8</v>
      </c>
      <c r="E18" s="9">
        <v>8</v>
      </c>
      <c r="F18" s="34"/>
      <c r="G18" s="32">
        <f>Store_Setting[[#This Row],[庫存負差]]-SUM(Store_Setting[[#This Row],[已存入]]-Store_Setting[[#This Row],[已支取]])</f>
        <v>0</v>
      </c>
      <c r="H18" s="25">
        <f>SUM(UserInfo[8 - 剩餘])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Row],[入庫小計]]-Store_Setting[[#This Row],[取貨小計]]</f>
        <v>0</v>
      </c>
      <c r="L18" s="25">
        <f>SUMIFS(Store_History[数量],Store_History[唯一識別碼],Store_Setting[[#This Row],[唯一識別碼]],Store_History[類型],$D$81)</f>
        <v>0</v>
      </c>
      <c r="M18" s="25">
        <f>SUMIFS(Store_History[数量],Store_History[唯一識別碼],Store_Setting[[#This Row],[唯一識別碼]],Store_History[類型],$E$81)</f>
        <v>0</v>
      </c>
      <c r="N18" s="4" t="s">
        <v>80</v>
      </c>
      <c r="O18" s="4" t="s">
        <v>80</v>
      </c>
      <c r="P18" s="9" t="s">
        <v>301</v>
      </c>
      <c r="Q18" s="9" t="s">
        <v>302</v>
      </c>
      <c r="R18" s="9" t="s">
        <v>303</v>
      </c>
      <c r="S18" s="9" t="s">
        <v>285</v>
      </c>
      <c r="BD18" s="13" t="s">
        <v>439</v>
      </c>
    </row>
    <row r="19" spans="2:56" ht="40" customHeight="1">
      <c r="B19" s="62"/>
      <c r="C19" s="30"/>
      <c r="D19" s="64" t="str">
        <f>CONCATENATE(Store_Setting[[#This Row],[商品序號]], IF(Store_Setting[[#This Row],[商品名稱]]="","", _xlfn.CONCAT(" | ",_xlfn.SINGLE(Store_Setting[商品名稱]))))</f>
        <v>9</v>
      </c>
      <c r="E19" s="9">
        <v>9</v>
      </c>
      <c r="F19" s="34"/>
      <c r="G19" s="32">
        <f>Store_Setting[[#This Row],[庫存負差]]-SUM(Store_Setting[[#This Row],[已存入]]-Store_Setting[[#This Row],[已支取]])</f>
        <v>0</v>
      </c>
      <c r="H19" s="25">
        <f>SUM(UserInfo[9 - 剩餘])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Row],[入庫小計]]-Store_Setting[[#This Row],[取貨小計]]</f>
        <v>0</v>
      </c>
      <c r="L19" s="25">
        <f>SUMIFS(Store_History[数量],Store_History[唯一識別碼],Store_Setting[[#This Row],[唯一識別碼]],Store_History[類型],$D$81)</f>
        <v>0</v>
      </c>
      <c r="M19" s="25">
        <f>SUMIFS(Store_History[数量],Store_History[唯一識別碼],Store_Setting[[#This Row],[唯一識別碼]],Store_History[類型],$E$81)</f>
        <v>0</v>
      </c>
      <c r="N19" s="4" t="s">
        <v>80</v>
      </c>
      <c r="O19" s="4" t="s">
        <v>80</v>
      </c>
      <c r="P19" s="9" t="s">
        <v>304</v>
      </c>
      <c r="Q19" s="9" t="s">
        <v>305</v>
      </c>
      <c r="R19" s="9" t="s">
        <v>306</v>
      </c>
      <c r="S19" s="9" t="s">
        <v>286</v>
      </c>
      <c r="BD19" s="13" t="s">
        <v>440</v>
      </c>
    </row>
    <row r="20" spans="2:56" ht="40" customHeight="1">
      <c r="B20" s="62"/>
      <c r="C20" s="30"/>
      <c r="D20" s="64" t="str">
        <f>CONCATENATE(Store_Setting[[#This Row],[商品序號]], IF(Store_Setting[[#This Row],[商品名稱]]="","", _xlfn.CONCAT(" | ",_xlfn.SINGLE(Store_Setting[商品名稱]))))</f>
        <v>10</v>
      </c>
      <c r="E20" s="9">
        <v>10</v>
      </c>
      <c r="F20" s="34"/>
      <c r="G20" s="32">
        <f>Store_Setting[[#This Row],[庫存負差]]-SUM(Store_Setting[[#This Row],[已存入]]-Store_Setting[[#This Row],[已支取]])</f>
        <v>0</v>
      </c>
      <c r="H20" s="25">
        <f>SUM(UserInfo[10 - 剩餘])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Row],[入庫小計]]-Store_Setting[[#This Row],[取貨小計]]</f>
        <v>0</v>
      </c>
      <c r="L20" s="25">
        <f>SUMIFS(Store_History[数量],Store_History[唯一識別碼],Store_Setting[[#This Row],[唯一識別碼]],Store_History[類型],$D$81)</f>
        <v>0</v>
      </c>
      <c r="M20" s="25">
        <f>SUMIFS(Store_History[数量],Store_History[唯一識別碼],Store_Setting[[#This Row],[唯一識別碼]],Store_History[類型],$E$81)</f>
        <v>0</v>
      </c>
      <c r="N20" s="4" t="s">
        <v>80</v>
      </c>
      <c r="O20" s="4" t="s">
        <v>80</v>
      </c>
      <c r="P20" s="9" t="s">
        <v>307</v>
      </c>
      <c r="Q20" s="9" t="s">
        <v>308</v>
      </c>
      <c r="R20" s="9" t="s">
        <v>309</v>
      </c>
      <c r="S20" s="9" t="s">
        <v>310</v>
      </c>
      <c r="BD20" s="13" t="s">
        <v>428</v>
      </c>
    </row>
    <row r="21" spans="2:56" ht="40" customHeight="1">
      <c r="B21" s="62"/>
      <c r="C21" s="30"/>
      <c r="D21" s="64" t="str">
        <f>CONCATENATE(Store_Setting[[#This Row],[商品序號]], IF(Store_Setting[[#This Row],[商品名稱]]="","", _xlfn.CONCAT(" | ",_xlfn.SINGLE(Store_Setting[商品名稱]))))</f>
        <v>11</v>
      </c>
      <c r="E21" s="9">
        <v>11</v>
      </c>
      <c r="F21" s="34"/>
      <c r="G21" s="32">
        <f>Store_Setting[[#This Row],[庫存負差]]-SUM(Store_Setting[[#This Row],[已存入]]-Store_Setting[[#This Row],[已支取]])</f>
        <v>0</v>
      </c>
      <c r="H21" s="25">
        <f>SUM(UserInfo[11 - 剩餘])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Row],[入庫小計]]-Store_Setting[[#This Row],[取貨小計]]</f>
        <v>0</v>
      </c>
      <c r="L21" s="25">
        <f>SUMIFS(Store_History[数量],Store_History[唯一識別碼],Store_Setting[[#This Row],[唯一識別碼]],Store_History[類型],$D$81)</f>
        <v>0</v>
      </c>
      <c r="M21" s="25">
        <f>SUMIFS(Store_History[数量],Store_History[唯一識別碼],Store_Setting[[#This Row],[唯一識別碼]],Store_History[類型],$E$81)</f>
        <v>0</v>
      </c>
      <c r="N21" s="4" t="s">
        <v>80</v>
      </c>
      <c r="O21" s="4" t="s">
        <v>80</v>
      </c>
      <c r="P21" s="9" t="s">
        <v>311</v>
      </c>
      <c r="Q21" s="9" t="s">
        <v>312</v>
      </c>
      <c r="R21" s="9" t="s">
        <v>313</v>
      </c>
      <c r="S21" s="9" t="s">
        <v>288</v>
      </c>
      <c r="BD21" s="13" t="s">
        <v>460</v>
      </c>
    </row>
    <row r="22" spans="2:56" ht="40" customHeight="1">
      <c r="B22" s="62"/>
      <c r="C22" s="30"/>
      <c r="D22" s="64" t="str">
        <f>CONCATENATE(Store_Setting[[#This Row],[商品序號]], IF(Store_Setting[[#This Row],[商品名稱]]="","", _xlfn.CONCAT(" | ",_xlfn.SINGLE(Store_Setting[商品名稱]))))</f>
        <v>12</v>
      </c>
      <c r="E22" s="9">
        <v>12</v>
      </c>
      <c r="F22" s="34"/>
      <c r="G22" s="32">
        <f>Store_Setting[[#This Row],[庫存負差]]-SUM(Store_Setting[[#This Row],[已存入]]-Store_Setting[[#This Row],[已支取]])</f>
        <v>0</v>
      </c>
      <c r="H22" s="25">
        <f>SUM(UserInfo[12 - 剩餘])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Row],[入庫小計]]-Store_Setting[[#This Row],[取貨小計]]</f>
        <v>0</v>
      </c>
      <c r="L22" s="25">
        <f>SUMIFS(Store_History[数量],Store_History[唯一識別碼],Store_Setting[[#This Row],[唯一識別碼]],Store_History[類型],$D$81)</f>
        <v>0</v>
      </c>
      <c r="M22" s="25">
        <f>SUMIFS(Store_History[数量],Store_History[唯一識別碼],Store_Setting[[#This Row],[唯一識別碼]],Store_History[類型],$E$81)</f>
        <v>0</v>
      </c>
      <c r="N22" s="4" t="s">
        <v>80</v>
      </c>
      <c r="O22" s="4" t="s">
        <v>80</v>
      </c>
      <c r="P22" s="9" t="s">
        <v>314</v>
      </c>
      <c r="Q22" s="9" t="s">
        <v>315</v>
      </c>
      <c r="R22" s="9" t="s">
        <v>316</v>
      </c>
      <c r="S22" s="9" t="s">
        <v>289</v>
      </c>
      <c r="BB22" s="13" t="s">
        <v>457</v>
      </c>
      <c r="BD22" s="13" t="s">
        <v>441</v>
      </c>
    </row>
    <row r="23" spans="2:56" ht="40" customHeight="1">
      <c r="B23" s="62"/>
      <c r="C23" s="30"/>
      <c r="D23" s="64" t="str">
        <f>CONCATENATE(Store_Setting[[#This Row],[商品序號]], IF(Store_Setting[[#This Row],[商品名稱]]="","", _xlfn.CONCAT(" | ",_xlfn.SINGLE(Store_Setting[商品名稱]))))</f>
        <v>13</v>
      </c>
      <c r="E23" s="9">
        <v>13</v>
      </c>
      <c r="F23" s="34"/>
      <c r="G23" s="32">
        <f>Store_Setting[[#This Row],[庫存負差]]-SUM(Store_Setting[[#This Row],[已存入]]-Store_Setting[[#This Row],[已支取]])</f>
        <v>0</v>
      </c>
      <c r="H23" s="25">
        <f>SUM(UserInfo[13 - 剩餘])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Row],[入庫小計]]-Store_Setting[[#This Row],[取貨小計]]</f>
        <v>0</v>
      </c>
      <c r="L23" s="25">
        <f>SUMIFS(Store_History[数量],Store_History[唯一識別碼],Store_Setting[[#This Row],[唯一識別碼]],Store_History[類型],$D$81)</f>
        <v>0</v>
      </c>
      <c r="M23" s="25">
        <f>SUMIFS(Store_History[数量],Store_History[唯一識別碼],Store_Setting[[#This Row],[唯一識別碼]],Store_History[類型],$E$81)</f>
        <v>0</v>
      </c>
      <c r="N23" s="4" t="s">
        <v>80</v>
      </c>
      <c r="O23" s="4" t="s">
        <v>80</v>
      </c>
      <c r="P23" s="9" t="s">
        <v>317</v>
      </c>
      <c r="Q23" s="9" t="s">
        <v>318</v>
      </c>
      <c r="R23" s="9" t="s">
        <v>319</v>
      </c>
      <c r="S23" s="9" t="s">
        <v>320</v>
      </c>
      <c r="BD23" s="13" t="s">
        <v>442</v>
      </c>
    </row>
    <row r="24" spans="2:56" ht="40" customHeight="1">
      <c r="B24" s="62"/>
      <c r="C24" s="30"/>
      <c r="D24" s="64" t="str">
        <f>CONCATENATE(Store_Setting[[#This Row],[商品序號]], IF(Store_Setting[[#This Row],[商品名稱]]="","", _xlfn.CONCAT(" | ",_xlfn.SINGLE(Store_Setting[商品名稱]))))</f>
        <v>14</v>
      </c>
      <c r="E24" s="9">
        <v>14</v>
      </c>
      <c r="F24" s="34"/>
      <c r="G24" s="32">
        <f>Store_Setting[[#This Row],[庫存負差]]-SUM(Store_Setting[[#This Row],[已存入]]-Store_Setting[[#This Row],[已支取]])</f>
        <v>0</v>
      </c>
      <c r="H24" s="25">
        <f>SUM(UserInfo[14 - 剩餘])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Row],[入庫小計]]-Store_Setting[[#This Row],[取貨小計]]</f>
        <v>0</v>
      </c>
      <c r="L24" s="25">
        <f>SUMIFS(Store_History[数量],Store_History[唯一識別碼],Store_Setting[[#This Row],[唯一識別碼]],Store_History[類型],$D$81)</f>
        <v>0</v>
      </c>
      <c r="M24" s="25">
        <f>SUMIFS(Store_History[数量],Store_History[唯一識別碼],Store_Setting[[#This Row],[唯一識別碼]],Store_History[類型],$E$81)</f>
        <v>0</v>
      </c>
      <c r="N24" s="4" t="s">
        <v>80</v>
      </c>
      <c r="O24" s="4" t="s">
        <v>80</v>
      </c>
      <c r="P24" s="9" t="s">
        <v>321</v>
      </c>
      <c r="Q24" s="9" t="s">
        <v>322</v>
      </c>
      <c r="R24" s="9" t="s">
        <v>323</v>
      </c>
      <c r="S24" s="9" t="s">
        <v>292</v>
      </c>
      <c r="BD24" s="13" t="s">
        <v>443</v>
      </c>
    </row>
    <row r="25" spans="2:56" ht="40" customHeight="1">
      <c r="B25" s="62"/>
      <c r="C25" s="30"/>
      <c r="D25" s="64" t="str">
        <f>CONCATENATE(Store_Setting[[#This Row],[商品序號]], IF(Store_Setting[[#This Row],[商品名稱]]="","", _xlfn.CONCAT(" | ",_xlfn.SINGLE(Store_Setting[商品名稱]))))</f>
        <v>15</v>
      </c>
      <c r="E25" s="9">
        <v>15</v>
      </c>
      <c r="F25" s="34"/>
      <c r="G25" s="32">
        <f>Store_Setting[[#This Row],[庫存負差]]-SUM(Store_Setting[[#This Row],[已存入]]-Store_Setting[[#This Row],[已支取]])</f>
        <v>0</v>
      </c>
      <c r="H25" s="25">
        <f>SUM(UserInfo[15 - 剩餘])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Row],[入庫小計]]-Store_Setting[[#This Row],[取貨小計]]</f>
        <v>0</v>
      </c>
      <c r="L25" s="25">
        <f>SUMIFS(Store_History[数量],Store_History[唯一識別碼],Store_Setting[[#This Row],[唯一識別碼]],Store_History[類型],$D$81)</f>
        <v>0</v>
      </c>
      <c r="M25" s="25">
        <f>SUMIFS(Store_History[数量],Store_History[唯一識別碼],Store_Setting[[#This Row],[唯一識別碼]],Store_History[類型],$E$81)</f>
        <v>0</v>
      </c>
      <c r="N25" s="4" t="s">
        <v>80</v>
      </c>
      <c r="O25" s="4" t="s">
        <v>80</v>
      </c>
      <c r="P25" s="9" t="s">
        <v>324</v>
      </c>
      <c r="Q25" s="9" t="s">
        <v>325</v>
      </c>
      <c r="R25" s="9" t="s">
        <v>326</v>
      </c>
      <c r="S25" s="9" t="s">
        <v>293</v>
      </c>
      <c r="BB25" s="13" t="s">
        <v>456</v>
      </c>
      <c r="BD25" s="13" t="s">
        <v>444</v>
      </c>
    </row>
    <row r="26" spans="2:56" ht="40" customHeight="1">
      <c r="B26" s="62"/>
      <c r="C26" s="30"/>
      <c r="D26" s="64" t="str">
        <f>CONCATENATE(Store_Setting[[#This Row],[商品序號]], IF(Store_Setting[[#This Row],[商品名稱]]="","", _xlfn.CONCAT(" | ",_xlfn.SINGLE(Store_Setting[商品名稱]))))</f>
        <v>16</v>
      </c>
      <c r="E26" s="9">
        <v>16</v>
      </c>
      <c r="F26" s="34"/>
      <c r="G26" s="32">
        <f>Store_Setting[[#This Row],[庫存負差]]-SUM(Store_Setting[[#This Row],[已存入]]-Store_Setting[[#This Row],[已支取]])</f>
        <v>0</v>
      </c>
      <c r="H26" s="25">
        <f>SUM(UserInfo[16 - 剩餘])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Row],[入庫小計]]-Store_Setting[[#This Row],[取貨小計]]</f>
        <v>0</v>
      </c>
      <c r="L26" s="25">
        <f>SUMIFS(Store_History[数量],Store_History[唯一識別碼],Store_Setting[[#This Row],[唯一識別碼]],Store_History[類型],$D$81)</f>
        <v>0</v>
      </c>
      <c r="M26" s="25">
        <f>SUMIFS(Store_History[数量],Store_History[唯一識別碼],Store_Setting[[#This Row],[唯一識別碼]],Store_History[類型],$E$81)</f>
        <v>0</v>
      </c>
      <c r="N26" s="4" t="s">
        <v>80</v>
      </c>
      <c r="O26" s="4" t="s">
        <v>80</v>
      </c>
      <c r="P26" s="9" t="s">
        <v>327</v>
      </c>
      <c r="Q26" s="9" t="s">
        <v>328</v>
      </c>
      <c r="R26" s="9" t="s">
        <v>329</v>
      </c>
      <c r="S26" s="9" t="s">
        <v>330</v>
      </c>
      <c r="BD26" s="13" t="s">
        <v>445</v>
      </c>
    </row>
    <row r="27" spans="2:56" ht="40" customHeight="1">
      <c r="B27" s="62"/>
      <c r="C27" s="30"/>
      <c r="D27" s="64" t="str">
        <f>CONCATENATE(Store_Setting[[#This Row],[商品序號]], IF(Store_Setting[[#This Row],[商品名稱]]="","", _xlfn.CONCAT(" | ",_xlfn.SINGLE(Store_Setting[商品名稱]))))</f>
        <v>17</v>
      </c>
      <c r="E27" s="9">
        <v>17</v>
      </c>
      <c r="F27" s="34"/>
      <c r="G27" s="32">
        <f>Store_Setting[[#This Row],[庫存負差]]-SUM(Store_Setting[[#This Row],[已存入]]-Store_Setting[[#This Row],[已支取]])</f>
        <v>0</v>
      </c>
      <c r="H27" s="25">
        <f>SUM(UserInfo[17 - 剩餘])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Row],[入庫小計]]-Store_Setting[[#This Row],[取貨小計]]</f>
        <v>0</v>
      </c>
      <c r="L27" s="25">
        <f>SUMIFS(Store_History[数量],Store_History[唯一識別碼],Store_Setting[[#This Row],[唯一識別碼]],Store_History[類型],$D$81)</f>
        <v>0</v>
      </c>
      <c r="M27" s="25">
        <f>SUMIFS(Store_History[数量],Store_History[唯一識別碼],Store_Setting[[#This Row],[唯一識別碼]],Store_History[類型],$E$81)</f>
        <v>0</v>
      </c>
      <c r="N27" s="4" t="s">
        <v>80</v>
      </c>
      <c r="O27" s="4" t="s">
        <v>80</v>
      </c>
      <c r="P27" s="9" t="s">
        <v>331</v>
      </c>
      <c r="Q27" s="9" t="s">
        <v>332</v>
      </c>
      <c r="R27" s="9" t="s">
        <v>333</v>
      </c>
      <c r="S27" s="9" t="s">
        <v>295</v>
      </c>
      <c r="BD27" s="13" t="s">
        <v>446</v>
      </c>
    </row>
    <row r="28" spans="2:56" ht="40" customHeight="1">
      <c r="B28" s="62"/>
      <c r="C28" s="30"/>
      <c r="D28" s="64" t="str">
        <f>CONCATENATE(Store_Setting[[#This Row],[商品序號]], IF(Store_Setting[[#This Row],[商品名稱]]="","", _xlfn.CONCAT(" | ",_xlfn.SINGLE(Store_Setting[商品名稱]))))</f>
        <v>18</v>
      </c>
      <c r="E28" s="9">
        <v>18</v>
      </c>
      <c r="F28" s="34"/>
      <c r="G28" s="32">
        <f>Store_Setting[[#This Row],[庫存負差]]-SUM(Store_Setting[[#This Row],[已存入]]-Store_Setting[[#This Row],[已支取]])</f>
        <v>0</v>
      </c>
      <c r="H28" s="25">
        <f>SUM(UserInfo[18 - 剩餘])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Row],[入庫小計]]-Store_Setting[[#This Row],[取貨小計]]</f>
        <v>0</v>
      </c>
      <c r="L28" s="25">
        <f>SUMIFS(Store_History[数量],Store_History[唯一識別碼],Store_Setting[[#This Row],[唯一識別碼]],Store_History[類型],$D$81)</f>
        <v>0</v>
      </c>
      <c r="M28" s="25">
        <f>SUMIFS(Store_History[数量],Store_History[唯一識別碼],Store_Setting[[#This Row],[唯一識別碼]],Store_History[類型],$E$81)</f>
        <v>0</v>
      </c>
      <c r="N28" s="4" t="s">
        <v>80</v>
      </c>
      <c r="O28" s="4" t="s">
        <v>80</v>
      </c>
      <c r="P28" s="9" t="s">
        <v>334</v>
      </c>
      <c r="Q28" s="9" t="s">
        <v>335</v>
      </c>
      <c r="R28" s="9" t="s">
        <v>336</v>
      </c>
      <c r="S28" s="9" t="s">
        <v>296</v>
      </c>
      <c r="BD28" s="13" t="s">
        <v>447</v>
      </c>
    </row>
    <row r="29" spans="2:56" ht="40" customHeight="1">
      <c r="B29" s="62"/>
      <c r="C29" s="30"/>
      <c r="D29" s="64" t="str">
        <f>CONCATENATE(Store_Setting[[#This Row],[商品序號]], IF(Store_Setting[[#This Row],[商品名稱]]="","", _xlfn.CONCAT(" | ",_xlfn.SINGLE(Store_Setting[商品名稱]))))</f>
        <v>19</v>
      </c>
      <c r="E29" s="9">
        <v>19</v>
      </c>
      <c r="F29" s="34"/>
      <c r="G29" s="32">
        <f>Store_Setting[[#This Row],[庫存負差]]-SUM(Store_Setting[[#This Row],[已存入]]-Store_Setting[[#This Row],[已支取]])</f>
        <v>0</v>
      </c>
      <c r="H29" s="25">
        <f>SUM(UserInfo[19 - 剩餘])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Row],[入庫小計]]-Store_Setting[[#This Row],[取貨小計]]</f>
        <v>0</v>
      </c>
      <c r="L29" s="25">
        <f>SUMIFS(Store_History[数量],Store_History[唯一識別碼],Store_Setting[[#This Row],[唯一識別碼]],Store_History[類型],$D$81)</f>
        <v>0</v>
      </c>
      <c r="M29" s="25">
        <f>SUMIFS(Store_History[数量],Store_History[唯一識別碼],Store_Setting[[#This Row],[唯一識別碼]],Store_History[類型],$E$81)</f>
        <v>0</v>
      </c>
      <c r="N29" s="4" t="s">
        <v>80</v>
      </c>
      <c r="O29" s="4" t="s">
        <v>80</v>
      </c>
      <c r="P29" s="9" t="s">
        <v>337</v>
      </c>
      <c r="Q29" s="9" t="s">
        <v>338</v>
      </c>
      <c r="R29" s="9" t="s">
        <v>339</v>
      </c>
      <c r="S29" s="9" t="s">
        <v>340</v>
      </c>
      <c r="BD29" s="13" t="s">
        <v>448</v>
      </c>
    </row>
    <row r="30" spans="2:56" ht="40" customHeight="1">
      <c r="B30" s="62"/>
      <c r="C30" s="30"/>
      <c r="D30" s="64" t="str">
        <f>CONCATENATE(Store_Setting[[#This Row],[商品序號]], IF(Store_Setting[[#This Row],[商品名稱]]="","", _xlfn.CONCAT(" | ",_xlfn.SINGLE(Store_Setting[商品名稱]))))</f>
        <v>20</v>
      </c>
      <c r="E30" s="9">
        <v>20</v>
      </c>
      <c r="F30" s="34"/>
      <c r="G30" s="32">
        <f>Store_Setting[[#This Row],[庫存負差]]-SUM(Store_Setting[[#This Row],[已存入]]-Store_Setting[[#This Row],[已支取]])</f>
        <v>0</v>
      </c>
      <c r="H30" s="25">
        <f>SUM(UserInfo[20 - 剩餘])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Row],[入庫小計]]-Store_Setting[[#This Row],[取貨小計]]</f>
        <v>0</v>
      </c>
      <c r="L30" s="25">
        <f>SUMIFS(Store_History[数量],Store_History[唯一識別碼],Store_Setting[[#This Row],[唯一識別碼]],Store_History[類型],$D$81)</f>
        <v>0</v>
      </c>
      <c r="M30" s="25">
        <f>SUMIFS(Store_History[数量],Store_History[唯一識別碼],Store_Setting[[#This Row],[唯一識別碼]],Store_History[類型],$E$81)</f>
        <v>0</v>
      </c>
      <c r="N30" s="4" t="s">
        <v>80</v>
      </c>
      <c r="O30" s="4" t="s">
        <v>80</v>
      </c>
      <c r="P30" s="9" t="s">
        <v>341</v>
      </c>
      <c r="Q30" s="9" t="s">
        <v>342</v>
      </c>
      <c r="R30" s="9" t="s">
        <v>343</v>
      </c>
      <c r="S30" s="9" t="s">
        <v>298</v>
      </c>
      <c r="BD30" s="13" t="s">
        <v>449</v>
      </c>
    </row>
    <row r="31" spans="2:56" ht="40" customHeight="1">
      <c r="B31" s="62"/>
      <c r="C31" s="30"/>
      <c r="D31" s="64" t="str">
        <f>CONCATENATE(Store_Setting[[#This Row],[商品序號]], IF(Store_Setting[[#This Row],[商品名稱]]="","", _xlfn.CONCAT(" | ",_xlfn.SINGLE(Store_Setting[商品名稱]))))</f>
        <v>21</v>
      </c>
      <c r="E31" s="9">
        <v>21</v>
      </c>
      <c r="F31" s="34"/>
      <c r="G31" s="32">
        <f>Store_Setting[[#This Row],[庫存負差]]-SUM(Store_Setting[[#This Row],[已存入]]-Store_Setting[[#This Row],[已支取]])</f>
        <v>0</v>
      </c>
      <c r="H31" s="25">
        <f>SUM(UserInfo[21 - 剩餘])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Row],[入庫小計]]-Store_Setting[[#This Row],[取貨小計]]</f>
        <v>0</v>
      </c>
      <c r="L31" s="25">
        <f>SUMIFS(Store_History[数量],Store_History[唯一識別碼],Store_Setting[[#This Row],[唯一識別碼]],Store_History[類型],$D$81)</f>
        <v>0</v>
      </c>
      <c r="M31" s="25">
        <f>SUMIFS(Store_History[数量],Store_History[唯一識別碼],Store_Setting[[#This Row],[唯一識別碼]],Store_History[類型],$E$81)</f>
        <v>0</v>
      </c>
      <c r="N31" s="4" t="s">
        <v>80</v>
      </c>
      <c r="O31" s="4" t="s">
        <v>80</v>
      </c>
      <c r="P31" s="9" t="s">
        <v>344</v>
      </c>
      <c r="Q31" s="9" t="s">
        <v>345</v>
      </c>
      <c r="R31" s="9" t="s">
        <v>346</v>
      </c>
      <c r="S31" s="9" t="s">
        <v>299</v>
      </c>
      <c r="BD31" s="13" t="s">
        <v>450</v>
      </c>
    </row>
    <row r="32" spans="2:56" ht="40" customHeight="1">
      <c r="B32" s="62"/>
      <c r="C32" s="30"/>
      <c r="D32" s="64" t="str">
        <f>CONCATENATE(Store_Setting[[#This Row],[商品序號]], IF(Store_Setting[[#This Row],[商品名稱]]="","", _xlfn.CONCAT(" | ",_xlfn.SINGLE(Store_Setting[商品名稱]))))</f>
        <v>22</v>
      </c>
      <c r="E32" s="9">
        <v>22</v>
      </c>
      <c r="F32" s="34"/>
      <c r="G32" s="32">
        <f>Store_Setting[[#This Row],[庫存負差]]-SUM(Store_Setting[[#This Row],[已存入]]-Store_Setting[[#This Row],[已支取]])</f>
        <v>0</v>
      </c>
      <c r="H32" s="25">
        <f>SUM(UserInfo[22 - 剩餘])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Row],[入庫小計]]-Store_Setting[[#This Row],[取貨小計]]</f>
        <v>0</v>
      </c>
      <c r="L32" s="25">
        <f>SUMIFS(Store_History[数量],Store_History[唯一識別碼],Store_Setting[[#This Row],[唯一識別碼]],Store_History[類型],$D$81)</f>
        <v>0</v>
      </c>
      <c r="M32" s="25">
        <f>SUMIFS(Store_History[数量],Store_History[唯一識別碼],Store_Setting[[#This Row],[唯一識別碼]],Store_History[類型],$E$81)</f>
        <v>0</v>
      </c>
      <c r="N32" s="4" t="s">
        <v>80</v>
      </c>
      <c r="O32" s="4" t="s">
        <v>80</v>
      </c>
      <c r="P32" s="9" t="s">
        <v>347</v>
      </c>
      <c r="Q32" s="9" t="s">
        <v>348</v>
      </c>
      <c r="R32" s="9" t="s">
        <v>349</v>
      </c>
      <c r="S32" s="9" t="s">
        <v>350</v>
      </c>
      <c r="BD32" s="13" t="s">
        <v>451</v>
      </c>
    </row>
    <row r="33" spans="2:56" ht="40" customHeight="1">
      <c r="B33" s="62"/>
      <c r="C33" s="30"/>
      <c r="D33" s="64" t="str">
        <f>CONCATENATE(Store_Setting[[#This Row],[商品序號]], IF(Store_Setting[[#This Row],[商品名稱]]="","", _xlfn.CONCAT(" | ",_xlfn.SINGLE(Store_Setting[商品名稱]))))</f>
        <v>23</v>
      </c>
      <c r="E33" s="9">
        <v>23</v>
      </c>
      <c r="F33" s="34"/>
      <c r="G33" s="32">
        <f>Store_Setting[[#This Row],[庫存負差]]-SUM(Store_Setting[[#This Row],[已存入]]-Store_Setting[[#This Row],[已支取]])</f>
        <v>0</v>
      </c>
      <c r="H33" s="25">
        <f>SUM(UserInfo[23 - 剩餘])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Row],[入庫小計]]-Store_Setting[[#This Row],[取貨小計]]</f>
        <v>0</v>
      </c>
      <c r="L33" s="25">
        <f>SUMIFS(Store_History[数量],Store_History[唯一識別碼],Store_Setting[[#This Row],[唯一識別碼]],Store_History[類型],$D$81)</f>
        <v>0</v>
      </c>
      <c r="M33" s="25">
        <f>SUMIFS(Store_History[数量],Store_History[唯一識別碼],Store_Setting[[#This Row],[唯一識別碼]],Store_History[類型],$E$81)</f>
        <v>0</v>
      </c>
      <c r="N33" s="4" t="s">
        <v>80</v>
      </c>
      <c r="O33" s="4" t="s">
        <v>80</v>
      </c>
      <c r="P33" s="9" t="s">
        <v>351</v>
      </c>
      <c r="Q33" s="9" t="s">
        <v>352</v>
      </c>
      <c r="R33" s="9" t="s">
        <v>353</v>
      </c>
      <c r="S33" s="9" t="s">
        <v>302</v>
      </c>
      <c r="BD33" s="13" t="s">
        <v>452</v>
      </c>
    </row>
    <row r="34" spans="2:56" ht="40" customHeight="1">
      <c r="B34" s="62"/>
      <c r="C34" s="30"/>
      <c r="D34" s="64" t="str">
        <f>CONCATENATE(Store_Setting[[#This Row],[商品序號]], IF(Store_Setting[[#This Row],[商品名稱]]="","", _xlfn.CONCAT(" | ",_xlfn.SINGLE(Store_Setting[商品名稱]))))</f>
        <v>24</v>
      </c>
      <c r="E34" s="9">
        <v>24</v>
      </c>
      <c r="F34" s="34"/>
      <c r="G34" s="32">
        <f>Store_Setting[[#This Row],[庫存負差]]-SUM(Store_Setting[[#This Row],[已存入]]-Store_Setting[[#This Row],[已支取]])</f>
        <v>0</v>
      </c>
      <c r="H34" s="25">
        <f>SUM(UserInfo[24 - 剩餘])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Row],[入庫小計]]-Store_Setting[[#This Row],[取貨小計]]</f>
        <v>0</v>
      </c>
      <c r="L34" s="25">
        <f>SUMIFS(Store_History[数量],Store_History[唯一識別碼],Store_Setting[[#This Row],[唯一識別碼]],Store_History[類型],$D$81)</f>
        <v>0</v>
      </c>
      <c r="M34" s="25">
        <f>SUMIFS(Store_History[数量],Store_History[唯一識別碼],Store_Setting[[#This Row],[唯一識別碼]],Store_History[類型],$E$81)</f>
        <v>0</v>
      </c>
      <c r="N34" s="4" t="s">
        <v>80</v>
      </c>
      <c r="O34" s="4" t="s">
        <v>80</v>
      </c>
      <c r="P34" s="9" t="s">
        <v>354</v>
      </c>
      <c r="Q34" s="9" t="s">
        <v>355</v>
      </c>
      <c r="R34" s="9" t="s">
        <v>356</v>
      </c>
      <c r="S34" s="9" t="s">
        <v>303</v>
      </c>
      <c r="BD34" s="13" t="s">
        <v>453</v>
      </c>
    </row>
    <row r="35" spans="2:56" ht="40" customHeight="1">
      <c r="B35" s="62"/>
      <c r="C35" s="30"/>
      <c r="D35" s="64" t="str">
        <f>CONCATENATE(Store_Setting[[#This Row],[商品序號]], IF(Store_Setting[[#This Row],[商品名稱]]="","", _xlfn.CONCAT(" | ",_xlfn.SINGLE(Store_Setting[商品名稱]))))</f>
        <v>25</v>
      </c>
      <c r="E35" s="9">
        <v>25</v>
      </c>
      <c r="F35" s="34"/>
      <c r="G35" s="32">
        <f>Store_Setting[[#This Row],[庫存負差]]-SUM(Store_Setting[[#This Row],[已存入]]-Store_Setting[[#This Row],[已支取]])</f>
        <v>0</v>
      </c>
      <c r="H35" s="25">
        <f>SUM(UserInfo[25 - 剩餘])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Row],[入庫小計]]-Store_Setting[[#This Row],[取貨小計]]</f>
        <v>0</v>
      </c>
      <c r="L35" s="25">
        <f>SUMIFS(Store_History[数量],Store_History[唯一識別碼],Store_Setting[[#This Row],[唯一識別碼]],Store_History[類型],$D$81)</f>
        <v>0</v>
      </c>
      <c r="M35" s="25">
        <f>SUMIFS(Store_History[数量],Store_History[唯一識別碼],Store_Setting[[#This Row],[唯一識別碼]],Store_History[類型],$E$81)</f>
        <v>0</v>
      </c>
      <c r="N35" s="4" t="s">
        <v>80</v>
      </c>
      <c r="O35" s="4" t="s">
        <v>80</v>
      </c>
      <c r="P35" s="9" t="s">
        <v>357</v>
      </c>
      <c r="Q35" s="9" t="s">
        <v>358</v>
      </c>
      <c r="R35" s="9" t="s">
        <v>359</v>
      </c>
      <c r="S35" s="9" t="s">
        <v>360</v>
      </c>
      <c r="BB35" s="13" t="s">
        <v>169</v>
      </c>
      <c r="BD35" s="13" t="s">
        <v>454</v>
      </c>
    </row>
    <row r="36" spans="2:56" ht="40" customHeight="1">
      <c r="B36" s="62"/>
      <c r="C36" s="30"/>
      <c r="D36" s="64" t="str">
        <f>CONCATENATE(Store_Setting[[#This Row],[商品序號]], IF(Store_Setting[[#This Row],[商品名稱]]="","", _xlfn.CONCAT(" | ",_xlfn.SINGLE(Store_Setting[商品名稱]))))</f>
        <v>26</v>
      </c>
      <c r="E36" s="9">
        <v>26</v>
      </c>
      <c r="F36" s="34"/>
      <c r="G36" s="32">
        <f>Store_Setting[[#This Row],[庫存負差]]-SUM(Store_Setting[[#This Row],[已存入]]-Store_Setting[[#This Row],[已支取]])</f>
        <v>0</v>
      </c>
      <c r="H36" s="25">
        <f>SUM(UserInfo[26 - 剩餘])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Row],[入庫小計]]-Store_Setting[[#This Row],[取貨小計]]</f>
        <v>0</v>
      </c>
      <c r="L36" s="25">
        <f>SUMIFS(Store_History[数量],Store_History[唯一識別碼],Store_Setting[[#This Row],[唯一識別碼]],Store_History[類型],$D$81)</f>
        <v>0</v>
      </c>
      <c r="M36" s="25">
        <f>SUMIFS(Store_History[数量],Store_History[唯一識別碼],Store_Setting[[#This Row],[唯一識別碼]],Store_History[類型],$E$81)</f>
        <v>0</v>
      </c>
      <c r="N36" s="4" t="s">
        <v>80</v>
      </c>
      <c r="O36" s="4" t="s">
        <v>80</v>
      </c>
      <c r="P36" s="9" t="s">
        <v>361</v>
      </c>
      <c r="Q36" s="9" t="s">
        <v>362</v>
      </c>
      <c r="R36" s="9" t="s">
        <v>363</v>
      </c>
      <c r="S36" s="9" t="s">
        <v>305</v>
      </c>
      <c r="BD36" s="13" t="s">
        <v>455</v>
      </c>
    </row>
    <row r="37" spans="2:56" ht="40" customHeight="1">
      <c r="B37" s="62"/>
      <c r="C37" s="30"/>
      <c r="D37" s="64" t="str">
        <f>CONCATENATE(Store_Setting[[#This Row],[商品序號]], IF(Store_Setting[[#This Row],[商品名稱]]="","", _xlfn.CONCAT(" | ",_xlfn.SINGLE(Store_Setting[商品名稱]))))</f>
        <v>27</v>
      </c>
      <c r="E37" s="9">
        <v>27</v>
      </c>
      <c r="F37" s="34"/>
      <c r="G37" s="32">
        <f>Store_Setting[[#This Row],[庫存負差]]-SUM(Store_Setting[[#This Row],[已存入]]-Store_Setting[[#This Row],[已支取]])</f>
        <v>0</v>
      </c>
      <c r="H37" s="25">
        <f>SUM(UserInfo[27 - 剩餘])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Row],[入庫小計]]-Store_Setting[[#This Row],[取貨小計]]</f>
        <v>0</v>
      </c>
      <c r="L37" s="25">
        <f>SUMIFS(Store_History[数量],Store_History[唯一識別碼],Store_Setting[[#This Row],[唯一識別碼]],Store_History[類型],$D$81)</f>
        <v>0</v>
      </c>
      <c r="M37" s="25">
        <f>SUMIFS(Store_History[数量],Store_History[唯一識別碼],Store_Setting[[#This Row],[唯一識別碼]],Store_History[類型],$E$81)</f>
        <v>0</v>
      </c>
      <c r="N37" s="4" t="s">
        <v>80</v>
      </c>
      <c r="O37" s="4" t="s">
        <v>80</v>
      </c>
      <c r="P37" s="9" t="s">
        <v>364</v>
      </c>
      <c r="Q37" s="9" t="s">
        <v>365</v>
      </c>
      <c r="R37" s="9" t="s">
        <v>366</v>
      </c>
      <c r="S37" s="9" t="s">
        <v>306</v>
      </c>
      <c r="BD37" s="13" t="s">
        <v>477</v>
      </c>
    </row>
    <row r="38" spans="2:56" ht="40" customHeight="1">
      <c r="B38" s="62"/>
      <c r="C38" s="30"/>
      <c r="D38" s="64" t="str">
        <f>CONCATENATE(Store_Setting[[#This Row],[商品序號]], IF(Store_Setting[[#This Row],[商品名稱]]="","", _xlfn.CONCAT(" | ",_xlfn.SINGLE(Store_Setting[商品名稱]))))</f>
        <v>28</v>
      </c>
      <c r="E38" s="9">
        <v>28</v>
      </c>
      <c r="F38" s="34"/>
      <c r="G38" s="32">
        <f>Store_Setting[[#This Row],[庫存負差]]-SUM(Store_Setting[[#This Row],[已存入]]-Store_Setting[[#This Row],[已支取]])</f>
        <v>0</v>
      </c>
      <c r="H38" s="25">
        <f>SUM(UserInfo[28 - 剩餘])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Row],[入庫小計]]-Store_Setting[[#This Row],[取貨小計]]</f>
        <v>0</v>
      </c>
      <c r="L38" s="25">
        <f>SUMIFS(Store_History[数量],Store_History[唯一識別碼],Store_Setting[[#This Row],[唯一識別碼]],Store_History[類型],$D$81)</f>
        <v>0</v>
      </c>
      <c r="M38" s="25">
        <f>SUMIFS(Store_History[数量],Store_History[唯一識別碼],Store_Setting[[#This Row],[唯一識別碼]],Store_History[類型],$E$81)</f>
        <v>0</v>
      </c>
      <c r="N38" s="4" t="s">
        <v>80</v>
      </c>
      <c r="O38" s="4" t="s">
        <v>80</v>
      </c>
      <c r="P38" s="9" t="s">
        <v>367</v>
      </c>
      <c r="Q38" s="9" t="s">
        <v>368</v>
      </c>
      <c r="R38" s="9" t="s">
        <v>369</v>
      </c>
      <c r="S38" s="9" t="s">
        <v>370</v>
      </c>
      <c r="BD38" s="13" t="s">
        <v>475</v>
      </c>
    </row>
    <row r="39" spans="2:56" ht="40" customHeight="1">
      <c r="B39" s="62"/>
      <c r="C39" s="30"/>
      <c r="D39" s="64" t="str">
        <f>CONCATENATE(Store_Setting[[#This Row],[商品序號]], IF(Store_Setting[[#This Row],[商品名稱]]="","", _xlfn.CONCAT(" | ",_xlfn.SINGLE(Store_Setting[商品名稱]))))</f>
        <v>29</v>
      </c>
      <c r="E39" s="9">
        <v>29</v>
      </c>
      <c r="F39" s="34"/>
      <c r="G39" s="32">
        <f>Store_Setting[[#This Row],[庫存負差]]-SUM(Store_Setting[[#This Row],[已存入]]-Store_Setting[[#This Row],[已支取]])</f>
        <v>0</v>
      </c>
      <c r="H39" s="25">
        <f>SUM(UserInfo[29 - 剩餘])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Row],[入庫小計]]-Store_Setting[[#This Row],[取貨小計]]</f>
        <v>0</v>
      </c>
      <c r="L39" s="25">
        <f>SUMIFS(Store_History[数量],Store_History[唯一識別碼],Store_Setting[[#This Row],[唯一識別碼]],Store_History[類型],$D$81)</f>
        <v>0</v>
      </c>
      <c r="M39" s="25">
        <f>SUMIFS(Store_History[数量],Store_History[唯一識別碼],Store_Setting[[#This Row],[唯一識別碼]],Store_History[類型],$E$81)</f>
        <v>0</v>
      </c>
      <c r="N39" s="4" t="s">
        <v>80</v>
      </c>
      <c r="O39" s="4" t="s">
        <v>80</v>
      </c>
      <c r="P39" s="9" t="s">
        <v>371</v>
      </c>
      <c r="Q39" s="9" t="s">
        <v>372</v>
      </c>
      <c r="R39" s="9" t="s">
        <v>373</v>
      </c>
      <c r="S39" s="9" t="s">
        <v>308</v>
      </c>
      <c r="BD39" s="13" t="s">
        <v>476</v>
      </c>
    </row>
    <row r="40" spans="2:56" ht="40" customHeight="1">
      <c r="B40" s="62"/>
      <c r="C40" s="30"/>
      <c r="D40" s="64" t="str">
        <f>CONCATENATE(Store_Setting[[#This Row],[商品序號]], IF(Store_Setting[[#This Row],[商品名稱]]="","", _xlfn.CONCAT(" | ",_xlfn.SINGLE(Store_Setting[商品名稱]))))</f>
        <v>30</v>
      </c>
      <c r="E40" s="9">
        <v>30</v>
      </c>
      <c r="F40" s="34"/>
      <c r="G40" s="32">
        <f>Store_Setting[[#This Row],[庫存負差]]-SUM(Store_Setting[[#This Row],[已存入]]-Store_Setting[[#This Row],[已支取]])</f>
        <v>0</v>
      </c>
      <c r="H40" s="25">
        <f>SUM(UserInfo[30 - 剩餘])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Row],[入庫小計]]-Store_Setting[[#This Row],[取貨小計]]</f>
        <v>0</v>
      </c>
      <c r="L40" s="25">
        <f>SUMIFS(Store_History[数量],Store_History[唯一識別碼],Store_Setting[[#This Row],[唯一識別碼]],Store_History[類型],$D$81)</f>
        <v>0</v>
      </c>
      <c r="M40" s="25">
        <f>SUMIFS(Store_History[数量],Store_History[唯一識別碼],Store_Setting[[#This Row],[唯一識別碼]],Store_History[類型],$E$81)</f>
        <v>0</v>
      </c>
      <c r="N40" s="4" t="s">
        <v>80</v>
      </c>
      <c r="O40" s="4" t="s">
        <v>80</v>
      </c>
      <c r="P40" s="9" t="s">
        <v>374</v>
      </c>
      <c r="Q40" s="9" t="s">
        <v>375</v>
      </c>
      <c r="R40" s="9" t="s">
        <v>376</v>
      </c>
      <c r="S40" s="9" t="s">
        <v>309</v>
      </c>
    </row>
    <row r="41" spans="2:56" ht="40" customHeight="1">
      <c r="B41" s="62"/>
      <c r="C41" s="30"/>
      <c r="D41" s="64" t="str">
        <f>CONCATENATE(Store_Setting[[#This Row],[商品序號]], IF(Store_Setting[[#This Row],[商品名稱]]="","", _xlfn.CONCAT(" | ",_xlfn.SINGLE(Store_Setting[商品名稱]))))</f>
        <v>31</v>
      </c>
      <c r="E41" s="9">
        <v>31</v>
      </c>
      <c r="F41" s="34"/>
      <c r="G41" s="32">
        <f>Store_Setting[[#This Row],[庫存負差]]-SUM(Store_Setting[[#This Row],[已存入]]-Store_Setting[[#This Row],[已支取]])</f>
        <v>0</v>
      </c>
      <c r="H41" s="25">
        <f>SUM(UserInfo[31 - 剩餘])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Row],[入庫小計]]-Store_Setting[[#This Row],[取貨小計]]</f>
        <v>0</v>
      </c>
      <c r="L41" s="25">
        <f>SUMIFS(Store_History[数量],Store_History[唯一識別碼],Store_Setting[[#This Row],[唯一識別碼]],Store_History[類型],$D$81)</f>
        <v>0</v>
      </c>
      <c r="M41" s="25">
        <f>SUMIFS(Store_History[数量],Store_History[唯一識別碼],Store_Setting[[#This Row],[唯一識別碼]],Store_History[類型],$E$81)</f>
        <v>0</v>
      </c>
      <c r="N41" s="4" t="s">
        <v>80</v>
      </c>
      <c r="O41" s="4" t="s">
        <v>80</v>
      </c>
      <c r="P41" s="9" t="s">
        <v>377</v>
      </c>
      <c r="Q41" s="9" t="s">
        <v>378</v>
      </c>
      <c r="R41" s="9" t="s">
        <v>379</v>
      </c>
      <c r="S41" s="9" t="s">
        <v>380</v>
      </c>
    </row>
    <row r="42" spans="2:56" ht="40" customHeight="1">
      <c r="B42" s="62"/>
      <c r="C42" s="30"/>
      <c r="D42" s="64" t="str">
        <f>CONCATENATE(Store_Setting[[#This Row],[商品序號]], IF(Store_Setting[[#This Row],[商品名稱]]="","", _xlfn.CONCAT(" | ",_xlfn.SINGLE(Store_Setting[商品名稱]))))</f>
        <v>32</v>
      </c>
      <c r="E42" s="9">
        <v>32</v>
      </c>
      <c r="F42" s="34"/>
      <c r="G42" s="32">
        <f>Store_Setting[[#This Row],[庫存負差]]-SUM(Store_Setting[[#This Row],[已存入]]-Store_Setting[[#This Row],[已支取]])</f>
        <v>0</v>
      </c>
      <c r="H42" s="25">
        <f>SUM(UserInfo[32 - 剩餘])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Row],[入庫小計]]-Store_Setting[[#This Row],[取貨小計]]</f>
        <v>0</v>
      </c>
      <c r="L42" s="25">
        <f>SUMIFS(Store_History[数量],Store_History[唯一識別碼],Store_Setting[[#This Row],[唯一識別碼]],Store_History[類型],$D$81)</f>
        <v>0</v>
      </c>
      <c r="M42" s="25">
        <f>SUMIFS(Store_History[数量],Store_History[唯一識別碼],Store_Setting[[#This Row],[唯一識別碼]],Store_History[類型],$E$81)</f>
        <v>0</v>
      </c>
      <c r="N42" s="4" t="s">
        <v>80</v>
      </c>
      <c r="O42" s="4" t="s">
        <v>80</v>
      </c>
      <c r="P42" s="9" t="s">
        <v>381</v>
      </c>
      <c r="Q42" s="9" t="s">
        <v>382</v>
      </c>
      <c r="R42" s="9" t="s">
        <v>383</v>
      </c>
      <c r="S42" s="9" t="s">
        <v>312</v>
      </c>
    </row>
    <row r="43" spans="2:56" ht="40" customHeight="1">
      <c r="B43" s="62"/>
      <c r="C43" s="30"/>
      <c r="D43" s="64" t="str">
        <f>CONCATENATE(Store_Setting[[#This Row],[商品序號]], IF(Store_Setting[[#This Row],[商品名稱]]="","", _xlfn.CONCAT(" | ",_xlfn.SINGLE(Store_Setting[商品名稱]))))</f>
        <v>33</v>
      </c>
      <c r="E43" s="9">
        <v>33</v>
      </c>
      <c r="F43" s="34"/>
      <c r="G43" s="32">
        <f>Store_Setting[[#This Row],[庫存負差]]-SUM(Store_Setting[[#This Row],[已存入]]-Store_Setting[[#This Row],[已支取]])</f>
        <v>0</v>
      </c>
      <c r="H43" s="25">
        <f>SUM(UserInfo[33 - 剩餘])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Row],[入庫小計]]-Store_Setting[[#This Row],[取貨小計]]</f>
        <v>0</v>
      </c>
      <c r="L43" s="25">
        <f>SUMIFS(Store_History[数量],Store_History[唯一識別碼],Store_Setting[[#This Row],[唯一識別碼]],Store_History[類型],$D$81)</f>
        <v>0</v>
      </c>
      <c r="M43" s="25">
        <f>SUMIFS(Store_History[数量],Store_History[唯一識別碼],Store_Setting[[#This Row],[唯一識別碼]],Store_History[類型],$E$81)</f>
        <v>0</v>
      </c>
      <c r="N43" s="4" t="s">
        <v>80</v>
      </c>
      <c r="O43" s="4" t="s">
        <v>80</v>
      </c>
      <c r="P43" s="9" t="s">
        <v>384</v>
      </c>
      <c r="Q43" s="9" t="s">
        <v>385</v>
      </c>
      <c r="R43" s="9" t="s">
        <v>386</v>
      </c>
      <c r="S43" s="9" t="s">
        <v>313</v>
      </c>
    </row>
    <row r="44" spans="2:56" ht="40" customHeight="1">
      <c r="B44" s="62"/>
      <c r="C44" s="30"/>
      <c r="D44" s="64" t="str">
        <f>CONCATENATE(Store_Setting[[#This Row],[商品序號]], IF(Store_Setting[[#This Row],[商品名稱]]="","", _xlfn.CONCAT(" | ",_xlfn.SINGLE(Store_Setting[商品名稱]))))</f>
        <v>34</v>
      </c>
      <c r="E44" s="9">
        <v>34</v>
      </c>
      <c r="F44" s="34"/>
      <c r="G44" s="32">
        <f>Store_Setting[[#This Row],[庫存負差]]-SUM(Store_Setting[[#This Row],[已存入]]-Store_Setting[[#This Row],[已支取]])</f>
        <v>0</v>
      </c>
      <c r="H44" s="25">
        <f>SUM(UserInfo[34 - 剩餘])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Row],[入庫小計]]-Store_Setting[[#This Row],[取貨小計]]</f>
        <v>0</v>
      </c>
      <c r="L44" s="25">
        <f>SUMIFS(Store_History[数量],Store_History[唯一識別碼],Store_Setting[[#This Row],[唯一識別碼]],Store_History[類型],$D$81)</f>
        <v>0</v>
      </c>
      <c r="M44" s="25">
        <f>SUMIFS(Store_History[数量],Store_History[唯一識別碼],Store_Setting[[#This Row],[唯一識別碼]],Store_History[類型],$E$81)</f>
        <v>0</v>
      </c>
      <c r="N44" s="4" t="s">
        <v>80</v>
      </c>
      <c r="O44" s="4" t="s">
        <v>80</v>
      </c>
      <c r="P44" s="9" t="s">
        <v>387</v>
      </c>
      <c r="Q44" s="9" t="s">
        <v>388</v>
      </c>
      <c r="R44" s="9" t="s">
        <v>389</v>
      </c>
      <c r="S44" s="9" t="s">
        <v>390</v>
      </c>
    </row>
    <row r="45" spans="2:56" ht="40" customHeight="1">
      <c r="B45" s="62"/>
      <c r="C45" s="30"/>
      <c r="D45" s="64" t="str">
        <f>CONCATENATE(Store_Setting[[#This Row],[商品序號]], IF(Store_Setting[[#This Row],[商品名稱]]="","", _xlfn.CONCAT(" | ",_xlfn.SINGLE(Store_Setting[商品名稱]))))</f>
        <v>35</v>
      </c>
      <c r="E45" s="9">
        <v>35</v>
      </c>
      <c r="F45" s="34"/>
      <c r="G45" s="32">
        <f>Store_Setting[[#This Row],[庫存負差]]-SUM(Store_Setting[[#This Row],[已存入]]-Store_Setting[[#This Row],[已支取]])</f>
        <v>0</v>
      </c>
      <c r="H45" s="25">
        <f>SUM(UserInfo[35 - 剩餘])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Row],[入庫小計]]-Store_Setting[[#This Row],[取貨小計]]</f>
        <v>0</v>
      </c>
      <c r="L45" s="25">
        <f>SUMIFS(Store_History[数量],Store_History[唯一識別碼],Store_Setting[[#This Row],[唯一識別碼]],Store_History[類型],$D$81)</f>
        <v>0</v>
      </c>
      <c r="M45" s="25">
        <f>SUMIFS(Store_History[数量],Store_History[唯一識別碼],Store_Setting[[#This Row],[唯一識別碼]],Store_History[類型],$E$81)</f>
        <v>0</v>
      </c>
      <c r="N45" s="4" t="s">
        <v>80</v>
      </c>
      <c r="O45" s="4" t="s">
        <v>80</v>
      </c>
      <c r="P45" s="9" t="s">
        <v>391</v>
      </c>
      <c r="Q45" s="9" t="s">
        <v>392</v>
      </c>
      <c r="R45" s="9" t="s">
        <v>393</v>
      </c>
      <c r="S45" s="9" t="s">
        <v>315</v>
      </c>
    </row>
    <row r="46" spans="2:56" ht="40" customHeight="1">
      <c r="B46" s="62"/>
      <c r="C46" s="30"/>
      <c r="D46" s="64" t="str">
        <f>CONCATENATE(Store_Setting[[#This Row],[商品序號]], IF(Store_Setting[[#This Row],[商品名稱]]="","", _xlfn.CONCAT(" | ",_xlfn.SINGLE(Store_Setting[商品名稱]))))</f>
        <v>36</v>
      </c>
      <c r="E46" s="9">
        <v>36</v>
      </c>
      <c r="F46" s="34"/>
      <c r="G46" s="32">
        <f>Store_Setting[[#This Row],[庫存負差]]-SUM(Store_Setting[[#This Row],[已存入]]-Store_Setting[[#This Row],[已支取]])</f>
        <v>0</v>
      </c>
      <c r="H46" s="25">
        <f>SUM(UserInfo[36 - 剩餘])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Row],[入庫小計]]-Store_Setting[[#This Row],[取貨小計]]</f>
        <v>0</v>
      </c>
      <c r="L46" s="25">
        <f>SUMIFS(Store_History[数量],Store_History[唯一識別碼],Store_Setting[[#This Row],[唯一識別碼]],Store_History[類型],$D$81)</f>
        <v>0</v>
      </c>
      <c r="M46" s="25">
        <f>SUMIFS(Store_History[数量],Store_History[唯一識別碼],Store_Setting[[#This Row],[唯一識別碼]],Store_History[類型],$E$81)</f>
        <v>0</v>
      </c>
      <c r="N46" s="4" t="s">
        <v>80</v>
      </c>
      <c r="O46" s="4" t="s">
        <v>80</v>
      </c>
      <c r="P46" s="9" t="s">
        <v>394</v>
      </c>
      <c r="Q46" s="9" t="s">
        <v>395</v>
      </c>
      <c r="R46" s="9" t="s">
        <v>396</v>
      </c>
      <c r="S46" s="9" t="s">
        <v>316</v>
      </c>
    </row>
    <row r="47" spans="2:56" ht="40" customHeight="1">
      <c r="B47" s="62"/>
      <c r="C47" s="30"/>
      <c r="D47" s="64" t="str">
        <f>CONCATENATE(Store_Setting[[#This Row],[商品序號]], IF(Store_Setting[[#This Row],[商品名稱]]="","", _xlfn.CONCAT(" | ",_xlfn.SINGLE(Store_Setting[商品名稱]))))</f>
        <v>37</v>
      </c>
      <c r="E47" s="9">
        <v>37</v>
      </c>
      <c r="F47" s="34"/>
      <c r="G47" s="32">
        <f>Store_Setting[[#This Row],[庫存負差]]-SUM(Store_Setting[[#This Row],[已存入]]-Store_Setting[[#This Row],[已支取]])</f>
        <v>0</v>
      </c>
      <c r="H47" s="25">
        <f>SUM(UserInfo[37 - 剩餘])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Row],[入庫小計]]-Store_Setting[[#This Row],[取貨小計]]</f>
        <v>0</v>
      </c>
      <c r="L47" s="25">
        <f>SUMIFS(Store_History[数量],Store_History[唯一識別碼],Store_Setting[[#This Row],[唯一識別碼]],Store_History[類型],$D$81)</f>
        <v>0</v>
      </c>
      <c r="M47" s="25">
        <f>SUMIFS(Store_History[数量],Store_History[唯一識別碼],Store_Setting[[#This Row],[唯一識別碼]],Store_History[類型],$E$81)</f>
        <v>0</v>
      </c>
      <c r="N47" s="4" t="s">
        <v>80</v>
      </c>
      <c r="O47" s="4" t="s">
        <v>80</v>
      </c>
      <c r="P47" s="9" t="s">
        <v>397</v>
      </c>
      <c r="Q47" s="9" t="s">
        <v>398</v>
      </c>
      <c r="R47" s="9" t="s">
        <v>399</v>
      </c>
      <c r="S47" s="9" t="s">
        <v>400</v>
      </c>
    </row>
    <row r="48" spans="2:56" ht="40" customHeight="1">
      <c r="B48" s="62"/>
      <c r="C48" s="30"/>
      <c r="D48" s="64" t="str">
        <f>CONCATENATE(Store_Setting[[#This Row],[商品序號]], IF(Store_Setting[[#This Row],[商品名稱]]="","", _xlfn.CONCAT(" | ",_xlfn.SINGLE(Store_Setting[商品名稱]))))</f>
        <v>38</v>
      </c>
      <c r="E48" s="9">
        <v>38</v>
      </c>
      <c r="F48" s="34"/>
      <c r="G48" s="32">
        <f>Store_Setting[[#This Row],[庫存負差]]-SUM(Store_Setting[[#This Row],[已存入]]-Store_Setting[[#This Row],[已支取]])</f>
        <v>0</v>
      </c>
      <c r="H48" s="25">
        <f>SUM(UserInfo[38 - 剩餘])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Row],[入庫小計]]-Store_Setting[[#This Row],[取貨小計]]</f>
        <v>0</v>
      </c>
      <c r="L48" s="25">
        <f>SUMIFS(Store_History[数量],Store_History[唯一識別碼],Store_Setting[[#This Row],[唯一識別碼]],Store_History[類型],$D$81)</f>
        <v>0</v>
      </c>
      <c r="M48" s="25">
        <f>SUMIFS(Store_History[数量],Store_History[唯一識別碼],Store_Setting[[#This Row],[唯一識別碼]],Store_History[類型],$E$81)</f>
        <v>0</v>
      </c>
      <c r="N48" s="4" t="s">
        <v>80</v>
      </c>
      <c r="O48" s="4" t="s">
        <v>80</v>
      </c>
      <c r="P48" s="9" t="s">
        <v>401</v>
      </c>
      <c r="Q48" s="9" t="s">
        <v>402</v>
      </c>
      <c r="R48" s="9" t="s">
        <v>403</v>
      </c>
      <c r="S48" s="9" t="s">
        <v>318</v>
      </c>
    </row>
    <row r="49" spans="2:19" ht="40" customHeight="1">
      <c r="B49" s="62"/>
      <c r="C49" s="30"/>
      <c r="D49" s="64" t="str">
        <f>CONCATENATE(Store_Setting[[#This Row],[商品序號]], IF(Store_Setting[[#This Row],[商品名稱]]="","", _xlfn.CONCAT(" | ",_xlfn.SINGLE(Store_Setting[商品名稱]))))</f>
        <v>39</v>
      </c>
      <c r="E49" s="9">
        <v>39</v>
      </c>
      <c r="F49" s="34"/>
      <c r="G49" s="32">
        <f>Store_Setting[[#This Row],[庫存負差]]-SUM(Store_Setting[[#This Row],[已存入]]-Store_Setting[[#This Row],[已支取]])</f>
        <v>0</v>
      </c>
      <c r="H49" s="25">
        <f>SUM(UserInfo[39 - 剩餘])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Row],[入庫小計]]-Store_Setting[[#This Row],[取貨小計]]</f>
        <v>0</v>
      </c>
      <c r="L49" s="25">
        <f>SUMIFS(Store_History[数量],Store_History[唯一識別碼],Store_Setting[[#This Row],[唯一識別碼]],Store_History[類型],$D$81)</f>
        <v>0</v>
      </c>
      <c r="M49" s="25">
        <f>SUMIFS(Store_History[数量],Store_History[唯一識別碼],Store_Setting[[#This Row],[唯一識別碼]],Store_History[類型],$E$81)</f>
        <v>0</v>
      </c>
      <c r="N49" s="4" t="s">
        <v>80</v>
      </c>
      <c r="O49" s="4" t="s">
        <v>80</v>
      </c>
      <c r="P49" s="9" t="s">
        <v>404</v>
      </c>
      <c r="Q49" s="9" t="s">
        <v>405</v>
      </c>
      <c r="R49" s="9" t="s">
        <v>406</v>
      </c>
      <c r="S49" s="9" t="s">
        <v>319</v>
      </c>
    </row>
    <row r="50" spans="2:19" ht="40" customHeight="1">
      <c r="B50" s="62"/>
      <c r="C50" s="30"/>
      <c r="D50" s="64" t="str">
        <f>CONCATENATE(Store_Setting[[#This Row],[商品序號]], IF(Store_Setting[[#This Row],[商品名稱]]="","", _xlfn.CONCAT(" | ",_xlfn.SINGLE(Store_Setting[商品名稱]))))</f>
        <v>40</v>
      </c>
      <c r="E50" s="9">
        <v>40</v>
      </c>
      <c r="F50" s="34"/>
      <c r="G50" s="32">
        <f>Store_Setting[[#This Row],[庫存負差]]-SUM(Store_Setting[[#This Row],[已存入]]-Store_Setting[[#This Row],[已支取]])</f>
        <v>0</v>
      </c>
      <c r="H50" s="25">
        <f>SUM(UserInfo[40 - 剩餘])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Row],[入庫小計]]-Store_Setting[[#This Row],[取貨小計]]</f>
        <v>0</v>
      </c>
      <c r="L50" s="25">
        <f>SUMIFS(Store_History[数量],Store_History[唯一識別碼],Store_Setting[[#This Row],[唯一識別碼]],Store_History[類型],$D$81)</f>
        <v>0</v>
      </c>
      <c r="M50" s="25">
        <f>SUMIFS(Store_History[数量],Store_History[唯一識別碼],Store_Setting[[#This Row],[唯一識別碼]],Store_History[類型],$E$81)</f>
        <v>0</v>
      </c>
      <c r="N50" s="4" t="s">
        <v>80</v>
      </c>
      <c r="O50" s="4" t="s">
        <v>80</v>
      </c>
      <c r="P50" s="9" t="s">
        <v>407</v>
      </c>
      <c r="Q50" s="9" t="s">
        <v>408</v>
      </c>
      <c r="R50" s="9" t="s">
        <v>409</v>
      </c>
      <c r="S50" s="9" t="s">
        <v>410</v>
      </c>
    </row>
    <row r="51" spans="2:19" ht="8.15" customHeight="1"/>
    <row r="52" spans="2:19" ht="40" customHeight="1">
      <c r="B52" s="62" t="s">
        <v>9</v>
      </c>
      <c r="C52" s="30" t="s">
        <v>184</v>
      </c>
      <c r="D52" s="36" t="s">
        <v>162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2"/>
      <c r="C53" s="30" t="s">
        <v>185</v>
      </c>
      <c r="D53" s="37" t="s">
        <v>202</v>
      </c>
      <c r="E53" s="37" t="s">
        <v>162</v>
      </c>
      <c r="F53" s="37"/>
      <c r="G53" s="38"/>
      <c r="H53" s="38"/>
      <c r="I53" s="38"/>
      <c r="J53" s="38"/>
      <c r="K53" s="38"/>
      <c r="L53" s="38"/>
      <c r="M53" s="38"/>
      <c r="N53" s="38"/>
      <c r="O53" s="38"/>
    </row>
    <row r="54" spans="2:19" ht="40" customHeight="1">
      <c r="B54" s="62"/>
      <c r="C54" s="30" t="s">
        <v>186</v>
      </c>
      <c r="D54" s="37"/>
      <c r="E54" s="37"/>
      <c r="F54" s="37"/>
      <c r="G54" s="38"/>
      <c r="H54" s="38"/>
      <c r="I54" s="38"/>
      <c r="J54" s="38"/>
      <c r="K54" s="38"/>
      <c r="L54" s="38"/>
      <c r="M54" s="38"/>
      <c r="N54" s="38"/>
      <c r="O54" s="38"/>
    </row>
    <row r="55" spans="2:19" ht="8.1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</row>
    <row r="56" spans="2:19" ht="40" customHeight="1">
      <c r="B56" s="62" t="s">
        <v>10</v>
      </c>
      <c r="C56" s="30"/>
      <c r="D56" s="68" t="s">
        <v>17</v>
      </c>
      <c r="E56" s="29" t="s">
        <v>199</v>
      </c>
      <c r="F56" s="29" t="s">
        <v>200</v>
      </c>
      <c r="G56" s="69" t="s">
        <v>201</v>
      </c>
      <c r="H56" s="69" t="s">
        <v>13</v>
      </c>
      <c r="I56" s="69" t="s">
        <v>14</v>
      </c>
      <c r="J56" s="69" t="s">
        <v>416</v>
      </c>
      <c r="K56" s="69" t="s">
        <v>417</v>
      </c>
      <c r="L56" s="69" t="s">
        <v>208</v>
      </c>
      <c r="M56" s="69" t="s">
        <v>470</v>
      </c>
      <c r="N56" s="69" t="s">
        <v>429</v>
      </c>
      <c r="O56" s="70"/>
    </row>
    <row r="57" spans="2:19" ht="40" customHeight="1">
      <c r="B57" s="62"/>
      <c r="C57" s="30" t="s">
        <v>197</v>
      </c>
      <c r="D57" s="18" t="s">
        <v>80</v>
      </c>
      <c r="E57" s="18" t="s">
        <v>81</v>
      </c>
      <c r="F57" s="18" t="s">
        <v>81</v>
      </c>
      <c r="G57" s="18" t="s">
        <v>81</v>
      </c>
      <c r="H57" s="18" t="s">
        <v>81</v>
      </c>
      <c r="I57" s="18" t="s">
        <v>81</v>
      </c>
      <c r="J57" s="71" t="s">
        <v>418</v>
      </c>
      <c r="K57" s="70"/>
      <c r="L57" s="70"/>
      <c r="M57" s="70"/>
      <c r="N57" s="70"/>
      <c r="O57" s="70"/>
    </row>
    <row r="58" spans="2:19" ht="40" customHeight="1">
      <c r="B58" s="62"/>
      <c r="C58" s="65" t="s">
        <v>420</v>
      </c>
      <c r="D58" s="18" t="s">
        <v>419</v>
      </c>
      <c r="E58" s="18" t="s">
        <v>419</v>
      </c>
      <c r="F58" s="18" t="s">
        <v>439</v>
      </c>
      <c r="G58" s="18" t="s">
        <v>439</v>
      </c>
      <c r="H58" s="18" t="s">
        <v>439</v>
      </c>
      <c r="I58" s="18" t="s">
        <v>439</v>
      </c>
      <c r="J58" s="18" t="s">
        <v>419</v>
      </c>
      <c r="K58" s="18" t="s">
        <v>419</v>
      </c>
      <c r="L58" s="18" t="s">
        <v>419</v>
      </c>
      <c r="M58" s="18" t="s">
        <v>419</v>
      </c>
      <c r="N58" s="18" t="s">
        <v>419</v>
      </c>
      <c r="O58" s="70"/>
    </row>
    <row r="59" spans="2:19" ht="40" customHeight="1">
      <c r="B59" s="62"/>
      <c r="C59" s="65" t="s">
        <v>421</v>
      </c>
      <c r="D59" s="18" t="s">
        <v>419</v>
      </c>
      <c r="E59" s="18" t="s">
        <v>419</v>
      </c>
      <c r="F59" s="18" t="s">
        <v>419</v>
      </c>
      <c r="G59" s="18" t="s">
        <v>419</v>
      </c>
      <c r="H59" s="18" t="s">
        <v>419</v>
      </c>
      <c r="I59" s="18" t="s">
        <v>419</v>
      </c>
      <c r="J59" s="71"/>
      <c r="K59" s="18" t="s">
        <v>419</v>
      </c>
      <c r="L59" s="18" t="s">
        <v>419</v>
      </c>
      <c r="M59" s="71"/>
      <c r="N59" s="70"/>
      <c r="O59" s="70"/>
    </row>
    <row r="60" spans="2:19" ht="40" customHeight="1">
      <c r="B60" s="62"/>
      <c r="C60" s="65" t="s">
        <v>198</v>
      </c>
      <c r="D60" s="18" t="s">
        <v>81</v>
      </c>
      <c r="E60" s="72" t="s">
        <v>196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40" customHeight="1">
      <c r="B61" s="62"/>
      <c r="C61" s="65" t="s">
        <v>263</v>
      </c>
      <c r="D61" s="18" t="s">
        <v>80</v>
      </c>
      <c r="E61" s="72" t="s">
        <v>262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2"/>
      <c r="C62" s="65" t="s">
        <v>423</v>
      </c>
      <c r="D62" s="18" t="s">
        <v>80</v>
      </c>
      <c r="E62" s="72" t="s">
        <v>424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40" customHeight="1">
      <c r="B63" s="62"/>
      <c r="C63" s="65" t="s">
        <v>264</v>
      </c>
      <c r="D63" s="18" t="s">
        <v>80</v>
      </c>
      <c r="E63" s="72" t="s">
        <v>261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1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</row>
    <row r="65" spans="2:15" ht="40" customHeight="1">
      <c r="B65" s="62" t="s">
        <v>15</v>
      </c>
      <c r="C65" s="30" t="s">
        <v>188</v>
      </c>
      <c r="D65" s="36" t="s">
        <v>147</v>
      </c>
      <c r="E65" s="36" t="s">
        <v>194</v>
      </c>
      <c r="F65" s="36" t="s">
        <v>148</v>
      </c>
      <c r="G65" s="36" t="s">
        <v>154</v>
      </c>
      <c r="H65" s="36" t="s">
        <v>155</v>
      </c>
      <c r="I65" s="36" t="s">
        <v>156</v>
      </c>
      <c r="J65" s="36" t="s">
        <v>157</v>
      </c>
      <c r="K65" s="36"/>
      <c r="L65" s="36"/>
      <c r="M65" s="36"/>
      <c r="N65" s="36"/>
      <c r="O65" s="36"/>
    </row>
    <row r="66" spans="2:15" ht="40" customHeight="1">
      <c r="B66" s="62"/>
      <c r="C66" s="65" t="s">
        <v>265</v>
      </c>
      <c r="D66" s="18" t="s">
        <v>80</v>
      </c>
      <c r="E66" s="72" t="s">
        <v>195</v>
      </c>
      <c r="F66" s="30"/>
      <c r="G66" s="30"/>
      <c r="H66" s="30"/>
      <c r="I66" s="30"/>
      <c r="J66" s="30"/>
      <c r="K66" s="30"/>
      <c r="L66" s="30"/>
      <c r="M66" s="30"/>
      <c r="N66" s="30"/>
      <c r="O66" s="30"/>
    </row>
    <row r="67" spans="2:15" ht="40" customHeight="1">
      <c r="B67" s="62"/>
      <c r="C67" s="65" t="s">
        <v>266</v>
      </c>
      <c r="D67" s="18" t="s">
        <v>80</v>
      </c>
      <c r="E67" s="72" t="s">
        <v>260</v>
      </c>
      <c r="F67" s="30"/>
      <c r="G67" s="30"/>
      <c r="H67" s="30"/>
      <c r="I67" s="30"/>
      <c r="J67" s="30"/>
      <c r="K67" s="30"/>
      <c r="L67" s="30"/>
      <c r="M67" s="30"/>
      <c r="N67" s="30"/>
      <c r="O67" s="30"/>
    </row>
    <row r="68" spans="2:15" ht="40" customHeight="1">
      <c r="B68" s="62"/>
      <c r="C68" s="65" t="s">
        <v>267</v>
      </c>
      <c r="D68" s="18" t="s">
        <v>80</v>
      </c>
      <c r="E68" s="72" t="s">
        <v>259</v>
      </c>
      <c r="F68" s="30"/>
      <c r="G68" s="30"/>
      <c r="H68" s="30"/>
      <c r="I68" s="30"/>
      <c r="J68" s="30"/>
      <c r="K68" s="30"/>
      <c r="L68" s="30"/>
      <c r="M68" s="30"/>
      <c r="N68" s="30"/>
      <c r="O68" s="30"/>
    </row>
    <row r="69" spans="2:15" ht="8.1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2" t="s">
        <v>144</v>
      </c>
      <c r="C70" s="30" t="s">
        <v>426</v>
      </c>
      <c r="D70" s="88" t="s">
        <v>467</v>
      </c>
      <c r="E70" s="18">
        <v>1</v>
      </c>
      <c r="F70" s="71" t="s">
        <v>468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2"/>
      <c r="C71" s="30" t="s">
        <v>469</v>
      </c>
      <c r="D71" s="68" t="s">
        <v>187</v>
      </c>
      <c r="E71" s="18" t="s">
        <v>80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2"/>
      <c r="C72" s="30"/>
      <c r="D72" s="68" t="s">
        <v>461</v>
      </c>
      <c r="E72" s="18" t="s">
        <v>80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2"/>
      <c r="C73" s="30"/>
      <c r="D73" s="68" t="s">
        <v>169</v>
      </c>
      <c r="E73" s="18" t="s">
        <v>80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50.05" customHeight="1">
      <c r="B75" s="62" t="s">
        <v>153</v>
      </c>
      <c r="C75" s="30" t="s">
        <v>463</v>
      </c>
      <c r="D75" s="68" t="s">
        <v>464</v>
      </c>
      <c r="E75" s="68" t="s">
        <v>474</v>
      </c>
      <c r="F75" s="68" t="s">
        <v>473</v>
      </c>
      <c r="G75" s="68" t="s">
        <v>472</v>
      </c>
      <c r="H75" s="71" t="s">
        <v>471</v>
      </c>
      <c r="I75" s="70"/>
      <c r="J75" s="70"/>
      <c r="K75" s="70"/>
      <c r="L75" s="70"/>
      <c r="M75" s="70"/>
      <c r="N75" s="70"/>
      <c r="O75" s="70"/>
    </row>
    <row r="76" spans="2:15" ht="40" customHeight="1">
      <c r="B76" s="62"/>
      <c r="C76" s="30"/>
      <c r="D76" s="18" t="s">
        <v>81</v>
      </c>
      <c r="E76" s="18" t="s">
        <v>81</v>
      </c>
      <c r="F76" s="18" t="s">
        <v>81</v>
      </c>
      <c r="G76" s="18" t="s">
        <v>80</v>
      </c>
      <c r="H76" s="70"/>
      <c r="I76" s="70"/>
      <c r="J76" s="70"/>
      <c r="K76" s="70"/>
      <c r="L76" s="70"/>
      <c r="M76" s="70"/>
      <c r="N76" s="70"/>
      <c r="O76" s="70"/>
    </row>
    <row r="77" spans="2:15" ht="40" customHeight="1">
      <c r="B77" s="62"/>
      <c r="C77" s="30"/>
      <c r="D77" s="68" t="s">
        <v>465</v>
      </c>
      <c r="E77" s="87"/>
      <c r="F77" s="86"/>
      <c r="G77" s="86"/>
      <c r="H77" s="86"/>
      <c r="I77" s="86"/>
      <c r="J77" s="86"/>
      <c r="K77" s="86"/>
      <c r="L77" s="86"/>
      <c r="M77" s="86"/>
      <c r="N77" s="86"/>
      <c r="O77" s="63"/>
    </row>
    <row r="78" spans="2:15" ht="8.15" hidden="1" customHeight="1"/>
    <row r="79" spans="2:15" ht="40" hidden="1" customHeight="1">
      <c r="B79" s="73" t="s">
        <v>159</v>
      </c>
      <c r="C79" s="30" t="s">
        <v>211</v>
      </c>
      <c r="D79" s="74" t="s">
        <v>3</v>
      </c>
      <c r="E79" s="74" t="s">
        <v>4</v>
      </c>
      <c r="F79" s="75"/>
      <c r="G79" s="75"/>
      <c r="H79" s="75"/>
      <c r="I79" s="75"/>
      <c r="J79" s="75"/>
      <c r="K79" s="75"/>
      <c r="L79" s="75"/>
      <c r="M79" s="75"/>
      <c r="N79" s="75"/>
      <c r="O79" s="75"/>
    </row>
    <row r="80" spans="2:15" ht="8.15" hidden="1" customHeight="1">
      <c r="B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</row>
    <row r="81" spans="2:15" ht="40" hidden="1" customHeight="1">
      <c r="B81" s="73" t="s">
        <v>425</v>
      </c>
      <c r="C81" s="30" t="s">
        <v>466</v>
      </c>
      <c r="D81" s="74" t="s">
        <v>189</v>
      </c>
      <c r="E81" s="74" t="s">
        <v>190</v>
      </c>
      <c r="F81" s="75"/>
      <c r="G81" s="75"/>
      <c r="H81" s="75"/>
      <c r="I81" s="75"/>
      <c r="J81" s="75"/>
      <c r="K81" s="75"/>
      <c r="L81" s="75"/>
      <c r="M81" s="75"/>
      <c r="N81" s="75"/>
      <c r="O81" s="75"/>
    </row>
    <row r="82" spans="2:15" ht="8.15" hidden="1" customHeight="1">
      <c r="B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</row>
    <row r="83" spans="2:15" ht="40" hidden="1" customHeight="1">
      <c r="B83" s="73" t="s">
        <v>462</v>
      </c>
      <c r="C83" s="30" t="s">
        <v>199</v>
      </c>
      <c r="D83" s="74" t="s">
        <v>5</v>
      </c>
      <c r="E83" s="74" t="s">
        <v>6</v>
      </c>
      <c r="F83" s="75"/>
      <c r="G83" s="75"/>
      <c r="H83" s="75"/>
      <c r="I83" s="75"/>
      <c r="J83" s="75"/>
      <c r="K83" s="75"/>
      <c r="L83" s="75"/>
      <c r="M83" s="75"/>
      <c r="N83" s="75"/>
      <c r="O83" s="75"/>
    </row>
    <row r="84" spans="2:15" ht="8.15" customHeight="1">
      <c r="B84" s="66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</row>
    <row r="85" spans="2:15" ht="40" customHeight="1">
      <c r="B85" s="73" t="s">
        <v>181</v>
      </c>
      <c r="C85" s="76" t="s">
        <v>166</v>
      </c>
      <c r="D85" s="71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70"/>
      <c r="F85" s="30"/>
      <c r="G85" s="30"/>
      <c r="H85" s="30"/>
      <c r="I85" s="30"/>
      <c r="J85" s="30"/>
      <c r="K85" s="30"/>
      <c r="L85" s="30"/>
      <c r="M85" s="30"/>
      <c r="N85" s="30"/>
      <c r="O85" s="30"/>
    </row>
    <row r="86" spans="2:15" ht="40" customHeight="1">
      <c r="B86" s="73"/>
      <c r="C86" s="76" t="s">
        <v>187</v>
      </c>
      <c r="D86" s="7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70"/>
      <c r="F86" s="30"/>
      <c r="G86" s="30"/>
      <c r="H86" s="30"/>
      <c r="I86" s="30"/>
      <c r="J86" s="30"/>
      <c r="K86" s="30"/>
      <c r="L86" s="30"/>
      <c r="M86" s="30"/>
      <c r="N86" s="30"/>
      <c r="O86" s="30"/>
    </row>
    <row r="87" spans="2:15" ht="40" customHeight="1">
      <c r="B87" s="73"/>
      <c r="C87" s="76" t="s">
        <v>169</v>
      </c>
      <c r="D87" s="7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70"/>
      <c r="F87" s="30"/>
      <c r="G87" s="77"/>
      <c r="H87" s="30"/>
      <c r="I87" s="30"/>
      <c r="J87" s="30"/>
      <c r="K87" s="30"/>
      <c r="L87" s="30"/>
      <c r="M87" s="30"/>
      <c r="N87" s="30"/>
      <c r="O87" s="30"/>
    </row>
    <row r="88" spans="2:15" ht="40" customHeight="1">
      <c r="B88" s="73"/>
      <c r="C88" s="76" t="s">
        <v>167</v>
      </c>
      <c r="D88" s="71" t="str">
        <f>_xlfn.CONCAT("共有 ", COUNTA(Get_Staff_Member)," 位元員工")</f>
        <v>共有 2 位元員工</v>
      </c>
      <c r="E88" s="70"/>
      <c r="F88" s="30"/>
      <c r="G88" s="30"/>
      <c r="H88" s="30"/>
      <c r="I88" s="30"/>
      <c r="J88" s="30"/>
      <c r="K88" s="30"/>
      <c r="L88" s="30"/>
      <c r="M88" s="30"/>
      <c r="N88" s="30"/>
      <c r="O88" s="30"/>
    </row>
    <row r="89" spans="2:15" ht="40" customHeight="1">
      <c r="B89" s="73"/>
      <c r="C89" s="76" t="s">
        <v>188</v>
      </c>
      <c r="D89" s="71" t="str">
        <f>_xlfn.CONCAT("已設定 ", COUNTA(Get_Work_Unit)," 個單位")</f>
        <v>已設定 7 個單位</v>
      </c>
      <c r="E89" s="70"/>
      <c r="F89" s="30"/>
      <c r="G89" s="30"/>
      <c r="H89" s="30"/>
      <c r="I89" s="30"/>
      <c r="J89" s="30"/>
      <c r="K89" s="30"/>
      <c r="L89" s="30"/>
      <c r="M89" s="30"/>
      <c r="N89" s="30"/>
      <c r="O89" s="30"/>
    </row>
    <row r="90" spans="2:15" ht="16" customHeight="1"/>
    <row r="91" spans="2:15" ht="40" customHeight="1">
      <c r="B91" s="78" t="s">
        <v>193</v>
      </c>
      <c r="C91" s="78"/>
      <c r="D91" s="78"/>
      <c r="E91" s="78"/>
    </row>
    <row r="92" spans="2:15" ht="40" customHeight="1">
      <c r="B92" s="79" t="s">
        <v>191</v>
      </c>
      <c r="C92" s="7" t="s">
        <v>83</v>
      </c>
      <c r="D92" s="8"/>
      <c r="E92" s="8"/>
    </row>
    <row r="93" spans="2:15" ht="40" customHeight="1">
      <c r="B93" s="79" t="s">
        <v>12</v>
      </c>
      <c r="C93" s="80" t="s">
        <v>11</v>
      </c>
      <c r="D93" s="81"/>
      <c r="E93" s="81"/>
    </row>
    <row r="94" spans="2:15" ht="40" customHeight="1">
      <c r="B94" s="79" t="s">
        <v>192</v>
      </c>
      <c r="C94" s="7" t="s">
        <v>82</v>
      </c>
      <c r="D94" s="8"/>
      <c r="E94" s="8"/>
    </row>
    <row r="95" spans="2:15" ht="40" customHeight="1">
      <c r="B95" s="79" t="s">
        <v>79</v>
      </c>
      <c r="C95" s="7" t="s">
        <v>415</v>
      </c>
      <c r="D95" s="7"/>
      <c r="E95" s="7"/>
    </row>
    <row r="96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39" customWidth="1"/>
    <col min="3" max="3" width="14.69140625" style="39" customWidth="1"/>
    <col min="4" max="4" width="15.69140625" style="39" customWidth="1"/>
    <col min="5" max="5" width="44.69140625" style="39" customWidth="1"/>
    <col min="6" max="6" width="5.69140625" style="39" customWidth="1"/>
    <col min="7" max="8" width="2.69140625" style="39" customWidth="1"/>
    <col min="9" max="16384" width="9.15234375" style="39" hidden="1"/>
  </cols>
  <sheetData>
    <row r="1" spans="1:8" s="54" customFormat="1" ht="6" customHeight="1"/>
    <row r="2" spans="1:8" ht="55" customHeight="1">
      <c r="A2" s="12"/>
      <c r="B2" s="11" t="str">
        <f>CONCATENATE(IF(設定!D7="","",_xlfn.CONCAT(設定!D7," - ")),"新增入庫取貨")</f>
        <v>Yi - 新增入庫取貨</v>
      </c>
      <c r="C2" s="11"/>
      <c r="D2" s="11"/>
      <c r="E2" s="12"/>
      <c r="F2" s="12"/>
      <c r="G2" s="12"/>
      <c r="H2" s="12"/>
    </row>
    <row r="3" spans="1:8" ht="14.15" customHeight="1"/>
    <row r="4" spans="1:8" ht="14.15" customHeight="1">
      <c r="B4" s="13"/>
      <c r="C4" s="13"/>
      <c r="D4" s="13"/>
      <c r="E4" s="13"/>
      <c r="F4" s="13"/>
      <c r="G4" s="13"/>
    </row>
    <row r="5" spans="1:8" ht="35.15" customHeight="1">
      <c r="B5" s="13"/>
      <c r="C5" s="14" t="s">
        <v>203</v>
      </c>
      <c r="D5" s="2"/>
      <c r="E5" s="15"/>
      <c r="F5" s="82"/>
      <c r="G5" s="13"/>
    </row>
    <row r="6" spans="1:8" ht="14.15" customHeight="1">
      <c r="B6" s="13"/>
      <c r="C6" s="13"/>
      <c r="D6" s="13"/>
      <c r="E6" s="13"/>
      <c r="F6" s="13"/>
      <c r="G6" s="13"/>
    </row>
    <row r="7" spans="1:8" ht="35.15" customHeight="1">
      <c r="B7" s="13"/>
      <c r="C7" s="13" t="s">
        <v>172</v>
      </c>
      <c r="D7" s="16" t="s">
        <v>173</v>
      </c>
      <c r="E7" s="6"/>
      <c r="F7" s="33">
        <v>-1</v>
      </c>
      <c r="G7" s="13"/>
    </row>
    <row r="8" spans="1:8" ht="35.15" customHeight="1">
      <c r="B8" s="13"/>
      <c r="C8" s="13"/>
      <c r="D8" s="83" t="s">
        <v>210</v>
      </c>
      <c r="E8" s="84" t="str">
        <f>IFERROR(VLOOKUP(E7,Store_Setting[[唯一識別碼]:[取貨小計]],2,0)&amp;"","")</f>
        <v/>
      </c>
      <c r="F8" s="13"/>
      <c r="G8" s="13"/>
    </row>
    <row r="9" spans="1:8" ht="35.15" customHeight="1">
      <c r="B9" s="13"/>
      <c r="C9" s="13"/>
      <c r="D9" s="83" t="s">
        <v>175</v>
      </c>
      <c r="E9" s="84" t="str">
        <f>IFERROR(VLOOKUP(E7,Store_Setting[[唯一識別碼]:[取貨小計]],3,0)&amp;"","")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15" customHeight="1">
      <c r="B11" s="13"/>
      <c r="C11" s="13" t="s">
        <v>150</v>
      </c>
      <c r="D11" s="16" t="s">
        <v>211</v>
      </c>
      <c r="E11" s="5"/>
      <c r="F11" s="19">
        <v>-1</v>
      </c>
      <c r="G11" s="13"/>
    </row>
    <row r="12" spans="1:8" ht="35.15" customHeight="1">
      <c r="B12" s="13"/>
      <c r="C12" s="13"/>
      <c r="D12" s="16" t="s">
        <v>212</v>
      </c>
      <c r="E12" s="17"/>
      <c r="F12" s="19">
        <v>-1</v>
      </c>
      <c r="G12" s="13"/>
    </row>
    <row r="13" spans="1:8" ht="35.15" customHeight="1">
      <c r="B13" s="13"/>
      <c r="C13" s="13"/>
      <c r="D13" s="16" t="s">
        <v>188</v>
      </c>
      <c r="E13" s="6"/>
      <c r="F13" s="33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15" customHeight="1">
      <c r="B15" s="13"/>
      <c r="C15" s="13"/>
      <c r="D15" s="16" t="s">
        <v>208</v>
      </c>
      <c r="E15" s="3"/>
      <c r="F15" s="33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15" customHeight="1">
      <c r="B17" s="13"/>
      <c r="C17" s="13" t="s">
        <v>206</v>
      </c>
      <c r="D17" s="16" t="s">
        <v>209</v>
      </c>
      <c r="E17" s="5" t="s">
        <v>162</v>
      </c>
      <c r="F17" s="19">
        <v>1</v>
      </c>
      <c r="G17" s="13"/>
    </row>
    <row r="18" spans="2:12" ht="14.15" customHeight="1">
      <c r="B18" s="13"/>
      <c r="C18" s="13"/>
      <c r="D18" s="13"/>
      <c r="E18" s="13"/>
      <c r="F18" s="13"/>
      <c r="G18" s="13"/>
    </row>
    <row r="19" spans="2:12" ht="14.15" customHeight="1"/>
    <row r="20" spans="2:12" ht="40" hidden="1" customHeight="1">
      <c r="L20" s="3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7" customWidth="1"/>
    <col min="8" max="8" width="12.69140625" style="19" customWidth="1"/>
    <col min="9" max="9" width="22.69140625" style="40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54" customFormat="1" ht="6" customHeight="1"/>
    <row r="2" spans="2:10" s="12" customFormat="1" ht="55" customHeight="1">
      <c r="B2" s="11" t="str">
        <f>CONCATENATE(IF(設定!D7="","",_xlfn.CONCAT(設定!D7," - ")),"入库取货")</f>
        <v>Yi - 入库取货</v>
      </c>
      <c r="D2" s="98"/>
    </row>
    <row r="3" spans="2:10" ht="8.1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210</v>
      </c>
      <c r="C4" s="23" t="s">
        <v>173</v>
      </c>
      <c r="D4" s="23" t="s">
        <v>211</v>
      </c>
      <c r="E4" s="23" t="s">
        <v>145</v>
      </c>
      <c r="F4" s="23" t="s">
        <v>146</v>
      </c>
      <c r="G4" s="23" t="s">
        <v>0</v>
      </c>
      <c r="H4" s="23" t="s">
        <v>1</v>
      </c>
      <c r="I4" s="23" t="s">
        <v>2</v>
      </c>
      <c r="J4" s="23" t="s">
        <v>427</v>
      </c>
    </row>
    <row r="5" spans="2:10" ht="40" customHeight="1">
      <c r="B5" s="9" cm="1">
        <f t="array" ref="B5">SNGKI</f>
        <v>1</v>
      </c>
      <c r="C5" s="89" t="s">
        <v>163</v>
      </c>
      <c r="D5" s="4" t="s">
        <v>189</v>
      </c>
      <c r="E5" s="90"/>
      <c r="F5" s="4"/>
      <c r="G5" s="96"/>
      <c r="H5" s="4" t="s">
        <v>162</v>
      </c>
      <c r="I5" s="34" t="s">
        <v>430</v>
      </c>
      <c r="J5" s="53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39" customWidth="1"/>
    <col min="3" max="3" width="14.69140625" style="39" customWidth="1"/>
    <col min="4" max="4" width="15.69140625" style="39" customWidth="1"/>
    <col min="5" max="5" width="44.69140625" style="39" customWidth="1"/>
    <col min="6" max="6" width="5.69140625" style="39" customWidth="1"/>
    <col min="7" max="8" width="2.69140625" style="39" customWidth="1"/>
    <col min="9" max="16384" width="9.15234375" style="39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" customHeight="1">
      <c r="A2" s="12"/>
      <c r="B2" s="11" t="str">
        <f>CONCATENATE(IF(設定!D7="","",_xlfn.CONCAT(設定!D7," - ")),"新增會員")</f>
        <v>Yi - 新增會員</v>
      </c>
      <c r="C2" s="11"/>
      <c r="D2" s="11"/>
      <c r="E2" s="12"/>
      <c r="F2" s="12"/>
      <c r="G2" s="12"/>
      <c r="H2" s="12"/>
    </row>
    <row r="3" spans="1:8" ht="14.15" customHeight="1"/>
    <row r="4" spans="1:8" ht="14.15" customHeight="1">
      <c r="B4" s="13"/>
      <c r="C4" s="13"/>
      <c r="D4" s="13"/>
      <c r="E4" s="13"/>
      <c r="F4" s="13"/>
      <c r="G4" s="13"/>
    </row>
    <row r="5" spans="1:8" ht="35.15" customHeight="1">
      <c r="B5" s="13"/>
      <c r="C5" s="14" t="s">
        <v>203</v>
      </c>
      <c r="D5" s="2"/>
      <c r="E5" s="15"/>
      <c r="F5" s="82"/>
      <c r="G5" s="13"/>
    </row>
    <row r="6" spans="1:8" ht="14.15" customHeight="1">
      <c r="B6" s="13"/>
      <c r="C6" s="13"/>
      <c r="D6" s="13"/>
      <c r="E6" s="13"/>
      <c r="F6" s="13"/>
      <c r="G6" s="13"/>
    </row>
    <row r="7" spans="1:8" ht="35.15" customHeight="1">
      <c r="B7" s="13"/>
      <c r="C7" s="13" t="s">
        <v>204</v>
      </c>
      <c r="D7" s="44" t="s">
        <v>173</v>
      </c>
      <c r="E7" s="48" t="str">
        <f>CONCATENATE(IF(E8="","", _xlfn.CONCAT(E8)), IF(E9="","", _xlfn.CONCAT(E9)), IF(E14="","", _xlfn.CONCAT(" | ",E14)))</f>
        <v/>
      </c>
      <c r="F7" s="13"/>
      <c r="G7" s="13"/>
    </row>
    <row r="8" spans="1:8" ht="35.15" customHeight="1">
      <c r="B8" s="13"/>
      <c r="C8" s="13"/>
      <c r="D8" s="16" t="s">
        <v>16</v>
      </c>
      <c r="E8" s="3"/>
      <c r="F8" s="33">
        <v>-1</v>
      </c>
      <c r="G8" s="13"/>
    </row>
    <row r="9" spans="1:8" ht="35.15" customHeight="1">
      <c r="B9" s="13"/>
      <c r="C9" s="13"/>
      <c r="D9" s="16" t="s">
        <v>17</v>
      </c>
      <c r="E9" s="1"/>
      <c r="F9" s="19">
        <v>-1</v>
      </c>
      <c r="G9" s="13"/>
    </row>
    <row r="10" spans="1:8" ht="35.15" customHeight="1">
      <c r="B10" s="13"/>
      <c r="C10" s="13"/>
      <c r="D10" s="16" t="s">
        <v>199</v>
      </c>
      <c r="E10" s="1"/>
      <c r="F10" s="19"/>
      <c r="G10" s="13"/>
    </row>
    <row r="11" spans="1:8" ht="35.15" customHeight="1">
      <c r="B11" s="13"/>
      <c r="C11" s="13"/>
      <c r="D11" s="16" t="s">
        <v>200</v>
      </c>
      <c r="E11" s="35"/>
      <c r="F11" s="19"/>
      <c r="G11" s="13"/>
    </row>
    <row r="12" spans="1:8" ht="35.15" customHeight="1">
      <c r="B12" s="13"/>
      <c r="C12" s="13"/>
      <c r="D12" s="16" t="s">
        <v>201</v>
      </c>
      <c r="E12" s="49"/>
      <c r="F12" s="19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15" customHeight="1">
      <c r="B14" s="13"/>
      <c r="C14" s="13" t="s">
        <v>205</v>
      </c>
      <c r="D14" s="16" t="s">
        <v>207</v>
      </c>
      <c r="E14" s="1"/>
      <c r="F14" s="19">
        <v>-1</v>
      </c>
      <c r="G14" s="13"/>
    </row>
    <row r="15" spans="1:8" ht="35.15" customHeight="1">
      <c r="B15" s="13"/>
      <c r="C15" s="13"/>
      <c r="D15" s="16" t="s">
        <v>13</v>
      </c>
      <c r="E15" s="1"/>
      <c r="F15" s="19"/>
      <c r="G15" s="13"/>
    </row>
    <row r="16" spans="1:8" ht="35.15" customHeight="1">
      <c r="B16" s="13"/>
      <c r="C16" s="13"/>
      <c r="D16" s="16" t="s">
        <v>14</v>
      </c>
      <c r="E16" s="3"/>
      <c r="F16" s="33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15" customHeight="1">
      <c r="B18" s="13"/>
      <c r="C18" s="13"/>
      <c r="D18" s="16" t="s">
        <v>208</v>
      </c>
      <c r="E18" s="3"/>
      <c r="F18" s="33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15" customHeight="1">
      <c r="B20" s="13"/>
      <c r="C20" s="13" t="s">
        <v>206</v>
      </c>
      <c r="D20" s="16" t="s">
        <v>209</v>
      </c>
      <c r="E20" s="1" t="s">
        <v>162</v>
      </c>
      <c r="F20" s="19">
        <v>1</v>
      </c>
      <c r="G20" s="13"/>
    </row>
    <row r="21" spans="2:7" ht="14.15" customHeight="1">
      <c r="B21" s="13"/>
      <c r="C21" s="13"/>
      <c r="D21" s="13"/>
      <c r="E21" s="13"/>
      <c r="F21" s="13"/>
      <c r="G21" s="13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5" customWidth="1"/>
    <col min="4" max="4" width="12.69140625" style="46" customWidth="1"/>
    <col min="5" max="6" width="12.69140625" style="46" hidden="1" customWidth="1"/>
    <col min="7" max="7" width="12.69140625" style="46" customWidth="1"/>
    <col min="8" max="123" width="12.69140625" style="46" hidden="1" customWidth="1"/>
    <col min="124" max="124" width="8.69140625" style="41" customWidth="1"/>
    <col min="125" max="125" width="14.69140625" style="42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7" customWidth="1"/>
    <col min="133" max="133" width="12.69140625" style="19" customWidth="1"/>
    <col min="134" max="134" width="22.69140625" style="40" customWidth="1"/>
    <col min="135" max="135" width="12.69140625" style="46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8" s="10" customFormat="1" ht="6" customHeight="1"/>
    <row r="2" spans="2:138" s="12" customFormat="1" ht="55" customHeight="1">
      <c r="B2" s="11" t="str">
        <f>CONCATENATE(IF(設定!D7="","",_xlfn.CONCAT(設定!D7," - ")),"會員詳細資訊")</f>
        <v>Yi - 會員詳細資訊</v>
      </c>
      <c r="D2" s="98"/>
    </row>
    <row r="3" spans="2:138" s="13" customFormat="1" ht="8.15" customHeight="1"/>
    <row r="4" spans="2:138" s="13" customFormat="1" ht="40" customHeight="1">
      <c r="C4" s="43"/>
      <c r="D4" s="54" t="str">
        <f>_xlfn.CONCAT(設定!F11)</f>
        <v>1</v>
      </c>
      <c r="E4" s="54" t="str">
        <f>_xlfn.CONCAT(設定!F11," - 歷史記錄")</f>
        <v>1 - 歷史記錄</v>
      </c>
      <c r="F4" s="54"/>
      <c r="G4" s="51" t="str">
        <f>_xlfn.CONCAT(設定!F12)</f>
        <v>2</v>
      </c>
      <c r="H4" s="51" t="str">
        <f>_xlfn.CONCAT(設定!F12," - 歷史記錄")</f>
        <v>2 - 歷史記錄</v>
      </c>
      <c r="I4" s="51"/>
      <c r="J4" s="54" t="str">
        <f>_xlfn.CONCAT(設定!F13)</f>
        <v/>
      </c>
      <c r="K4" s="54" t="str">
        <f>_xlfn.CONCAT(設定!F13," - 歷史記錄")</f>
        <v xml:space="preserve"> - 歷史記錄</v>
      </c>
      <c r="L4" s="54"/>
      <c r="M4" s="51" t="str">
        <f>_xlfn.CONCAT(設定!F14)</f>
        <v/>
      </c>
      <c r="N4" s="51" t="str">
        <f>_xlfn.CONCAT(設定!F14," - 歷史記錄")</f>
        <v xml:space="preserve"> - 歷史記錄</v>
      </c>
      <c r="O4" s="51"/>
      <c r="P4" s="54" t="str">
        <f>_xlfn.CONCAT(設定!F15)</f>
        <v/>
      </c>
      <c r="Q4" s="54" t="str">
        <f>_xlfn.CONCAT(設定!F15," - 歷史記錄")</f>
        <v xml:space="preserve"> - 歷史記錄</v>
      </c>
      <c r="R4" s="54"/>
      <c r="S4" s="51" t="str">
        <f>_xlfn.CONCAT(設定!F16)</f>
        <v/>
      </c>
      <c r="T4" s="51" t="str">
        <f>_xlfn.CONCAT(設定!F16," - 歷史記錄")</f>
        <v xml:space="preserve"> - 歷史記錄</v>
      </c>
      <c r="U4" s="51"/>
      <c r="V4" s="54" t="str">
        <f>_xlfn.CONCAT(設定!F17)</f>
        <v/>
      </c>
      <c r="W4" s="54" t="str">
        <f>_xlfn.CONCAT(設定!F17," - 歷史記錄")</f>
        <v xml:space="preserve"> - 歷史記錄</v>
      </c>
      <c r="X4" s="54"/>
      <c r="Y4" s="51" t="str">
        <f>_xlfn.CONCAT(設定!F18)</f>
        <v/>
      </c>
      <c r="Z4" s="51" t="str">
        <f>_xlfn.CONCAT(設定!F18," - 歷史記錄")</f>
        <v xml:space="preserve"> - 歷史記錄</v>
      </c>
      <c r="AA4" s="51"/>
      <c r="AB4" s="54" t="str">
        <f>_xlfn.CONCAT(設定!F19)</f>
        <v/>
      </c>
      <c r="AC4" s="54" t="str">
        <f>_xlfn.CONCAT(設定!F19," - 歷史記錄")</f>
        <v xml:space="preserve"> - 歷史記錄</v>
      </c>
      <c r="AD4" s="54"/>
      <c r="AE4" s="51" t="str">
        <f>_xlfn.CONCAT(設定!F20)</f>
        <v/>
      </c>
      <c r="AF4" s="51" t="str">
        <f>_xlfn.CONCAT(設定!F20," - 歷史記錄")</f>
        <v xml:space="preserve"> - 歷史記錄</v>
      </c>
      <c r="AG4" s="51"/>
      <c r="AH4" s="54" t="str">
        <f>_xlfn.CONCAT(設定!F21)</f>
        <v/>
      </c>
      <c r="AI4" s="54" t="str">
        <f>_xlfn.CONCAT(設定!F21," - 歷史記錄")</f>
        <v xml:space="preserve"> - 歷史記錄</v>
      </c>
      <c r="AJ4" s="54"/>
      <c r="AK4" s="51" t="str">
        <f>_xlfn.CONCAT(設定!F22)</f>
        <v/>
      </c>
      <c r="AL4" s="51" t="str">
        <f>_xlfn.CONCAT(設定!F22," - 歷史記錄")</f>
        <v xml:space="preserve"> - 歷史記錄</v>
      </c>
      <c r="AM4" s="51"/>
      <c r="AN4" s="54" t="str">
        <f>_xlfn.CONCAT(設定!F23)</f>
        <v/>
      </c>
      <c r="AO4" s="54" t="str">
        <f>_xlfn.CONCAT(設定!F23," - 歷史記錄")</f>
        <v xml:space="preserve"> - 歷史記錄</v>
      </c>
      <c r="AP4" s="54"/>
      <c r="AQ4" s="51" t="str">
        <f>_xlfn.CONCAT(設定!F24)</f>
        <v/>
      </c>
      <c r="AR4" s="51" t="str">
        <f>_xlfn.CONCAT(設定!F24," - 歷史記錄")</f>
        <v xml:space="preserve"> - 歷史記錄</v>
      </c>
      <c r="AS4" s="51"/>
      <c r="AT4" s="54" t="str">
        <f>_xlfn.CONCAT(設定!F25)</f>
        <v/>
      </c>
      <c r="AU4" s="54" t="str">
        <f>_xlfn.CONCAT(設定!F25," - 歷史記錄")</f>
        <v xml:space="preserve"> - 歷史記錄</v>
      </c>
      <c r="AV4" s="54"/>
      <c r="AW4" s="51" t="str">
        <f>_xlfn.CONCAT(設定!F26)</f>
        <v/>
      </c>
      <c r="AX4" s="51" t="str">
        <f>_xlfn.CONCAT(設定!F26," - 歷史記錄")</f>
        <v xml:space="preserve"> - 歷史記錄</v>
      </c>
      <c r="AY4" s="51"/>
      <c r="AZ4" s="54" t="str">
        <f>_xlfn.CONCAT(設定!F27)</f>
        <v/>
      </c>
      <c r="BA4" s="54" t="str">
        <f>_xlfn.CONCAT(設定!F27," - 歷史記錄")</f>
        <v xml:space="preserve"> - 歷史記錄</v>
      </c>
      <c r="BB4" s="54"/>
      <c r="BC4" s="51" t="str">
        <f>_xlfn.CONCAT(設定!F28)</f>
        <v/>
      </c>
      <c r="BD4" s="51" t="str">
        <f>_xlfn.CONCAT(設定!F28," - 歷史記錄")</f>
        <v xml:space="preserve"> - 歷史記錄</v>
      </c>
      <c r="BE4" s="51"/>
      <c r="BF4" s="54" t="str">
        <f>_xlfn.CONCAT(設定!F29)</f>
        <v/>
      </c>
      <c r="BG4" s="54" t="str">
        <f>_xlfn.CONCAT(設定!F29," - 歷史記錄")</f>
        <v xml:space="preserve"> - 歷史記錄</v>
      </c>
      <c r="BH4" s="54"/>
      <c r="BI4" s="51" t="str">
        <f>_xlfn.CONCAT(設定!F30)</f>
        <v/>
      </c>
      <c r="BJ4" s="51" t="str">
        <f>_xlfn.CONCAT(設定!F30," - 歷史記錄")</f>
        <v xml:space="preserve"> - 歷史記錄</v>
      </c>
      <c r="BK4" s="51"/>
      <c r="BL4" s="52" t="str">
        <f>_xlfn.CONCAT(設定!F31)</f>
        <v/>
      </c>
      <c r="BM4" s="52" t="str">
        <f>_xlfn.CONCAT(設定!F31," - 歷史記錄")</f>
        <v xml:space="preserve"> - 歷史記錄</v>
      </c>
      <c r="BN4" s="52"/>
      <c r="BO4" s="51" t="str">
        <f>_xlfn.CONCAT(設定!F32)</f>
        <v/>
      </c>
      <c r="BP4" s="51" t="str">
        <f>_xlfn.CONCAT(設定!F32," - 歷史記錄")</f>
        <v xml:space="preserve"> - 歷史記錄</v>
      </c>
      <c r="BQ4" s="51"/>
      <c r="BR4" s="50" t="s">
        <v>272</v>
      </c>
      <c r="BS4" s="52" t="str">
        <f>_xlfn.CONCAT(設定!F33," - 歷史記錄")</f>
        <v xml:space="preserve"> - 歷史記錄</v>
      </c>
      <c r="BT4" s="52"/>
      <c r="BU4" s="51" t="str">
        <f>_xlfn.CONCAT(設定!F34)</f>
        <v/>
      </c>
      <c r="BV4" s="51" t="str">
        <f>_xlfn.CONCAT(設定!F34," - 歷史記錄")</f>
        <v xml:space="preserve"> - 歷史記錄</v>
      </c>
      <c r="BW4" s="51"/>
      <c r="BX4" s="52" t="str">
        <f>_xlfn.CONCAT(設定!F35)</f>
        <v/>
      </c>
      <c r="BY4" s="52" t="str">
        <f>_xlfn.CONCAT(設定!F35," - 歷史記錄")</f>
        <v xml:space="preserve"> - 歷史記錄</v>
      </c>
      <c r="BZ4" s="52"/>
      <c r="CA4" s="51" t="str">
        <f>_xlfn.CONCAT(設定!F36)</f>
        <v/>
      </c>
      <c r="CB4" s="51" t="str">
        <f>_xlfn.CONCAT(設定!F36," - 歷史記錄")</f>
        <v xml:space="preserve"> - 歷史記錄</v>
      </c>
      <c r="CC4" s="51"/>
      <c r="CD4" s="52" t="str">
        <f>_xlfn.CONCAT(設定!F37)</f>
        <v/>
      </c>
      <c r="CE4" s="52" t="str">
        <f>_xlfn.CONCAT(設定!F37," - 歷史記錄")</f>
        <v xml:space="preserve"> - 歷史記錄</v>
      </c>
      <c r="CF4" s="52"/>
      <c r="CG4" s="51" t="str">
        <f>_xlfn.CONCAT(設定!F38)</f>
        <v/>
      </c>
      <c r="CH4" s="51" t="str">
        <f>_xlfn.CONCAT(設定!F38," - 歷史記錄")</f>
        <v xml:space="preserve"> - 歷史記錄</v>
      </c>
      <c r="CI4" s="51"/>
      <c r="CJ4" s="52" t="str">
        <f>_xlfn.CONCAT(設定!F39)</f>
        <v/>
      </c>
      <c r="CK4" s="52" t="str">
        <f>_xlfn.CONCAT(設定!F39," - 歷史記錄")</f>
        <v xml:space="preserve"> - 歷史記錄</v>
      </c>
      <c r="CL4" s="52"/>
      <c r="CM4" s="51" t="str">
        <f>_xlfn.CONCAT(設定!F40)</f>
        <v/>
      </c>
      <c r="CN4" s="51" t="str">
        <f>_xlfn.CONCAT(設定!F40," - 歷史記錄")</f>
        <v xml:space="preserve"> - 歷史記錄</v>
      </c>
      <c r="CO4" s="51"/>
      <c r="CP4" s="52" t="str">
        <f>_xlfn.CONCAT(設定!F41)</f>
        <v/>
      </c>
      <c r="CQ4" s="52" t="str">
        <f>_xlfn.CONCAT(設定!F41," - 歷史記錄")</f>
        <v xml:space="preserve"> - 歷史記錄</v>
      </c>
      <c r="CR4" s="52"/>
      <c r="CS4" s="51" t="str">
        <f>_xlfn.CONCAT(設定!F42)</f>
        <v/>
      </c>
      <c r="CT4" s="51" t="str">
        <f>_xlfn.CONCAT(設定!F42," - 歷史記錄")</f>
        <v xml:space="preserve"> - 歷史記錄</v>
      </c>
      <c r="CU4" s="51"/>
      <c r="CV4" s="52" t="str">
        <f>_xlfn.CONCAT(設定!F43)</f>
        <v/>
      </c>
      <c r="CW4" s="52" t="str">
        <f>_xlfn.CONCAT(設定!F43," - 歷史記錄")</f>
        <v xml:space="preserve"> - 歷史記錄</v>
      </c>
      <c r="CX4" s="52"/>
      <c r="CY4" s="51" t="str">
        <f>_xlfn.CONCAT(設定!F44)</f>
        <v/>
      </c>
      <c r="CZ4" s="51" t="str">
        <f>_xlfn.CONCAT(設定!F44," - 歷史記錄")</f>
        <v xml:space="preserve"> - 歷史記錄</v>
      </c>
      <c r="DA4" s="51"/>
      <c r="DB4" s="52" t="str">
        <f>_xlfn.CONCAT(設定!F45)</f>
        <v/>
      </c>
      <c r="DC4" s="52" t="str">
        <f>_xlfn.CONCAT(設定!F45," - 歷史記錄")</f>
        <v xml:space="preserve"> - 歷史記錄</v>
      </c>
      <c r="DD4" s="52"/>
      <c r="DE4" s="51" t="str">
        <f>_xlfn.CONCAT(設定!F46)</f>
        <v/>
      </c>
      <c r="DF4" s="51" t="str">
        <f>_xlfn.CONCAT(設定!F46," - 歷史記錄")</f>
        <v xml:space="preserve"> - 歷史記錄</v>
      </c>
      <c r="DG4" s="51"/>
      <c r="DH4" s="52" t="str">
        <f>_xlfn.CONCAT(設定!F47)</f>
        <v/>
      </c>
      <c r="DI4" s="52" t="str">
        <f>_xlfn.CONCAT(設定!F47," - 歷史記錄")</f>
        <v xml:space="preserve"> - 歷史記錄</v>
      </c>
      <c r="DJ4" s="52"/>
      <c r="DK4" s="51" t="str">
        <f>_xlfn.CONCAT(設定!F48)</f>
        <v/>
      </c>
      <c r="DL4" s="51" t="str">
        <f>_xlfn.CONCAT(設定!F48," - 歷史記錄")</f>
        <v xml:space="preserve"> - 歷史記錄</v>
      </c>
      <c r="DM4" s="51"/>
      <c r="DN4" s="52" t="str">
        <f>_xlfn.CONCAT(設定!F49)</f>
        <v/>
      </c>
      <c r="DO4" s="52" t="str">
        <f>_xlfn.CONCAT(設定!F49," - 歷史記錄")</f>
        <v xml:space="preserve"> - 歷史記錄</v>
      </c>
      <c r="DP4" s="52"/>
      <c r="DQ4" s="51" t="str">
        <f>_xlfn.CONCAT(設定!F50)</f>
        <v/>
      </c>
      <c r="DR4" s="51" t="str">
        <f>_xlfn.CONCAT(設定!F50," - 歷史記錄")</f>
        <v xml:space="preserve"> - 歷史記錄</v>
      </c>
      <c r="DS4" s="51"/>
      <c r="DT4" s="101" t="s">
        <v>215</v>
      </c>
      <c r="DU4" s="101"/>
      <c r="DV4" s="101"/>
      <c r="DW4" s="101"/>
      <c r="DX4" s="101"/>
      <c r="DY4" s="101" t="s">
        <v>214</v>
      </c>
      <c r="DZ4" s="101"/>
      <c r="EA4" s="101"/>
      <c r="EB4" s="101" t="s">
        <v>213</v>
      </c>
      <c r="EC4" s="101"/>
      <c r="ED4" s="29" t="s">
        <v>422</v>
      </c>
      <c r="EE4" s="102" t="s">
        <v>470</v>
      </c>
      <c r="EF4" s="102"/>
      <c r="EG4" s="102"/>
      <c r="EH4" s="51" t="s">
        <v>429</v>
      </c>
    </row>
    <row r="5" spans="2:138" s="13" customFormat="1" ht="8.15" customHeight="1"/>
    <row r="6" spans="2:138" s="13" customFormat="1" ht="40" customHeight="1">
      <c r="B6" s="23" t="s">
        <v>210</v>
      </c>
      <c r="C6" s="23" t="s">
        <v>173</v>
      </c>
      <c r="D6" s="23" t="s">
        <v>217</v>
      </c>
      <c r="E6" s="23" t="s">
        <v>53</v>
      </c>
      <c r="F6" s="23" t="s">
        <v>52</v>
      </c>
      <c r="G6" s="23" t="s">
        <v>218</v>
      </c>
      <c r="H6" s="23" t="s">
        <v>51</v>
      </c>
      <c r="I6" s="23" t="s">
        <v>50</v>
      </c>
      <c r="J6" s="23" t="s">
        <v>219</v>
      </c>
      <c r="K6" s="23" t="s">
        <v>28</v>
      </c>
      <c r="L6" s="23" t="s">
        <v>49</v>
      </c>
      <c r="M6" s="23" t="s">
        <v>220</v>
      </c>
      <c r="N6" s="23" t="s">
        <v>29</v>
      </c>
      <c r="O6" s="23" t="s">
        <v>48</v>
      </c>
      <c r="P6" s="23" t="s">
        <v>221</v>
      </c>
      <c r="Q6" s="23" t="s">
        <v>30</v>
      </c>
      <c r="R6" s="23" t="s">
        <v>47</v>
      </c>
      <c r="S6" s="23" t="s">
        <v>222</v>
      </c>
      <c r="T6" s="23" t="s">
        <v>31</v>
      </c>
      <c r="U6" s="23" t="s">
        <v>44</v>
      </c>
      <c r="V6" s="23" t="s">
        <v>223</v>
      </c>
      <c r="W6" s="23" t="s">
        <v>32</v>
      </c>
      <c r="X6" s="23" t="s">
        <v>37</v>
      </c>
      <c r="Y6" s="23" t="s">
        <v>224</v>
      </c>
      <c r="Z6" s="23" t="s">
        <v>33</v>
      </c>
      <c r="AA6" s="23" t="s">
        <v>38</v>
      </c>
      <c r="AB6" s="23" t="s">
        <v>225</v>
      </c>
      <c r="AC6" s="23" t="s">
        <v>34</v>
      </c>
      <c r="AD6" s="23" t="s">
        <v>39</v>
      </c>
      <c r="AE6" s="23" t="s">
        <v>226</v>
      </c>
      <c r="AF6" s="23" t="s">
        <v>35</v>
      </c>
      <c r="AG6" s="23" t="s">
        <v>40</v>
      </c>
      <c r="AH6" s="23" t="s">
        <v>227</v>
      </c>
      <c r="AI6" s="23" t="s">
        <v>36</v>
      </c>
      <c r="AJ6" s="23" t="s">
        <v>41</v>
      </c>
      <c r="AK6" s="23" t="s">
        <v>228</v>
      </c>
      <c r="AL6" s="23" t="s">
        <v>42</v>
      </c>
      <c r="AM6" s="23" t="s">
        <v>43</v>
      </c>
      <c r="AN6" s="23" t="s">
        <v>229</v>
      </c>
      <c r="AO6" s="23" t="s">
        <v>64</v>
      </c>
      <c r="AP6" s="23" t="s">
        <v>63</v>
      </c>
      <c r="AQ6" s="23" t="s">
        <v>230</v>
      </c>
      <c r="AR6" s="23" t="s">
        <v>66</v>
      </c>
      <c r="AS6" s="23" t="s">
        <v>65</v>
      </c>
      <c r="AT6" s="23" t="s">
        <v>231</v>
      </c>
      <c r="AU6" s="23" t="s">
        <v>70</v>
      </c>
      <c r="AV6" s="23" t="s">
        <v>68</v>
      </c>
      <c r="AW6" s="23" t="s">
        <v>232</v>
      </c>
      <c r="AX6" s="23" t="s">
        <v>67</v>
      </c>
      <c r="AY6" s="23" t="s">
        <v>69</v>
      </c>
      <c r="AZ6" s="23" t="s">
        <v>233</v>
      </c>
      <c r="BA6" s="23" t="s">
        <v>72</v>
      </c>
      <c r="BB6" s="23" t="s">
        <v>71</v>
      </c>
      <c r="BC6" s="23" t="s">
        <v>234</v>
      </c>
      <c r="BD6" s="23" t="s">
        <v>73</v>
      </c>
      <c r="BE6" s="23" t="s">
        <v>74</v>
      </c>
      <c r="BF6" s="23" t="s">
        <v>235</v>
      </c>
      <c r="BG6" s="23" t="s">
        <v>75</v>
      </c>
      <c r="BH6" s="23" t="s">
        <v>76</v>
      </c>
      <c r="BI6" s="23" t="s">
        <v>236</v>
      </c>
      <c r="BJ6" s="23" t="s">
        <v>77</v>
      </c>
      <c r="BK6" s="23" t="s">
        <v>78</v>
      </c>
      <c r="BL6" s="23" t="s">
        <v>237</v>
      </c>
      <c r="BM6" s="23" t="s">
        <v>105</v>
      </c>
      <c r="BN6" s="23" t="s">
        <v>104</v>
      </c>
      <c r="BO6" s="23" t="s">
        <v>238</v>
      </c>
      <c r="BP6" s="23" t="s">
        <v>106</v>
      </c>
      <c r="BQ6" s="23" t="s">
        <v>107</v>
      </c>
      <c r="BR6" s="23" t="s">
        <v>239</v>
      </c>
      <c r="BS6" s="23" t="s">
        <v>108</v>
      </c>
      <c r="BT6" s="23" t="s">
        <v>109</v>
      </c>
      <c r="BU6" s="23" t="s">
        <v>240</v>
      </c>
      <c r="BV6" s="23" t="s">
        <v>110</v>
      </c>
      <c r="BW6" s="23" t="s">
        <v>111</v>
      </c>
      <c r="BX6" s="23" t="s">
        <v>241</v>
      </c>
      <c r="BY6" s="23" t="s">
        <v>112</v>
      </c>
      <c r="BZ6" s="23" t="s">
        <v>113</v>
      </c>
      <c r="CA6" s="23" t="s">
        <v>242</v>
      </c>
      <c r="CB6" s="23" t="s">
        <v>114</v>
      </c>
      <c r="CC6" s="23" t="s">
        <v>115</v>
      </c>
      <c r="CD6" s="23" t="s">
        <v>243</v>
      </c>
      <c r="CE6" s="23" t="s">
        <v>116</v>
      </c>
      <c r="CF6" s="23" t="s">
        <v>117</v>
      </c>
      <c r="CG6" s="23" t="s">
        <v>244</v>
      </c>
      <c r="CH6" s="23" t="s">
        <v>118</v>
      </c>
      <c r="CI6" s="23" t="s">
        <v>119</v>
      </c>
      <c r="CJ6" s="23" t="s">
        <v>245</v>
      </c>
      <c r="CK6" s="23" t="s">
        <v>120</v>
      </c>
      <c r="CL6" s="23" t="s">
        <v>121</v>
      </c>
      <c r="CM6" s="23" t="s">
        <v>246</v>
      </c>
      <c r="CN6" s="23" t="s">
        <v>122</v>
      </c>
      <c r="CO6" s="23" t="s">
        <v>123</v>
      </c>
      <c r="CP6" s="23" t="s">
        <v>247</v>
      </c>
      <c r="CQ6" s="23" t="s">
        <v>124</v>
      </c>
      <c r="CR6" s="23" t="s">
        <v>125</v>
      </c>
      <c r="CS6" s="23" t="s">
        <v>248</v>
      </c>
      <c r="CT6" s="23" t="s">
        <v>126</v>
      </c>
      <c r="CU6" s="23" t="s">
        <v>127</v>
      </c>
      <c r="CV6" s="23" t="s">
        <v>249</v>
      </c>
      <c r="CW6" s="23" t="s">
        <v>128</v>
      </c>
      <c r="CX6" s="23" t="s">
        <v>129</v>
      </c>
      <c r="CY6" s="23" t="s">
        <v>250</v>
      </c>
      <c r="CZ6" s="23" t="s">
        <v>130</v>
      </c>
      <c r="DA6" s="23" t="s">
        <v>131</v>
      </c>
      <c r="DB6" s="23" t="s">
        <v>251</v>
      </c>
      <c r="DC6" s="23" t="s">
        <v>132</v>
      </c>
      <c r="DD6" s="23" t="s">
        <v>133</v>
      </c>
      <c r="DE6" s="23" t="s">
        <v>252</v>
      </c>
      <c r="DF6" s="23" t="s">
        <v>134</v>
      </c>
      <c r="DG6" s="23" t="s">
        <v>135</v>
      </c>
      <c r="DH6" s="23" t="s">
        <v>253</v>
      </c>
      <c r="DI6" s="23" t="s">
        <v>137</v>
      </c>
      <c r="DJ6" s="23" t="s">
        <v>136</v>
      </c>
      <c r="DK6" s="23" t="s">
        <v>254</v>
      </c>
      <c r="DL6" s="23" t="s">
        <v>138</v>
      </c>
      <c r="DM6" s="23" t="s">
        <v>139</v>
      </c>
      <c r="DN6" s="23" t="s">
        <v>255</v>
      </c>
      <c r="DO6" s="23" t="s">
        <v>140</v>
      </c>
      <c r="DP6" s="23" t="s">
        <v>141</v>
      </c>
      <c r="DQ6" s="23" t="s">
        <v>256</v>
      </c>
      <c r="DR6" s="23" t="s">
        <v>142</v>
      </c>
      <c r="DS6" s="23" t="s">
        <v>143</v>
      </c>
      <c r="DT6" s="23" t="s">
        <v>16</v>
      </c>
      <c r="DU6" s="23" t="s">
        <v>17</v>
      </c>
      <c r="DV6" s="23" t="s">
        <v>199</v>
      </c>
      <c r="DW6" s="23" t="s">
        <v>200</v>
      </c>
      <c r="DX6" s="23" t="s">
        <v>201</v>
      </c>
      <c r="DY6" s="23" t="s">
        <v>207</v>
      </c>
      <c r="DZ6" s="23" t="s">
        <v>13</v>
      </c>
      <c r="EA6" s="23" t="s">
        <v>14</v>
      </c>
      <c r="EB6" s="27" t="s">
        <v>216</v>
      </c>
      <c r="EC6" s="23" t="s">
        <v>209</v>
      </c>
      <c r="ED6" s="23" t="s">
        <v>208</v>
      </c>
      <c r="EE6" s="23" t="s">
        <v>431</v>
      </c>
      <c r="EF6" s="23" t="s">
        <v>270</v>
      </c>
      <c r="EG6" s="23" t="s">
        <v>271</v>
      </c>
      <c r="EH6" s="23" t="s">
        <v>427</v>
      </c>
    </row>
    <row r="7" spans="2:138" ht="40" customHeight="1">
      <c r="B7" s="9" cm="1">
        <f t="array" ref="B7">SN</f>
        <v>1</v>
      </c>
      <c r="C7" s="24" t="str" cm="1">
        <f t="array" ref="C7">GUID</f>
        <v>馮毅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1" t="s">
        <v>257</v>
      </c>
      <c r="DU7" s="92" t="s">
        <v>149</v>
      </c>
      <c r="DV7" s="93" t="s">
        <v>5</v>
      </c>
      <c r="DW7" s="93"/>
      <c r="DX7" s="4"/>
      <c r="DY7" s="93" t="s">
        <v>164</v>
      </c>
      <c r="DZ7" s="93" t="s">
        <v>158</v>
      </c>
      <c r="EA7" s="93"/>
      <c r="EB7" s="96"/>
      <c r="EC7" s="4" t="s">
        <v>162</v>
      </c>
      <c r="ED7" s="34" t="s">
        <v>430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440</v>
      </c>
    </row>
    <row r="8" spans="2:138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1" t="s">
        <v>160</v>
      </c>
      <c r="DU8" s="92" t="s">
        <v>161</v>
      </c>
      <c r="DV8" s="93" t="s">
        <v>6</v>
      </c>
      <c r="DW8" s="93"/>
      <c r="DX8" s="4"/>
      <c r="DY8" s="93" t="s">
        <v>165</v>
      </c>
      <c r="DZ8" s="93"/>
      <c r="EA8" s="93"/>
      <c r="EB8" s="96"/>
      <c r="EC8" s="4" t="s">
        <v>162</v>
      </c>
      <c r="ED8" s="34" t="s">
        <v>430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440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7" customWidth="1"/>
    <col min="46" max="46" width="12.69140625" style="19" customWidth="1"/>
    <col min="47" max="47" width="22.69140625" style="33" customWidth="1"/>
    <col min="48" max="48" width="14.69140625" style="13" customWidth="1"/>
    <col min="49" max="49" width="2.69140625" style="13" customWidth="1"/>
    <col min="50" max="16384" width="9.15234375" style="13" hidden="1"/>
  </cols>
  <sheetData>
    <row r="1" spans="2:48" s="28" customFormat="1" ht="6" customHeight="1"/>
    <row r="2" spans="2:48" s="12" customFormat="1" ht="55" customHeight="1">
      <c r="B2" s="11" t="str">
        <f>CONCATENATE(IF(設定!D7="","",_xlfn.CONCAT(設定!D7," - ")),"歷史記錄")</f>
        <v>Yi - 歷史記錄</v>
      </c>
      <c r="D2" s="98"/>
    </row>
    <row r="3" spans="2:48" ht="8.1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" customHeight="1">
      <c r="B4" s="13"/>
      <c r="C4" s="47"/>
      <c r="D4" s="54" t="str">
        <f>_xlfn.CONCAT(設定!F11)</f>
        <v>1</v>
      </c>
      <c r="E4" s="51" t="str">
        <f>_xlfn.CONCAT(設定!F12)</f>
        <v>2</v>
      </c>
      <c r="F4" s="54" t="str">
        <f>_xlfn.CONCAT(設定!F13)</f>
        <v/>
      </c>
      <c r="G4" s="51" t="str">
        <f>_xlfn.CONCAT(設定!F14)</f>
        <v/>
      </c>
      <c r="H4" s="54" t="str">
        <f>_xlfn.CONCAT(設定!F15)</f>
        <v/>
      </c>
      <c r="I4" s="51" t="str">
        <f>_xlfn.CONCAT(設定!F16)</f>
        <v/>
      </c>
      <c r="J4" s="54" t="str">
        <f>_xlfn.CONCAT(設定!F17)</f>
        <v/>
      </c>
      <c r="K4" s="51" t="str">
        <f>_xlfn.CONCAT(設定!F18)</f>
        <v/>
      </c>
      <c r="L4" s="54" t="str">
        <f>_xlfn.CONCAT(設定!F19)</f>
        <v/>
      </c>
      <c r="M4" s="51" t="str">
        <f>_xlfn.CONCAT(設定!F20)</f>
        <v/>
      </c>
      <c r="N4" s="54" t="str">
        <f>_xlfn.CONCAT(設定!F21)</f>
        <v/>
      </c>
      <c r="O4" s="51" t="str">
        <f>_xlfn.CONCAT(設定!F22)</f>
        <v/>
      </c>
      <c r="P4" s="54" t="str">
        <f>_xlfn.CONCAT(設定!F23)</f>
        <v/>
      </c>
      <c r="Q4" s="51" t="str">
        <f>_xlfn.CONCAT(設定!F24)</f>
        <v/>
      </c>
      <c r="R4" s="54" t="str">
        <f>_xlfn.CONCAT(設定!F25)</f>
        <v/>
      </c>
      <c r="S4" s="51" t="str">
        <f>_xlfn.CONCAT(設定!F26)</f>
        <v/>
      </c>
      <c r="T4" s="54" t="str">
        <f>_xlfn.CONCAT(設定!F27)</f>
        <v/>
      </c>
      <c r="U4" s="51" t="str">
        <f>_xlfn.CONCAT(設定!F28)</f>
        <v/>
      </c>
      <c r="V4" s="54" t="str">
        <f>_xlfn.CONCAT(設定!F29)</f>
        <v/>
      </c>
      <c r="W4" s="51" t="str">
        <f>_xlfn.CONCAT(設定!F30)</f>
        <v/>
      </c>
      <c r="X4" s="54" t="str">
        <f>_xlfn.CONCAT(設定!F31)</f>
        <v/>
      </c>
      <c r="Y4" s="51" t="str">
        <f>_xlfn.CONCAT(設定!F32)</f>
        <v/>
      </c>
      <c r="Z4" s="54" t="str">
        <f>_xlfn.CONCAT(設定!F33)</f>
        <v/>
      </c>
      <c r="AA4" s="51" t="str">
        <f>_xlfn.CONCAT(設定!F34)</f>
        <v/>
      </c>
      <c r="AB4" s="54" t="str">
        <f>_xlfn.CONCAT(設定!F35)</f>
        <v/>
      </c>
      <c r="AC4" s="51" t="str">
        <f>_xlfn.CONCAT(設定!F36)</f>
        <v/>
      </c>
      <c r="AD4" s="54" t="str">
        <f>_xlfn.CONCAT(設定!F37)</f>
        <v/>
      </c>
      <c r="AE4" s="51" t="str">
        <f>_xlfn.CONCAT(設定!F38)</f>
        <v/>
      </c>
      <c r="AF4" s="54" t="str">
        <f>_xlfn.CONCAT(設定!F39)</f>
        <v/>
      </c>
      <c r="AG4" s="51" t="str">
        <f>_xlfn.CONCAT(設定!F40)</f>
        <v/>
      </c>
      <c r="AH4" s="54" t="str">
        <f>_xlfn.CONCAT(設定!F41)</f>
        <v/>
      </c>
      <c r="AI4" s="51" t="str">
        <f>_xlfn.CONCAT(設定!F42)</f>
        <v/>
      </c>
      <c r="AJ4" s="54" t="str">
        <f>_xlfn.CONCAT(設定!F43)</f>
        <v/>
      </c>
      <c r="AK4" s="51" t="str">
        <f>_xlfn.CONCAT(設定!F44)</f>
        <v/>
      </c>
      <c r="AL4" s="54" t="str">
        <f>_xlfn.CONCAT(設定!F45)</f>
        <v/>
      </c>
      <c r="AM4" s="51" t="str">
        <f>_xlfn.CONCAT(設定!F46)</f>
        <v/>
      </c>
      <c r="AN4" s="54" t="str">
        <f>_xlfn.CONCAT(設定!F47)</f>
        <v/>
      </c>
      <c r="AO4" s="51" t="str">
        <f>_xlfn.CONCAT(設定!F48)</f>
        <v/>
      </c>
      <c r="AP4" s="54" t="str">
        <f>_xlfn.CONCAT(設定!F49)</f>
        <v/>
      </c>
      <c r="AQ4" s="51" t="str">
        <f>_xlfn.CONCAT(設定!F50)</f>
        <v/>
      </c>
      <c r="AR4" s="101" t="s">
        <v>54</v>
      </c>
      <c r="AS4" s="101"/>
      <c r="AT4" s="101"/>
      <c r="AU4" s="101"/>
      <c r="AV4" s="51" t="s">
        <v>429</v>
      </c>
    </row>
    <row r="5" spans="2:48" ht="8.1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210</v>
      </c>
      <c r="C6" s="23" t="s">
        <v>173</v>
      </c>
      <c r="D6" s="23" t="s">
        <v>45</v>
      </c>
      <c r="E6" s="23" t="s">
        <v>46</v>
      </c>
      <c r="F6" s="23" t="s">
        <v>18</v>
      </c>
      <c r="G6" s="23" t="s">
        <v>19</v>
      </c>
      <c r="H6" s="23" t="s">
        <v>20</v>
      </c>
      <c r="I6" s="23" t="s">
        <v>21</v>
      </c>
      <c r="J6" s="23" t="s">
        <v>22</v>
      </c>
      <c r="K6" s="23" t="s">
        <v>23</v>
      </c>
      <c r="L6" s="23" t="s">
        <v>24</v>
      </c>
      <c r="M6" s="23" t="s">
        <v>26</v>
      </c>
      <c r="N6" s="23" t="s">
        <v>25</v>
      </c>
      <c r="O6" s="23" t="s">
        <v>27</v>
      </c>
      <c r="P6" s="23" t="s">
        <v>55</v>
      </c>
      <c r="Q6" s="23" t="s">
        <v>56</v>
      </c>
      <c r="R6" s="23" t="s">
        <v>57</v>
      </c>
      <c r="S6" s="23" t="s">
        <v>58</v>
      </c>
      <c r="T6" s="23" t="s">
        <v>59</v>
      </c>
      <c r="U6" s="23" t="s">
        <v>60</v>
      </c>
      <c r="V6" s="23" t="s">
        <v>61</v>
      </c>
      <c r="W6" s="23" t="s">
        <v>62</v>
      </c>
      <c r="X6" s="23" t="s">
        <v>85</v>
      </c>
      <c r="Y6" s="23" t="s">
        <v>86</v>
      </c>
      <c r="Z6" s="23" t="s">
        <v>87</v>
      </c>
      <c r="AA6" s="23" t="s">
        <v>88</v>
      </c>
      <c r="AB6" s="23" t="s">
        <v>89</v>
      </c>
      <c r="AC6" s="23" t="s">
        <v>90</v>
      </c>
      <c r="AD6" s="23" t="s">
        <v>91</v>
      </c>
      <c r="AE6" s="23" t="s">
        <v>92</v>
      </c>
      <c r="AF6" s="23" t="s">
        <v>93</v>
      </c>
      <c r="AG6" s="23" t="s">
        <v>94</v>
      </c>
      <c r="AH6" s="23" t="s">
        <v>84</v>
      </c>
      <c r="AI6" s="23" t="s">
        <v>95</v>
      </c>
      <c r="AJ6" s="23" t="s">
        <v>96</v>
      </c>
      <c r="AK6" s="23" t="s">
        <v>97</v>
      </c>
      <c r="AL6" s="23" t="s">
        <v>98</v>
      </c>
      <c r="AM6" s="23" t="s">
        <v>99</v>
      </c>
      <c r="AN6" s="23" t="s">
        <v>100</v>
      </c>
      <c r="AO6" s="23" t="s">
        <v>101</v>
      </c>
      <c r="AP6" s="23" t="s">
        <v>102</v>
      </c>
      <c r="AQ6" s="23" t="s">
        <v>103</v>
      </c>
      <c r="AR6" s="23" t="s">
        <v>211</v>
      </c>
      <c r="AS6" s="23" t="s">
        <v>258</v>
      </c>
      <c r="AT6" s="23" t="s">
        <v>209</v>
      </c>
      <c r="AU6" s="23" t="s">
        <v>208</v>
      </c>
      <c r="AV6" s="23" t="s">
        <v>427</v>
      </c>
    </row>
    <row r="7" spans="2:48" ht="40" customHeight="1">
      <c r="B7" s="9" cm="1">
        <f t="array" ref="B7">SN</f>
        <v>1</v>
      </c>
      <c r="C7" s="89" t="s">
        <v>268</v>
      </c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4" t="s">
        <v>3</v>
      </c>
      <c r="AS7" s="96"/>
      <c r="AT7" s="4" t="s">
        <v>162</v>
      </c>
      <c r="AU7" s="95" t="s">
        <v>430</v>
      </c>
      <c r="AV7" s="9" t="s">
        <v>440</v>
      </c>
    </row>
    <row r="8" spans="2:48" ht="40" customHeight="1">
      <c r="B8" s="9" cm="1">
        <f t="array" ref="B8">SN</f>
        <v>2</v>
      </c>
      <c r="C8" s="89" t="s">
        <v>269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4" t="s">
        <v>3</v>
      </c>
      <c r="AS8" s="96"/>
      <c r="AT8" s="4" t="s">
        <v>162</v>
      </c>
      <c r="AU8" s="95" t="s">
        <v>430</v>
      </c>
      <c r="AV8" s="9" t="s">
        <v>440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2024-03-06T03:38:53Z</cp:lastPrinted>
  <dcterms:created xsi:type="dcterms:W3CDTF">2023-11-27T09:49:08Z</dcterms:created>
  <dcterms:modified xsi:type="dcterms:W3CDTF">2024-03-06T03:39:00Z</dcterms:modified>
</cp:coreProperties>
</file>