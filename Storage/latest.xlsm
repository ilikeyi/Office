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B8E54E03-7ED6-4537-AEBF-76D7D0384189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<sst xmlns="http://schemas.openxmlformats.org/spreadsheetml/2006/main" count="369" uniqueCount="307">
  <si>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</si>
  <si>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</si>
  <si>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</si>
  <si>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</si>
  <si>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</si>
  <si>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</si>
  <si>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</si>
  <si>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</si>
  <si>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</si>
  <si>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</si>
  <si>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</si>
  <si>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</si>
  <si>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</si>
  <si>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</si>
  <si>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</si>
  <si>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</si>
  <si>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</si>
  <si>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</si>
  <si>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</si>
  <si>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</si>
  <si>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</si>
  <si>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</si>
  <si>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</si>
  <si>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</si>
  <si>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</si>
  <si>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</si>
  <si>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</si>
  <si>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</si>
  <si>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</si>
  <si>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</si>
  <si>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</si>
  <si>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</si>
  <si>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</si>
  <si>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</si>
  <si>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</si>
  <si>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</si>
  <si>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</si>
  <si>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</si>
  <si>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</si>
  <si>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</si>
  <si>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</si>
  <si>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</si>
  <si>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</si>
  <si>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</si>
  <si>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</si>
  <si>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</si>
  <si>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</si>
  <si>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</si>
  <si>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</si>
  <si>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</si>
  <si>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</si>
  <si>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</si>
  <si>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</si>
  <si>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</si>
  <si>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</si>
  <si>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</si>
  <si>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</si>
  <si>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</si>
  <si>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</si>
  <si>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</si>
  <si>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</si>
  <si>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</si>
  <si>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</si>
  <si>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</si>
  <si>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</si>
  <si>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</si>
  <si>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</si>
  <si>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</si>
  <si>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</si>
  <si>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</si>
  <si>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</si>
  <si>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</si>
  <si>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</si>
  <si>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</si>
  <si>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</si>
  <si>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</si>
  <si>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</si>
  <si>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</si>
  <si>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</si>
  <si>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</si>
  <si>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</si>
  <si>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</si>
  <si>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</si>
  <si>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</si>
  <si>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</si>
  <si>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</si>
  <si>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</si>
  <si>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</si>
  <si>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</si>
  <si>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</si>
  <si>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</si>
  <si>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</si>
  <si>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</si>
  <si>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</si>
  <si>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</si>
  <si>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</si>
  <si>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</si>
  <si>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</si>
  <si>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</si>
  <si>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</si>
  <si>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</si>
  <si>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</si>
  <si>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</si>
  <si>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</si>
  <si>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</si>
  <si>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</si>
  <si>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</si>
  <si>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</si>
  <si>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</si>
  <si>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</si>
  <si>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</si>
  <si>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</si>
  <si>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</si>
  <si>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</si>
  <si>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</si>
  <si>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</si>
  <si>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</si>
  <si>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</si>
  <si>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</si>
  <si>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</si>
  <si>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</si>
  <si>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</si>
  <si>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</si>
  <si>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</si>
  <si>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</si>
  <si>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</si>
  <si>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</si>
  <si>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</si>
  <si>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</si>
  <si>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</si>
  <si>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</si>
  <si>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</si>
  <si>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</si>
  <si>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</si>
  <si>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</si>
  <si>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</si>
  <si>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</si>
  <si>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</si>
  <si>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</si>
  <si>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</si>
  <si>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</si>
  <si>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</si>
  <si>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</si>
  <si>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</si>
  <si>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</si>
  <si>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</si>
  <si>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</si>
  <si>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</si>
  <si>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</si>
  <si>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</si>
  <si>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</si>
  <si>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</si>
  <si>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</si>
  <si>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</si>
  <si>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</si>
  <si>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</si>
  <si>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</si>
  <si>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</si>
  <si>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</si>
  <si>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</si>
  <si>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</si>
  <si>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</si>
  <si>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</si>
  <si>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</si>
  <si>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</si>
  <si>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</si>
  <si>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</si>
  <si>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</si>
  <si>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</si>
  <si>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</si>
  <si>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</si>
  <si>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</si>
  <si>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</si>
  <si>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</si>
  <si>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</si>
  <si>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</si>
  <si>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</si>
  <si>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</si>
  <si>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</si>
  <si>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</si>
  <si>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</si>
  <si>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</si>
  <si>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</si>
  <si>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</si>
  <si>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</si>
  <si>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</si>
  <si>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</si>
  <si>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</si>
  <si>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</si>
  <si>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</si>
  <si>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</si>
  <si>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</si>
  <si>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</si>
  <si>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</si>
  <si>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</si>
  <si>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</si>
  <si>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</si>
  <si>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</si>
  <si>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</si>
  <si>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</si>
  <si>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</si>
  <si>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</si>
  <si>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</si>
  <si>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</si>
  <si>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</si>
  <si>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</si>
  <si>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</si>
  <si>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</si>
  <si>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</si>
  <si>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</si>
  <si>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</si>
  <si>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</si>
  <si>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</si>
  <si>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</si>
  <si>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</si>
  <si>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</si>
  <si>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</si>
  <si>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</si>
  <si>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</si>
  <si>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</si>
  <si>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</si>
  <si>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</si>
  <si>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</si>
  <si>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</si>
  <si>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</si>
  <si>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</si>
  <si>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</si>
  <si>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</si>
  <si>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</si>
  <si>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</si>
  <si>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</si>
  <si>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</si>
  <si>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</si>
  <si>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</si>
  <si>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</si>
  <si>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</si>
  <si>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</si>
  <si>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</si>
  <si>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</si>
  <si>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</si>
  <si>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</si>
  <si>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</si>
  <si>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</si>
  <si>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</si>
  <si>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</si>
  <si>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</si>
  <si>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</si>
  <si>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</si>
  <si>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</si>
  <si>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</si>
  <si>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</si>
  <si>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</si>
  <si>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</si>
  <si>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</si>
  <si>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</si>
  <si>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</si>
  <si>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</si>
  <si>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</si>
  <si>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</si>
  <si>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</si>
  <si>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</si>
  <si>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</si>
  <si>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</si>
  <si>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</si>
  <si>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</si>
  <si>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</si>
  <si>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</si>
  <si>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</si>
  <si>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</si>
  <si>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</si>
  <si>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</si>
  <si>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</si>
  <si>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</si>
  <si>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</si>
  <si>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</si>
  <si>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</si>
  <si>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</si>
  <si>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</si>
  <si>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</si>
  <si>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</si>
  <si>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</si>
  <si>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</si>
  <si>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</si>
  <si>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</si>
  <si>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</si>
  <si>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</si>
  <si>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</si>
  <si>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</si>
  <si>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</si>
  <si>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</si>
  <si>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</si>
  <si>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</si>
  <si>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</si>
  <si>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</si>
  <si>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</si>
  <si>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</si>
  <si>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</si>
  <si>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</si>
  <si>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</si>
  <si>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</si>
  <si>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1 | 1</t>
  </si>
  <si>
    <t>Ctrl+Shift + M：获得当前日期和时间后，插入或更新到“时间”行</t>
  </si>
  <si>
    <t>v1.4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</si>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</sst>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C000"/>
      <color rgb="FFFFD966"/>
      <color rgb="FFA9D08E"/>
      <color rgb="FFC6E0B4"/>
      <color rgb="FFF4F3EE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showRowColHeaders="0" tabSelected="1" zoomScaleNormal="100" workbookViewId="0"/>
  </sheetViews>
  <sheetFormatPr defaultColWidth="0" defaultRowHeight="40" customHeight="1" zeroHeight="1" x14ac:dyDescent="0.4"/>
  <cols>
    <col min="1" max="2" width="2.69140625" style="22" customWidth="1"/>
    <col min="3" max="3" width="6.69140625" style="22" customWidth="1"/>
    <col min="4" max="4" width="12.69140625" style="22" customWidth="1"/>
    <col min="5" max="15" width="9.15234375" style="22" customWidth="1"/>
    <col min="16" max="17" width="2.69140625" style="22" customWidth="1"/>
    <col min="18" max="16384" width="9.15234375" style="22" hidden="1"/>
  </cols>
  <sheetData>
    <row r="1" spans="1:17" s="4" customFormat="1" ht="6" customHeight="1" x14ac:dyDescent="0.4"/>
    <row r="2" spans="1:17" s="28" customFormat="1" ht="10" customHeight="1" x14ac:dyDescent="0.4"/>
    <row r="3" spans="1:17" s="1" customFormat="1" ht="40" customHeight="1" x14ac:dyDescent="0.45">
      <c r="A3" s="96"/>
      <c r="B3" s="96"/>
      <c r="C3" s="96"/>
      <c r="D3" s="97" t="s">
        <v>136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1:17" s="1" customFormat="1" ht="8.15" customHeight="1" x14ac:dyDescent="0.4">
      <c r="A4" s="96"/>
      <c r="B4" s="96"/>
      <c r="C4" s="96"/>
      <c r="D4" s="98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17" s="1" customFormat="1" ht="40" customHeight="1" x14ac:dyDescent="0.4">
      <c r="A5" s="96"/>
      <c r="B5" s="96"/>
      <c r="C5" s="96"/>
      <c r="D5" s="99" t="s">
        <v>290</v>
      </c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8" t="s">
        <v>250</v>
      </c>
      <c r="D8" s="56"/>
      <c r="E8" s="56"/>
      <c r="F8" s="58"/>
      <c r="G8" s="56"/>
      <c r="H8" s="56"/>
      <c r="I8" s="56"/>
      <c r="J8" s="56"/>
      <c r="K8" s="56"/>
      <c r="L8" s="56"/>
      <c r="M8" s="56"/>
      <c r="N8" s="56"/>
      <c r="O8" s="56"/>
      <c r="P8" s="1"/>
    </row>
    <row r="9" spans="1:17" ht="40" customHeight="1" thickTop="1" x14ac:dyDescent="0.4">
      <c r="B9" s="1"/>
      <c r="C9" s="1">
        <v>1</v>
      </c>
      <c r="D9" s="52" t="s">
        <v>251</v>
      </c>
      <c r="E9" s="1"/>
      <c r="F9" s="25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52" t="s">
        <v>291</v>
      </c>
      <c r="E10" s="1"/>
      <c r="F10" s="25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52" t="s">
        <v>292</v>
      </c>
      <c r="E11" s="1"/>
      <c r="F11" s="25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52" t="s">
        <v>274</v>
      </c>
      <c r="E12" s="1"/>
      <c r="F12" s="25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52" t="s">
        <v>282</v>
      </c>
      <c r="E13" s="1"/>
      <c r="F13" s="25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5"/>
      <c r="E14" s="1"/>
      <c r="F14" s="25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8" t="s">
        <v>135</v>
      </c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6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6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6" t="s">
        <v>268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6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6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6" t="s">
        <v>269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6" t="s">
        <v>283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6" t="s">
        <v>267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6" t="s">
        <v>266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6" t="s">
        <v>284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6" t="s">
        <v>306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6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6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6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6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6" t="s">
        <v>287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6" t="s">
        <v>286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6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17">
        <v>1</v>
      </c>
      <c r="F34" s="118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17">
        <v>0</v>
      </c>
      <c r="F35" s="118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17">
        <v>-0.01</v>
      </c>
      <c r="F36" s="118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264</v>
      </c>
      <c r="E37" s="26" t="s">
        <v>265</v>
      </c>
      <c r="F37" s="25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299</v>
      </c>
      <c r="E38" s="26" t="s">
        <v>301</v>
      </c>
      <c r="F38" s="25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5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8" t="s">
        <v>252</v>
      </c>
      <c r="D40" s="57"/>
      <c r="E40" s="56"/>
      <c r="F40" s="58"/>
      <c r="G40" s="56"/>
      <c r="H40" s="56"/>
      <c r="I40" s="56"/>
      <c r="J40" s="56"/>
      <c r="K40" s="56"/>
      <c r="L40" s="56"/>
      <c r="M40" s="56"/>
      <c r="N40" s="56"/>
      <c r="O40" s="56"/>
      <c r="P40" s="1"/>
    </row>
    <row r="41" spans="2:16" ht="40" customHeight="1" thickTop="1" x14ac:dyDescent="0.4">
      <c r="B41" s="1"/>
      <c r="C41" s="1">
        <v>0</v>
      </c>
      <c r="D41" s="52" t="s">
        <v>270</v>
      </c>
      <c r="E41" s="1"/>
      <c r="F41" s="25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9" t="s">
        <v>253</v>
      </c>
      <c r="E42" s="55"/>
      <c r="F42" s="55"/>
      <c r="G42" s="54"/>
      <c r="H42" s="54"/>
      <c r="I42" s="54"/>
      <c r="J42" s="54"/>
      <c r="K42" s="54"/>
      <c r="L42" s="54"/>
      <c r="M42" s="54"/>
      <c r="N42" s="54"/>
      <c r="O42" s="54"/>
      <c r="P42" s="1"/>
    </row>
    <row r="43" spans="2:16" ht="158.25" customHeight="1" x14ac:dyDescent="0.4">
      <c r="B43" s="1"/>
      <c r="C43" s="1"/>
      <c r="D43" s="45"/>
      <c r="E43" s="1"/>
      <c r="F43" s="25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5"/>
      <c r="E44" s="1"/>
      <c r="F44" s="25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9" t="s">
        <v>261</v>
      </c>
      <c r="E45" s="54"/>
      <c r="F45" s="55"/>
      <c r="G45" s="54"/>
      <c r="H45" s="54"/>
      <c r="I45" s="54"/>
      <c r="J45" s="54"/>
      <c r="K45" s="54"/>
      <c r="L45" s="54"/>
      <c r="M45" s="54"/>
      <c r="N45" s="54"/>
      <c r="O45" s="54"/>
      <c r="P45" s="1"/>
    </row>
    <row r="46" spans="2:16" ht="80.25" customHeight="1" x14ac:dyDescent="0.4">
      <c r="B46" s="1"/>
      <c r="C46" s="1"/>
      <c r="D46" s="45"/>
      <c r="E46" s="1"/>
      <c r="F46" s="25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5"/>
      <c r="E47" s="1"/>
      <c r="F47" s="25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9" t="s">
        <v>262</v>
      </c>
      <c r="E48" s="54"/>
      <c r="F48" s="55"/>
      <c r="G48" s="54"/>
      <c r="H48" s="54"/>
      <c r="I48" s="54"/>
      <c r="J48" s="54"/>
      <c r="K48" s="54"/>
      <c r="L48" s="54"/>
      <c r="M48" s="54"/>
      <c r="N48" s="54"/>
      <c r="O48" s="54"/>
      <c r="P48" s="1"/>
    </row>
    <row r="49" spans="2:16" ht="82.5" customHeight="1" x14ac:dyDescent="0.4">
      <c r="B49" s="1"/>
      <c r="C49" s="1"/>
      <c r="D49" s="45"/>
      <c r="E49" s="1"/>
      <c r="F49" s="25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5"/>
      <c r="E50" s="1"/>
      <c r="F50" s="25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9" t="s">
        <v>254</v>
      </c>
      <c r="E51" s="54"/>
      <c r="F51" s="55"/>
      <c r="G51" s="54"/>
      <c r="H51" s="54"/>
      <c r="I51" s="54"/>
      <c r="J51" s="54"/>
      <c r="K51" s="54"/>
      <c r="L51" s="54"/>
      <c r="M51" s="54"/>
      <c r="N51" s="54"/>
      <c r="O51" s="54"/>
      <c r="P51" s="1"/>
    </row>
    <row r="52" spans="2:16" ht="40" customHeight="1" x14ac:dyDescent="0.4">
      <c r="B52" s="1"/>
      <c r="C52" s="1"/>
      <c r="D52" s="53" t="s">
        <v>259</v>
      </c>
      <c r="E52" s="1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3" t="s">
        <v>260</v>
      </c>
      <c r="E53" s="1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5"/>
      <c r="E54" s="1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5"/>
      <c r="E55" s="1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6" t="s">
        <v>255</v>
      </c>
      <c r="D56" s="57"/>
      <c r="E56" s="56"/>
      <c r="F56" s="58"/>
      <c r="G56" s="56"/>
      <c r="H56" s="56"/>
      <c r="I56" s="56"/>
      <c r="J56" s="56"/>
      <c r="K56" s="56"/>
      <c r="L56" s="56"/>
      <c r="M56" s="56"/>
      <c r="N56" s="56"/>
      <c r="O56" s="56"/>
      <c r="P56" s="1"/>
    </row>
    <row r="57" spans="2:16" ht="40" customHeight="1" thickTop="1" x14ac:dyDescent="0.4">
      <c r="B57" s="1"/>
      <c r="C57" s="1">
        <v>-0.01</v>
      </c>
      <c r="D57" s="52" t="s">
        <v>256</v>
      </c>
      <c r="E57" s="1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5"/>
      <c r="E58" s="1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6" t="s">
        <v>257</v>
      </c>
      <c r="D59" s="57"/>
      <c r="E59" s="56"/>
      <c r="F59" s="58"/>
      <c r="G59" s="56"/>
      <c r="H59" s="56"/>
      <c r="I59" s="56"/>
      <c r="J59" s="56"/>
      <c r="K59" s="56"/>
      <c r="L59" s="56"/>
      <c r="M59" s="56"/>
      <c r="N59" s="56"/>
      <c r="O59" s="56"/>
      <c r="P59" s="1"/>
    </row>
    <row r="60" spans="2:16" ht="40" customHeight="1" thickTop="1" x14ac:dyDescent="0.4">
      <c r="B60" s="1"/>
      <c r="C60" s="1">
        <v>1</v>
      </c>
      <c r="D60" s="52" t="s">
        <v>258</v>
      </c>
      <c r="E60" s="1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B4U2Rvfy9H5WShVzwwg2qF/BIjm0ukTNG5TywsXWTyOQ7HJlg4I/WDXgiow5zrtz94Tm1gPeeUJLn+HxU789ig==" saltValue="3EPK6SshsEh4owfeeaBxw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showRowColHeader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8" customFormat="1" ht="10" customHeight="1" x14ac:dyDescent="0.4"/>
    <row r="3" spans="2:13" s="28" customFormat="1" ht="40" customHeight="1" x14ac:dyDescent="0.45">
      <c r="B3" s="29"/>
      <c r="C3" s="47" t="s">
        <v>82</v>
      </c>
    </row>
    <row r="4" spans="2:13" s="28" customFormat="1" ht="8.15" customHeight="1" x14ac:dyDescent="0.4">
      <c r="B4" s="29"/>
      <c r="C4" s="30"/>
    </row>
    <row r="5" spans="2:13" s="28" customFormat="1" ht="40" customHeight="1" x14ac:dyDescent="0.4">
      <c r="B5" s="29"/>
      <c r="C5" s="48" t="s">
        <v>263</v>
      </c>
    </row>
    <row r="6" spans="2:13" ht="16.5" customHeight="1" x14ac:dyDescent="0.4">
      <c r="G6" s="31"/>
      <c r="H6" s="31"/>
      <c r="I6" s="31"/>
      <c r="J6" s="31"/>
      <c r="K6" s="31"/>
    </row>
    <row r="7" spans="2:13" ht="40" customHeight="1" x14ac:dyDescent="0.4">
      <c r="B7" s="32" t="s">
        <v>13</v>
      </c>
      <c r="C7" s="33" t="s">
        <v>12</v>
      </c>
      <c r="D7" s="80" t="s">
        <v>18</v>
      </c>
      <c r="E7" s="43"/>
      <c r="F7" s="43"/>
      <c r="G7" s="43"/>
      <c r="H7" s="43"/>
      <c r="I7" s="43"/>
      <c r="J7" s="43"/>
      <c r="K7" s="43"/>
      <c r="L7" s="43"/>
      <c r="M7" s="43"/>
    </row>
    <row r="8" spans="2:13" s="102" customFormat="1" ht="8.0500000000000007" customHeight="1" x14ac:dyDescent="0.4">
      <c r="B8" s="103"/>
      <c r="D8" s="104"/>
      <c r="E8" s="104"/>
      <c r="F8" s="104"/>
      <c r="G8" s="104"/>
      <c r="H8" s="104"/>
      <c r="I8" s="104"/>
      <c r="J8" s="104"/>
      <c r="K8" s="104"/>
      <c r="L8" s="104"/>
      <c r="M8" s="104"/>
    </row>
    <row r="9" spans="2:13" ht="40" customHeight="1" x14ac:dyDescent="0.4">
      <c r="B9" s="32" t="s">
        <v>14</v>
      </c>
      <c r="C9" s="33" t="s">
        <v>220</v>
      </c>
      <c r="D9" s="33"/>
      <c r="E9" s="33"/>
      <c r="F9" s="43"/>
      <c r="G9" s="134" t="s">
        <v>226</v>
      </c>
      <c r="H9" s="134"/>
      <c r="I9" s="134"/>
      <c r="J9" s="133" t="s">
        <v>248</v>
      </c>
      <c r="K9" s="133"/>
      <c r="L9" s="133"/>
      <c r="M9" s="133"/>
    </row>
    <row r="10" spans="2:13" ht="40" customHeight="1" x14ac:dyDescent="0.4">
      <c r="B10" s="32"/>
      <c r="C10" s="33"/>
      <c r="D10" s="34" t="s">
        <v>3</v>
      </c>
      <c r="E10" s="34" t="s">
        <v>0</v>
      </c>
      <c r="F10" s="34" t="s">
        <v>41</v>
      </c>
      <c r="G10" s="34" t="s">
        <v>235</v>
      </c>
      <c r="H10" s="34" t="s">
        <v>271</v>
      </c>
      <c r="I10" s="34" t="s">
        <v>272</v>
      </c>
      <c r="J10" s="34" t="s">
        <v>224</v>
      </c>
      <c r="K10" s="34" t="s">
        <v>273</v>
      </c>
      <c r="L10" s="34" t="s">
        <v>249</v>
      </c>
      <c r="M10" s="34" t="s">
        <v>227</v>
      </c>
    </row>
    <row r="11" spans="2:13" ht="40" customHeight="1" x14ac:dyDescent="0.4">
      <c r="B11" s="32"/>
      <c r="C11" s="33"/>
      <c r="D11" s="44" t="str">
        <f>CONCATENATE(Store_Setting[[#This Row],[序号]], " | ", Store_Setting[[#This Row],[商品名称]])</f>
        <v>1 | 1</v>
      </c>
      <c r="E11" s="22">
        <v>1</v>
      </c>
      <c r="F11" s="27">
        <v>1</v>
      </c>
      <c r="G11" s="22">
        <f>SUM(UserInfo[1 - 剩余])</f>
        <v>0</v>
      </c>
      <c r="H11" s="22">
        <f>SUM(UserInfo[1 - 存入])</f>
        <v>1</v>
      </c>
      <c r="I11" s="22">
        <f>SUM(UserInfo[1 - 支取])</f>
        <v>1</v>
      </c>
      <c r="J11" s="23">
        <f>Store_Setting[[#This Row],[共入库小计]]-Store_Setting[[#This Row],[已支取]]</f>
        <v>-1</v>
      </c>
      <c r="K11" s="22">
        <f>Store_Setting[[#This Row],[入库小计]]-Store_Setting[[#This Row],[取货小计]]</f>
        <v>0</v>
      </c>
      <c r="L11" s="22">
        <f>SUMIFS(Store_History[数量],Store_History[唯一识别码],Store_Setting[[#This Row],[唯一识别码]],Store_History[类型],"入库")</f>
        <v>0</v>
      </c>
      <c r="M11" s="22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2"/>
      <c r="C12" s="33"/>
      <c r="D12" s="44" t="str">
        <f>CONCATENATE(Store_Setting[[#This Row],[序号]], " | ", Store_Setting[[#This Row],[商品名称]])</f>
        <v>2 | 2</v>
      </c>
      <c r="E12" s="22">
        <v>2</v>
      </c>
      <c r="F12" s="27">
        <v>2</v>
      </c>
      <c r="G12" s="22">
        <f>SUM(UserInfo[2 - 剩余])</f>
        <v>0</v>
      </c>
      <c r="H12" s="22">
        <f>SUM(UserInfo[2 - 存入])</f>
        <v>2</v>
      </c>
      <c r="I12" s="22">
        <f>SUM(UserInfo[2 - 支取])</f>
        <v>2</v>
      </c>
      <c r="J12" s="23">
        <f>Store_Setting[[#This Row],[共入库小计]]-Store_Setting[[#This Row],[已支取]]</f>
        <v>-2</v>
      </c>
      <c r="K12" s="22">
        <f>Store_Setting[[#This Row],[入库小计]]-Store_Setting[[#This Row],[取货小计]]</f>
        <v>0</v>
      </c>
      <c r="L12" s="22">
        <f>SUMIFS(Store_History[数量],Store_History[唯一识别码],Store_Setting[[#This Row],[唯一识别码]],Store_History[类型],"入库")</f>
        <v>0</v>
      </c>
      <c r="M12" s="22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2"/>
      <c r="C13" s="33"/>
      <c r="D13" s="44" t="str">
        <f>CONCATENATE(Store_Setting[[#This Row],[序号]], " | ", Store_Setting[[#This Row],[商品名称]])</f>
        <v>3 | 3</v>
      </c>
      <c r="E13" s="22">
        <v>3</v>
      </c>
      <c r="F13" s="27">
        <v>3</v>
      </c>
      <c r="G13" s="22">
        <f>SUM(UserInfo[3 - 剩余])</f>
        <v>0</v>
      </c>
      <c r="H13" s="22">
        <f>SUM(UserInfo[3 - 存入])</f>
        <v>3</v>
      </c>
      <c r="I13" s="22">
        <f>SUM(UserInfo[3 - 支取])</f>
        <v>3</v>
      </c>
      <c r="J13" s="23">
        <f>Store_Setting[[#This Row],[共入库小计]]-Store_Setting[[#This Row],[已支取]]</f>
        <v>-3</v>
      </c>
      <c r="K13" s="22">
        <f>Store_Setting[[#This Row],[入库小计]]-Store_Setting[[#This Row],[取货小计]]</f>
        <v>0</v>
      </c>
      <c r="L13" s="22">
        <f>SUMIFS(Store_History[数量],Store_History[唯一识别码],Store_Setting[[#This Row],[唯一识别码]],Store_History[类型],"入库")</f>
        <v>0</v>
      </c>
      <c r="M13" s="22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2"/>
      <c r="C14" s="33"/>
      <c r="D14" s="44" t="str">
        <f>CONCATENATE(Store_Setting[[#This Row],[序号]], " | ", Store_Setting[[#This Row],[商品名称]])</f>
        <v>4 | 4</v>
      </c>
      <c r="E14" s="22">
        <v>4</v>
      </c>
      <c r="F14" s="27">
        <v>4</v>
      </c>
      <c r="G14" s="22">
        <f>SUM(UserInfo[4 - 剩余])</f>
        <v>0</v>
      </c>
      <c r="H14" s="22">
        <f>SUM(UserInfo[4 - 存入])</f>
        <v>4</v>
      </c>
      <c r="I14" s="22">
        <f>SUM(UserInfo[4 - 支取])</f>
        <v>4</v>
      </c>
      <c r="J14" s="23">
        <f>Store_Setting[[#This Row],[共入库小计]]-Store_Setting[[#This Row],[已支取]]</f>
        <v>-4</v>
      </c>
      <c r="K14" s="22">
        <f>Store_Setting[[#This Row],[入库小计]]-Store_Setting[[#This Row],[取货小计]]</f>
        <v>0</v>
      </c>
      <c r="L14" s="22">
        <f>SUMIFS(Store_History[数量],Store_History[唯一识别码],Store_Setting[[#This Row],[唯一识别码]],Store_History[类型],"入库")</f>
        <v>0</v>
      </c>
      <c r="M14" s="22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2"/>
      <c r="C15" s="33"/>
      <c r="D15" s="44" t="str">
        <f>CONCATENATE(Store_Setting[[#This Row],[序号]], " | ", Store_Setting[[#This Row],[商品名称]])</f>
        <v>5 | 5</v>
      </c>
      <c r="E15" s="22">
        <v>5</v>
      </c>
      <c r="F15" s="27">
        <v>5</v>
      </c>
      <c r="G15" s="22">
        <f>SUM(UserInfo[5 - 剩余])</f>
        <v>0</v>
      </c>
      <c r="H15" s="22">
        <f>SUM(UserInfo[5 - 存入])</f>
        <v>5</v>
      </c>
      <c r="I15" s="22">
        <f>SUM(UserInfo[5 - 支取])</f>
        <v>5</v>
      </c>
      <c r="J15" s="23">
        <f>Store_Setting[[#This Row],[共入库小计]]-Store_Setting[[#This Row],[已支取]]</f>
        <v>-5</v>
      </c>
      <c r="K15" s="22">
        <f>Store_Setting[[#This Row],[入库小计]]-Store_Setting[[#This Row],[取货小计]]</f>
        <v>0</v>
      </c>
      <c r="L15" s="22">
        <f>SUMIFS(Store_History[数量],Store_History[唯一识别码],Store_Setting[[#This Row],[唯一识别码]],Store_History[类型],"入库")</f>
        <v>0</v>
      </c>
      <c r="M15" s="22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2"/>
      <c r="C16" s="33"/>
      <c r="D16" s="44" t="str">
        <f>CONCATENATE(Store_Setting[[#This Row],[序号]], " | ", Store_Setting[[#This Row],[商品名称]])</f>
        <v>6 | 6</v>
      </c>
      <c r="E16" s="22">
        <v>6</v>
      </c>
      <c r="F16" s="27">
        <v>6</v>
      </c>
      <c r="G16" s="22">
        <f>SUM(UserInfo[6 - 剩余])</f>
        <v>0</v>
      </c>
      <c r="H16" s="22">
        <f>SUM(UserInfo[6 - 存入])</f>
        <v>6</v>
      </c>
      <c r="I16" s="22">
        <f>SUM(UserInfo[6 - 支取])</f>
        <v>6</v>
      </c>
      <c r="J16" s="23">
        <f>Store_Setting[[#This Row],[共入库小计]]-Store_Setting[[#This Row],[已支取]]</f>
        <v>-6</v>
      </c>
      <c r="K16" s="22">
        <f>Store_Setting[[#This Row],[入库小计]]-Store_Setting[[#This Row],[取货小计]]</f>
        <v>0</v>
      </c>
      <c r="L16" s="22">
        <f>SUMIFS(Store_History[数量],Store_History[唯一识别码],Store_Setting[[#This Row],[唯一识别码]],Store_History[类型],"入库")</f>
        <v>0</v>
      </c>
      <c r="M16" s="22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2"/>
      <c r="C17" s="33"/>
      <c r="D17" s="44" t="str">
        <f>CONCATENATE(Store_Setting[[#This Row],[序号]], " | ", Store_Setting[[#This Row],[商品名称]])</f>
        <v>7 | 7</v>
      </c>
      <c r="E17" s="22">
        <v>7</v>
      </c>
      <c r="F17" s="27">
        <v>7</v>
      </c>
      <c r="G17" s="22">
        <f>SUM(UserInfo[7 - 剩余])</f>
        <v>0</v>
      </c>
      <c r="H17" s="22">
        <f>SUM(UserInfo[7 - 存入])</f>
        <v>7</v>
      </c>
      <c r="I17" s="22">
        <f>SUM(UserInfo[7 - 支取])</f>
        <v>7</v>
      </c>
      <c r="J17" s="23">
        <f>Store_Setting[[#This Row],[共入库小计]]-Store_Setting[[#This Row],[已支取]]</f>
        <v>-7</v>
      </c>
      <c r="K17" s="22">
        <f>Store_Setting[[#This Row],[入库小计]]-Store_Setting[[#This Row],[取货小计]]</f>
        <v>0</v>
      </c>
      <c r="L17" s="22">
        <f>SUMIFS(Store_History[数量],Store_History[唯一识别码],Store_Setting[[#This Row],[唯一识别码]],Store_History[类型],"入库")</f>
        <v>0</v>
      </c>
      <c r="M17" s="22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2"/>
      <c r="C18" s="33"/>
      <c r="D18" s="44" t="str">
        <f>CONCATENATE(Store_Setting[[#This Row],[序号]], " | ", Store_Setting[[#This Row],[商品名称]])</f>
        <v>8 | 8</v>
      </c>
      <c r="E18" s="22">
        <v>8</v>
      </c>
      <c r="F18" s="27">
        <v>8</v>
      </c>
      <c r="G18" s="22">
        <f>SUM(UserInfo[8 - 剩余])</f>
        <v>0</v>
      </c>
      <c r="H18" s="22">
        <f>SUM(UserInfo[8 - 存入])</f>
        <v>8</v>
      </c>
      <c r="I18" s="22">
        <f>SUM(UserInfo[8 - 支取])</f>
        <v>8</v>
      </c>
      <c r="J18" s="23">
        <f>Store_Setting[[#This Row],[共入库小计]]-Store_Setting[[#This Row],[已支取]]</f>
        <v>-8</v>
      </c>
      <c r="K18" s="22">
        <f>Store_Setting[[#This Row],[入库小计]]-Store_Setting[[#This Row],[取货小计]]</f>
        <v>0</v>
      </c>
      <c r="L18" s="22">
        <f>SUMIFS(Store_History[数量],Store_History[唯一识别码],Store_Setting[[#This Row],[唯一识别码]],Store_History[类型],"入库")</f>
        <v>0</v>
      </c>
      <c r="M18" s="22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2"/>
      <c r="C19" s="33"/>
      <c r="D19" s="44" t="str">
        <f>CONCATENATE(Store_Setting[[#This Row],[序号]], " | ", Store_Setting[[#This Row],[商品名称]])</f>
        <v>9 | 9</v>
      </c>
      <c r="E19" s="22">
        <v>9</v>
      </c>
      <c r="F19" s="27">
        <v>9</v>
      </c>
      <c r="G19" s="22">
        <f>SUM(UserInfo[9 - 剩余])</f>
        <v>0</v>
      </c>
      <c r="H19" s="22">
        <f>SUM(UserInfo[9 - 存入])</f>
        <v>9</v>
      </c>
      <c r="I19" s="22">
        <f>SUM(UserInfo[9 - 支取])</f>
        <v>9</v>
      </c>
      <c r="J19" s="23">
        <f>Store_Setting[[#This Row],[共入库小计]]-Store_Setting[[#This Row],[已支取]]</f>
        <v>-9</v>
      </c>
      <c r="K19" s="22">
        <f>Store_Setting[[#This Row],[入库小计]]-Store_Setting[[#This Row],[取货小计]]</f>
        <v>0</v>
      </c>
      <c r="L19" s="22">
        <f>SUMIFS(Store_History[数量],Store_History[唯一识别码],Store_Setting[[#This Row],[唯一识别码]],Store_History[类型],"入库")</f>
        <v>0</v>
      </c>
      <c r="M19" s="22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2"/>
      <c r="C20" s="33"/>
      <c r="D20" s="44" t="str">
        <f>CONCATENATE(Store_Setting[[#This Row],[序号]], " | ", Store_Setting[[#This Row],[商品名称]])</f>
        <v>10 | 10</v>
      </c>
      <c r="E20" s="22">
        <v>10</v>
      </c>
      <c r="F20" s="27">
        <v>10</v>
      </c>
      <c r="G20" s="22">
        <f>SUM(UserInfo[10 - 剩余])</f>
        <v>0</v>
      </c>
      <c r="H20" s="22">
        <f>SUM(UserInfo[10 - 存入])</f>
        <v>10</v>
      </c>
      <c r="I20" s="22">
        <f>SUM(UserInfo[10 - 支取])</f>
        <v>10</v>
      </c>
      <c r="J20" s="23">
        <f>Store_Setting[[#This Row],[共入库小计]]-Store_Setting[[#This Row],[已支取]]</f>
        <v>-10</v>
      </c>
      <c r="K20" s="22">
        <f>Store_Setting[[#This Row],[入库小计]]-Store_Setting[[#This Row],[取货小计]]</f>
        <v>0</v>
      </c>
      <c r="L20" s="22">
        <f>SUMIFS(Store_History[数量],Store_History[唯一识别码],Store_Setting[[#This Row],[唯一识别码]],Store_History[类型],"入库")</f>
        <v>0</v>
      </c>
      <c r="M20" s="22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2"/>
      <c r="C21" s="33"/>
      <c r="D21" s="44" t="str">
        <f>CONCATENATE(Store_Setting[[#This Row],[序号]], " | ", Store_Setting[[#This Row],[商品名称]])</f>
        <v>11 | 11</v>
      </c>
      <c r="E21" s="22">
        <v>11</v>
      </c>
      <c r="F21" s="27">
        <v>11</v>
      </c>
      <c r="G21" s="22">
        <f>SUM(UserInfo[11 - 剩余])</f>
        <v>0</v>
      </c>
      <c r="H21" s="22">
        <f>SUM(UserInfo[11 - 存入])</f>
        <v>11</v>
      </c>
      <c r="I21" s="22">
        <f>SUM(UserInfo[11 - 支取])</f>
        <v>11</v>
      </c>
      <c r="J21" s="23">
        <f>Store_Setting[[#This Row],[共入库小计]]-Store_Setting[[#This Row],[已支取]]</f>
        <v>-11</v>
      </c>
      <c r="K21" s="22">
        <f>Store_Setting[[#This Row],[入库小计]]-Store_Setting[[#This Row],[取货小计]]</f>
        <v>0</v>
      </c>
      <c r="L21" s="22">
        <f>SUMIFS(Store_History[数量],Store_History[唯一识别码],Store_Setting[[#This Row],[唯一识别码]],Store_History[类型],"入库")</f>
        <v>0</v>
      </c>
      <c r="M21" s="22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2"/>
      <c r="C22" s="33"/>
      <c r="D22" s="44" t="str">
        <f>CONCATENATE(Store_Setting[[#This Row],[序号]], " | ", Store_Setting[[#This Row],[商品名称]])</f>
        <v>12 | 12</v>
      </c>
      <c r="E22" s="22">
        <v>12</v>
      </c>
      <c r="F22" s="27">
        <v>12</v>
      </c>
      <c r="G22" s="22">
        <f>SUM(UserInfo[12 - 剩余])</f>
        <v>0</v>
      </c>
      <c r="H22" s="22">
        <f>SUM(UserInfo[12 - 存入])</f>
        <v>12</v>
      </c>
      <c r="I22" s="22">
        <f>SUM(UserInfo[12 - 支取])</f>
        <v>12</v>
      </c>
      <c r="J22" s="23">
        <f>Store_Setting[[#This Row],[共入库小计]]-Store_Setting[[#This Row],[已支取]]</f>
        <v>-12</v>
      </c>
      <c r="K22" s="22">
        <f>Store_Setting[[#This Row],[入库小计]]-Store_Setting[[#This Row],[取货小计]]</f>
        <v>0</v>
      </c>
      <c r="L22" s="22">
        <f>SUMIFS(Store_History[数量],Store_History[唯一识别码],Store_Setting[[#This Row],[唯一识别码]],Store_History[类型],"入库")</f>
        <v>0</v>
      </c>
      <c r="M22" s="22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2"/>
      <c r="C23" s="33"/>
      <c r="D23" s="44" t="str">
        <f>CONCATENATE(Store_Setting[[#This Row],[序号]], " | ", Store_Setting[[#This Row],[商品名称]])</f>
        <v>13 | 13</v>
      </c>
      <c r="E23" s="22">
        <v>13</v>
      </c>
      <c r="F23" s="27">
        <v>13</v>
      </c>
      <c r="G23" s="22">
        <f>SUM(UserInfo[13 - 剩余])</f>
        <v>0</v>
      </c>
      <c r="H23" s="22">
        <f>SUM(UserInfo[13 - 存入])</f>
        <v>13</v>
      </c>
      <c r="I23" s="22">
        <f>SUM(UserInfo[13 - 支取])</f>
        <v>13</v>
      </c>
      <c r="J23" s="23">
        <f>Store_Setting[[#This Row],[共入库小计]]-Store_Setting[[#This Row],[已支取]]</f>
        <v>-13</v>
      </c>
      <c r="K23" s="22">
        <f>Store_Setting[[#This Row],[入库小计]]-Store_Setting[[#This Row],[取货小计]]</f>
        <v>0</v>
      </c>
      <c r="L23" s="22">
        <f>SUMIFS(Store_History[数量],Store_History[唯一识别码],Store_Setting[[#This Row],[唯一识别码]],Store_History[类型],"入库")</f>
        <v>0</v>
      </c>
      <c r="M23" s="22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2"/>
      <c r="C24" s="33"/>
      <c r="D24" s="44" t="str">
        <f>CONCATENATE(Store_Setting[[#This Row],[序号]], " | ", Store_Setting[[#This Row],[商品名称]])</f>
        <v>14 | 14</v>
      </c>
      <c r="E24" s="22">
        <v>14</v>
      </c>
      <c r="F24" s="27">
        <v>14</v>
      </c>
      <c r="G24" s="22">
        <f>SUM(UserInfo[14 - 剩余])</f>
        <v>0</v>
      </c>
      <c r="H24" s="22">
        <f>SUM(UserInfo[14 - 存入])</f>
        <v>14</v>
      </c>
      <c r="I24" s="22">
        <f>SUM(UserInfo[14 - 支取])</f>
        <v>14</v>
      </c>
      <c r="J24" s="23">
        <f>Store_Setting[[#This Row],[共入库小计]]-Store_Setting[[#This Row],[已支取]]</f>
        <v>-14</v>
      </c>
      <c r="K24" s="22">
        <f>Store_Setting[[#This Row],[入库小计]]-Store_Setting[[#This Row],[取货小计]]</f>
        <v>0</v>
      </c>
      <c r="L24" s="22">
        <f>SUMIFS(Store_History[数量],Store_History[唯一识别码],Store_Setting[[#This Row],[唯一识别码]],Store_History[类型],"入库")</f>
        <v>0</v>
      </c>
      <c r="M24" s="22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2"/>
      <c r="C25" s="33"/>
      <c r="D25" s="44" t="str">
        <f>CONCATENATE(Store_Setting[[#This Row],[序号]], " | ", Store_Setting[[#This Row],[商品名称]])</f>
        <v>15 | 15</v>
      </c>
      <c r="E25" s="22">
        <v>15</v>
      </c>
      <c r="F25" s="27">
        <v>15</v>
      </c>
      <c r="G25" s="22">
        <f>SUM(UserInfo[15 - 剩余])</f>
        <v>0</v>
      </c>
      <c r="H25" s="22">
        <f>SUM(UserInfo[15 - 存入])</f>
        <v>15</v>
      </c>
      <c r="I25" s="22">
        <f>SUM(UserInfo[15 - 支取])</f>
        <v>15</v>
      </c>
      <c r="J25" s="23">
        <f>Store_Setting[[#This Row],[共入库小计]]-Store_Setting[[#This Row],[已支取]]</f>
        <v>-15</v>
      </c>
      <c r="K25" s="22">
        <f>Store_Setting[[#This Row],[入库小计]]-Store_Setting[[#This Row],[取货小计]]</f>
        <v>0</v>
      </c>
      <c r="L25" s="22">
        <f>SUMIFS(Store_History[数量],Store_History[唯一识别码],Store_Setting[[#This Row],[唯一识别码]],Store_History[类型],"入库")</f>
        <v>0</v>
      </c>
      <c r="M25" s="22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2"/>
      <c r="C26" s="33"/>
      <c r="D26" s="44" t="str">
        <f>CONCATENATE(Store_Setting[[#This Row],[序号]], " | ", Store_Setting[[#This Row],[商品名称]])</f>
        <v>16 | 16</v>
      </c>
      <c r="E26" s="22">
        <v>16</v>
      </c>
      <c r="F26" s="27">
        <v>16</v>
      </c>
      <c r="G26" s="22">
        <f>SUM(UserInfo[16 - 剩余])</f>
        <v>0</v>
      </c>
      <c r="H26" s="22">
        <f>SUM(UserInfo[16 - 存入])</f>
        <v>16</v>
      </c>
      <c r="I26" s="22">
        <f>SUM(UserInfo[16 - 支取])</f>
        <v>16</v>
      </c>
      <c r="J26" s="23">
        <f>Store_Setting[[#This Row],[共入库小计]]-Store_Setting[[#This Row],[已支取]]</f>
        <v>-16</v>
      </c>
      <c r="K26" s="22">
        <f>Store_Setting[[#This Row],[入库小计]]-Store_Setting[[#This Row],[取货小计]]</f>
        <v>0</v>
      </c>
      <c r="L26" s="22">
        <f>SUMIFS(Store_History[数量],Store_History[唯一识别码],Store_Setting[[#This Row],[唯一识别码]],Store_History[类型],"入库")</f>
        <v>0</v>
      </c>
      <c r="M26" s="22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2"/>
      <c r="C27" s="33"/>
      <c r="D27" s="44" t="str">
        <f>CONCATENATE(Store_Setting[[#This Row],[序号]], " | ", Store_Setting[[#This Row],[商品名称]])</f>
        <v>17 | 17</v>
      </c>
      <c r="E27" s="22">
        <v>17</v>
      </c>
      <c r="F27" s="27">
        <v>17</v>
      </c>
      <c r="G27" s="22">
        <f>SUM(UserInfo[17 - 剩余])</f>
        <v>0</v>
      </c>
      <c r="H27" s="22">
        <f>SUM(UserInfo[17 - 存入])</f>
        <v>17</v>
      </c>
      <c r="I27" s="22">
        <f>SUM(UserInfo[17 - 支取])</f>
        <v>17</v>
      </c>
      <c r="J27" s="23">
        <f>Store_Setting[[#This Row],[共入库小计]]-Store_Setting[[#This Row],[已支取]]</f>
        <v>-17</v>
      </c>
      <c r="K27" s="22">
        <f>Store_Setting[[#This Row],[入库小计]]-Store_Setting[[#This Row],[取货小计]]</f>
        <v>0</v>
      </c>
      <c r="L27" s="22">
        <f>SUMIFS(Store_History[数量],Store_History[唯一识别码],Store_Setting[[#This Row],[唯一识别码]],Store_History[类型],"入库")</f>
        <v>0</v>
      </c>
      <c r="M27" s="22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2"/>
      <c r="C28" s="33"/>
      <c r="D28" s="44" t="str">
        <f>CONCATENATE(Store_Setting[[#This Row],[序号]], " | ", Store_Setting[[#This Row],[商品名称]])</f>
        <v>18 | 18</v>
      </c>
      <c r="E28" s="22">
        <v>18</v>
      </c>
      <c r="F28" s="27">
        <v>18</v>
      </c>
      <c r="G28" s="22">
        <f>SUM(UserInfo[18 - 剩余])</f>
        <v>0</v>
      </c>
      <c r="H28" s="22">
        <f>SUM(UserInfo[18 - 存入])</f>
        <v>18</v>
      </c>
      <c r="I28" s="22">
        <f>SUM(UserInfo[18 - 支取])</f>
        <v>18</v>
      </c>
      <c r="J28" s="23">
        <f>Store_Setting[[#This Row],[共入库小计]]-Store_Setting[[#This Row],[已支取]]</f>
        <v>-18</v>
      </c>
      <c r="K28" s="22">
        <f>Store_Setting[[#This Row],[入库小计]]-Store_Setting[[#This Row],[取货小计]]</f>
        <v>0</v>
      </c>
      <c r="L28" s="22">
        <f>SUMIFS(Store_History[数量],Store_History[唯一识别码],Store_Setting[[#This Row],[唯一识别码]],Store_History[类型],"入库")</f>
        <v>0</v>
      </c>
      <c r="M28" s="22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2"/>
      <c r="C29" s="33"/>
      <c r="D29" s="44" t="str">
        <f>CONCATENATE(Store_Setting[[#This Row],[序号]], " | ", Store_Setting[[#This Row],[商品名称]])</f>
        <v>19 | 19</v>
      </c>
      <c r="E29" s="22">
        <v>19</v>
      </c>
      <c r="F29" s="27">
        <v>19</v>
      </c>
      <c r="G29" s="22">
        <f>SUM(UserInfo[19 - 剩余])</f>
        <v>0</v>
      </c>
      <c r="H29" s="22">
        <f>SUM(UserInfo[19 - 存入])</f>
        <v>19</v>
      </c>
      <c r="I29" s="22">
        <f>SUM(UserInfo[19 - 支取])</f>
        <v>19</v>
      </c>
      <c r="J29" s="23">
        <f>Store_Setting[[#This Row],[共入库小计]]-Store_Setting[[#This Row],[已支取]]</f>
        <v>-19</v>
      </c>
      <c r="K29" s="22">
        <f>Store_Setting[[#This Row],[入库小计]]-Store_Setting[[#This Row],[取货小计]]</f>
        <v>0</v>
      </c>
      <c r="L29" s="22">
        <f>SUMIFS(Store_History[数量],Store_History[唯一识别码],Store_Setting[[#This Row],[唯一识别码]],Store_History[类型],"入库")</f>
        <v>0</v>
      </c>
      <c r="M29" s="22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2"/>
      <c r="C30" s="33"/>
      <c r="D30" s="44" t="str">
        <f>CONCATENATE(Store_Setting[[#This Row],[序号]], " | ", Store_Setting[[#This Row],[商品名称]])</f>
        <v>20 | 20</v>
      </c>
      <c r="E30" s="22">
        <v>20</v>
      </c>
      <c r="F30" s="27">
        <v>20</v>
      </c>
      <c r="G30" s="22">
        <f>SUM(UserInfo[20 - 剩余])</f>
        <v>0</v>
      </c>
      <c r="H30" s="22">
        <f>SUM(UserInfo[20 - 存入])</f>
        <v>20</v>
      </c>
      <c r="I30" s="22">
        <f>SUM(UserInfo[20 - 支取])</f>
        <v>20</v>
      </c>
      <c r="J30" s="23">
        <f>Store_Setting[[#This Row],[共入库小计]]-Store_Setting[[#This Row],[已支取]]</f>
        <v>-20</v>
      </c>
      <c r="K30" s="22">
        <f>Store_Setting[[#This Row],[入库小计]]-Store_Setting[[#This Row],[取货小计]]</f>
        <v>0</v>
      </c>
      <c r="L30" s="22">
        <f>SUMIFS(Store_History[数量],Store_History[唯一识别码],Store_Setting[[#This Row],[唯一识别码]],Store_History[类型],"入库")</f>
        <v>0</v>
      </c>
      <c r="M30" s="22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2"/>
      <c r="C31" s="33"/>
      <c r="D31" s="44" t="str">
        <f>CONCATENATE(Store_Setting[[#This Row],[序号]], " | ", Store_Setting[[#This Row],[商品名称]])</f>
        <v>21 | 21</v>
      </c>
      <c r="E31" s="22">
        <v>21</v>
      </c>
      <c r="F31" s="27">
        <v>21</v>
      </c>
      <c r="G31" s="22">
        <f>SUM(UserInfo[21 - 剩余])</f>
        <v>0</v>
      </c>
      <c r="H31" s="22">
        <f>SUM(UserInfo[21 - 存入])</f>
        <v>21</v>
      </c>
      <c r="I31" s="22">
        <f>SUM(UserInfo[21 - 支取])</f>
        <v>21</v>
      </c>
      <c r="J31" s="23">
        <f>Store_Setting[[#This Row],[共入库小计]]-Store_Setting[[#This Row],[已支取]]</f>
        <v>-21</v>
      </c>
      <c r="K31" s="22">
        <f>Store_Setting[[#This Row],[入库小计]]-Store_Setting[[#This Row],[取货小计]]</f>
        <v>0</v>
      </c>
      <c r="L31" s="22">
        <f>SUMIFS(Store_History[数量],Store_History[唯一识别码],Store_Setting[[#This Row],[唯一识别码]],Store_History[类型],"入库")</f>
        <v>0</v>
      </c>
      <c r="M31" s="22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2"/>
      <c r="C32" s="33"/>
      <c r="D32" s="44" t="str">
        <f>CONCATENATE(Store_Setting[[#This Row],[序号]], " | ", Store_Setting[[#This Row],[商品名称]])</f>
        <v>22 | 22</v>
      </c>
      <c r="E32" s="22">
        <v>22</v>
      </c>
      <c r="F32" s="27">
        <v>22</v>
      </c>
      <c r="G32" s="22">
        <f>SUM(UserInfo[22 - 剩余])</f>
        <v>0</v>
      </c>
      <c r="H32" s="22">
        <f>SUM(UserInfo[22 - 存入])</f>
        <v>22</v>
      </c>
      <c r="I32" s="22">
        <f>SUM(UserInfo[22 - 支取])</f>
        <v>22</v>
      </c>
      <c r="J32" s="23">
        <f>Store_Setting[[#This Row],[共入库小计]]-Store_Setting[[#This Row],[已支取]]</f>
        <v>-22</v>
      </c>
      <c r="K32" s="22">
        <f>Store_Setting[[#This Row],[入库小计]]-Store_Setting[[#This Row],[取货小计]]</f>
        <v>0</v>
      </c>
      <c r="L32" s="22">
        <f>SUMIFS(Store_History[数量],Store_History[唯一识别码],Store_Setting[[#This Row],[唯一识别码]],Store_History[类型],"入库")</f>
        <v>0</v>
      </c>
      <c r="M32" s="22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2"/>
      <c r="C33" s="33"/>
      <c r="D33" s="44" t="str">
        <f>CONCATENATE(Store_Setting[[#This Row],[序号]], " | ", Store_Setting[[#This Row],[商品名称]])</f>
        <v>23 | 23</v>
      </c>
      <c r="E33" s="22">
        <v>23</v>
      </c>
      <c r="F33" s="27">
        <v>23</v>
      </c>
      <c r="G33" s="22">
        <f>SUM(UserInfo[23 - 剩余])</f>
        <v>0</v>
      </c>
      <c r="H33" s="22">
        <f>SUM(UserInfo[23 - 存入])</f>
        <v>23</v>
      </c>
      <c r="I33" s="22">
        <f>SUM(UserInfo[23 - 支取])</f>
        <v>23</v>
      </c>
      <c r="J33" s="23">
        <f>Store_Setting[[#This Row],[共入库小计]]-Store_Setting[[#This Row],[已支取]]</f>
        <v>-23</v>
      </c>
      <c r="K33" s="22">
        <f>Store_Setting[[#This Row],[入库小计]]-Store_Setting[[#This Row],[取货小计]]</f>
        <v>0</v>
      </c>
      <c r="L33" s="22">
        <f>SUMIFS(Store_History[数量],Store_History[唯一识别码],Store_Setting[[#This Row],[唯一识别码]],Store_History[类型],"入库")</f>
        <v>0</v>
      </c>
      <c r="M33" s="22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2"/>
      <c r="C34" s="33"/>
      <c r="D34" s="44" t="str">
        <f>CONCATENATE(Store_Setting[[#This Row],[序号]], " | ", Store_Setting[[#This Row],[商品名称]])</f>
        <v>24 | 24</v>
      </c>
      <c r="E34" s="22">
        <v>24</v>
      </c>
      <c r="F34" s="27">
        <v>24</v>
      </c>
      <c r="G34" s="22">
        <f>SUM(UserInfo[24 - 剩余])</f>
        <v>0</v>
      </c>
      <c r="H34" s="22">
        <f>SUM(UserInfo[24 - 存入])</f>
        <v>24</v>
      </c>
      <c r="I34" s="22">
        <f>SUM(UserInfo[24 - 支取])</f>
        <v>24</v>
      </c>
      <c r="J34" s="23">
        <f>Store_Setting[[#This Row],[共入库小计]]-Store_Setting[[#This Row],[已支取]]</f>
        <v>-24</v>
      </c>
      <c r="K34" s="22">
        <f>Store_Setting[[#This Row],[入库小计]]-Store_Setting[[#This Row],[取货小计]]</f>
        <v>0</v>
      </c>
      <c r="L34" s="22">
        <f>SUMIFS(Store_History[数量],Store_History[唯一识别码],Store_Setting[[#This Row],[唯一识别码]],Store_History[类型],"入库")</f>
        <v>0</v>
      </c>
      <c r="M34" s="22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2"/>
      <c r="C35" s="33"/>
      <c r="D35" s="44" t="str">
        <f>CONCATENATE(Store_Setting[[#This Row],[序号]], " | ", Store_Setting[[#This Row],[商品名称]])</f>
        <v>25 | 25</v>
      </c>
      <c r="E35" s="22">
        <v>25</v>
      </c>
      <c r="F35" s="27">
        <v>25</v>
      </c>
      <c r="G35" s="22">
        <f>SUM(UserInfo[25 - 剩余])</f>
        <v>0</v>
      </c>
      <c r="H35" s="22">
        <f>SUM(UserInfo[25 - 存入])</f>
        <v>25</v>
      </c>
      <c r="I35" s="22">
        <f>SUM(UserInfo[25 - 支取])</f>
        <v>25</v>
      </c>
      <c r="J35" s="23">
        <f>Store_Setting[[#This Row],[共入库小计]]-Store_Setting[[#This Row],[已支取]]</f>
        <v>-25</v>
      </c>
      <c r="K35" s="22">
        <f>Store_Setting[[#This Row],[入库小计]]-Store_Setting[[#This Row],[取货小计]]</f>
        <v>0</v>
      </c>
      <c r="L35" s="22">
        <f>SUMIFS(Store_History[数量],Store_History[唯一识别码],Store_Setting[[#This Row],[唯一识别码]],Store_History[类型],"入库")</f>
        <v>0</v>
      </c>
      <c r="M35" s="22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2"/>
      <c r="C36" s="33"/>
      <c r="D36" s="44" t="str">
        <f>CONCATENATE(Store_Setting[[#This Row],[序号]], " | ", Store_Setting[[#This Row],[商品名称]])</f>
        <v>26 | 26</v>
      </c>
      <c r="E36" s="22">
        <v>26</v>
      </c>
      <c r="F36" s="27">
        <v>26</v>
      </c>
      <c r="G36" s="22">
        <f>SUM(UserInfo[26 - 剩余])</f>
        <v>0</v>
      </c>
      <c r="H36" s="22">
        <f>SUM(UserInfo[26 - 存入])</f>
        <v>26</v>
      </c>
      <c r="I36" s="22">
        <f>SUM(UserInfo[26 - 支取])</f>
        <v>26</v>
      </c>
      <c r="J36" s="23">
        <f>Store_Setting[[#This Row],[共入库小计]]-Store_Setting[[#This Row],[已支取]]</f>
        <v>-26</v>
      </c>
      <c r="K36" s="22">
        <f>Store_Setting[[#This Row],[入库小计]]-Store_Setting[[#This Row],[取货小计]]</f>
        <v>0</v>
      </c>
      <c r="L36" s="22">
        <f>SUMIFS(Store_History[数量],Store_History[唯一识别码],Store_Setting[[#This Row],[唯一识别码]],Store_History[类型],"入库")</f>
        <v>0</v>
      </c>
      <c r="M36" s="22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2"/>
      <c r="C37" s="33"/>
      <c r="D37" s="44" t="str">
        <f>CONCATENATE(Store_Setting[[#This Row],[序号]], " | ", Store_Setting[[#This Row],[商品名称]])</f>
        <v>27 | 27</v>
      </c>
      <c r="E37" s="22">
        <v>27</v>
      </c>
      <c r="F37" s="27">
        <v>27</v>
      </c>
      <c r="G37" s="22">
        <f>SUM(UserInfo[27 - 剩余])</f>
        <v>0</v>
      </c>
      <c r="H37" s="22">
        <f>SUM(UserInfo[27 - 存入])</f>
        <v>27</v>
      </c>
      <c r="I37" s="22">
        <f>SUM(UserInfo[27 - 支取])</f>
        <v>27</v>
      </c>
      <c r="J37" s="23">
        <f>Store_Setting[[#This Row],[共入库小计]]-Store_Setting[[#This Row],[已支取]]</f>
        <v>-27</v>
      </c>
      <c r="K37" s="22">
        <f>Store_Setting[[#This Row],[入库小计]]-Store_Setting[[#This Row],[取货小计]]</f>
        <v>0</v>
      </c>
      <c r="L37" s="22">
        <f>SUMIFS(Store_History[数量],Store_History[唯一识别码],Store_Setting[[#This Row],[唯一识别码]],Store_History[类型],"入库")</f>
        <v>0</v>
      </c>
      <c r="M37" s="22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2"/>
      <c r="C38" s="33"/>
      <c r="D38" s="44" t="str">
        <f>CONCATENATE(Store_Setting[[#This Row],[序号]], " | ", Store_Setting[[#This Row],[商品名称]])</f>
        <v>28 | 28</v>
      </c>
      <c r="E38" s="22">
        <v>28</v>
      </c>
      <c r="F38" s="27">
        <v>28</v>
      </c>
      <c r="G38" s="22">
        <f>SUM(UserInfo[28 - 剩余])</f>
        <v>0</v>
      </c>
      <c r="H38" s="22">
        <f>SUM(UserInfo[28 - 存入])</f>
        <v>28</v>
      </c>
      <c r="I38" s="22">
        <f>SUM(UserInfo[28 - 支取])</f>
        <v>28</v>
      </c>
      <c r="J38" s="23">
        <f>Store_Setting[[#This Row],[共入库小计]]-Store_Setting[[#This Row],[已支取]]</f>
        <v>-28</v>
      </c>
      <c r="K38" s="22">
        <f>Store_Setting[[#This Row],[入库小计]]-Store_Setting[[#This Row],[取货小计]]</f>
        <v>0</v>
      </c>
      <c r="L38" s="22">
        <f>SUMIFS(Store_History[数量],Store_History[唯一识别码],Store_Setting[[#This Row],[唯一识别码]],Store_History[类型],"入库")</f>
        <v>0</v>
      </c>
      <c r="M38" s="22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2"/>
      <c r="C39" s="33"/>
      <c r="D39" s="44" t="str">
        <f>CONCATENATE(Store_Setting[[#This Row],[序号]], " | ", Store_Setting[[#This Row],[商品名称]])</f>
        <v>29 | 29</v>
      </c>
      <c r="E39" s="22">
        <v>29</v>
      </c>
      <c r="F39" s="27">
        <v>29</v>
      </c>
      <c r="G39" s="22">
        <f>SUM(UserInfo[29 - 剩余])</f>
        <v>0</v>
      </c>
      <c r="H39" s="22">
        <f>SUM(UserInfo[29 - 存入])</f>
        <v>29</v>
      </c>
      <c r="I39" s="22">
        <f>SUM(UserInfo[29 - 支取])</f>
        <v>29</v>
      </c>
      <c r="J39" s="23">
        <f>Store_Setting[[#This Row],[共入库小计]]-Store_Setting[[#This Row],[已支取]]</f>
        <v>-29</v>
      </c>
      <c r="K39" s="22">
        <f>Store_Setting[[#This Row],[入库小计]]-Store_Setting[[#This Row],[取货小计]]</f>
        <v>0</v>
      </c>
      <c r="L39" s="22">
        <f>SUMIFS(Store_History[数量],Store_History[唯一识别码],Store_Setting[[#This Row],[唯一识别码]],Store_History[类型],"入库")</f>
        <v>0</v>
      </c>
      <c r="M39" s="22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2"/>
      <c r="C40" s="33"/>
      <c r="D40" s="44" t="str">
        <f>CONCATENATE(Store_Setting[[#This Row],[序号]], " | ", Store_Setting[[#This Row],[商品名称]])</f>
        <v>30 | 30</v>
      </c>
      <c r="E40" s="22">
        <v>30</v>
      </c>
      <c r="F40" s="27">
        <v>30</v>
      </c>
      <c r="G40" s="22">
        <f>SUM(UserInfo[30 - 剩余])</f>
        <v>0</v>
      </c>
      <c r="H40" s="22">
        <f>SUM(UserInfo[30 - 存入])</f>
        <v>30</v>
      </c>
      <c r="I40" s="22">
        <f>SUM(UserInfo[30 - 支取])</f>
        <v>30</v>
      </c>
      <c r="J40" s="23">
        <f>Store_Setting[[#This Row],[共入库小计]]-Store_Setting[[#This Row],[已支取]]</f>
        <v>-30</v>
      </c>
      <c r="K40" s="22">
        <f>Store_Setting[[#This Row],[入库小计]]-Store_Setting[[#This Row],[取货小计]]</f>
        <v>0</v>
      </c>
      <c r="L40" s="22">
        <f>SUMIFS(Store_History[数量],Store_History[唯一识别码],Store_Setting[[#This Row],[唯一识别码]],Store_History[类型],"入库")</f>
        <v>0</v>
      </c>
      <c r="M40" s="22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2"/>
      <c r="C41" s="33"/>
      <c r="D41" s="44" t="str">
        <f>CONCATENATE(Store_Setting[[#This Row],[序号]], " | ", Store_Setting[[#This Row],[商品名称]])</f>
        <v>31 | 31</v>
      </c>
      <c r="E41" s="22">
        <v>31</v>
      </c>
      <c r="F41" s="27">
        <v>31</v>
      </c>
      <c r="G41" s="22">
        <f>SUM(UserInfo[31 - 剩余])</f>
        <v>0</v>
      </c>
      <c r="H41" s="22">
        <f>SUM(UserInfo[31 - 存入])</f>
        <v>31</v>
      </c>
      <c r="I41" s="22">
        <f>SUM(UserInfo[31 - 支取])</f>
        <v>31</v>
      </c>
      <c r="J41" s="23">
        <f>Store_Setting[[#This Row],[共入库小计]]-Store_Setting[[#This Row],[已支取]]</f>
        <v>-31</v>
      </c>
      <c r="K41" s="22">
        <f>Store_Setting[[#This Row],[入库小计]]-Store_Setting[[#This Row],[取货小计]]</f>
        <v>0</v>
      </c>
      <c r="L41" s="22">
        <f>SUMIFS(Store_History[数量],Store_History[唯一识别码],Store_Setting[[#This Row],[唯一识别码]],Store_History[类型],"入库")</f>
        <v>0</v>
      </c>
      <c r="M41" s="22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2"/>
      <c r="C42" s="33"/>
      <c r="D42" s="44" t="str">
        <f>CONCATENATE(Store_Setting[[#This Row],[序号]], " | ", Store_Setting[[#This Row],[商品名称]])</f>
        <v>32 | 32</v>
      </c>
      <c r="E42" s="22">
        <v>32</v>
      </c>
      <c r="F42" s="27">
        <v>32</v>
      </c>
      <c r="G42" s="22">
        <f>SUM(UserInfo[32 - 剩余])</f>
        <v>0</v>
      </c>
      <c r="H42" s="22">
        <f>SUM(UserInfo[32 - 存入])</f>
        <v>32</v>
      </c>
      <c r="I42" s="22">
        <f>SUM(UserInfo[32 - 支取])</f>
        <v>32</v>
      </c>
      <c r="J42" s="23">
        <f>Store_Setting[[#This Row],[共入库小计]]-Store_Setting[[#This Row],[已支取]]</f>
        <v>-32</v>
      </c>
      <c r="K42" s="22">
        <f>Store_Setting[[#This Row],[入库小计]]-Store_Setting[[#This Row],[取货小计]]</f>
        <v>0</v>
      </c>
      <c r="L42" s="22">
        <f>SUMIFS(Store_History[数量],Store_History[唯一识别码],Store_Setting[[#This Row],[唯一识别码]],Store_History[类型],"入库")</f>
        <v>0</v>
      </c>
      <c r="M42" s="22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2"/>
      <c r="C43" s="33"/>
      <c r="D43" s="44" t="str">
        <f>CONCATENATE(Store_Setting[[#This Row],[序号]], " | ", Store_Setting[[#This Row],[商品名称]])</f>
        <v>33 | 33</v>
      </c>
      <c r="E43" s="22">
        <v>33</v>
      </c>
      <c r="F43" s="27">
        <v>33</v>
      </c>
      <c r="G43" s="22">
        <f>SUM(UserInfo[33 - 剩余])</f>
        <v>0</v>
      </c>
      <c r="H43" s="22">
        <f>SUM(UserInfo[33 - 存入])</f>
        <v>33</v>
      </c>
      <c r="I43" s="22">
        <f>SUM(UserInfo[33 - 支取])</f>
        <v>33</v>
      </c>
      <c r="J43" s="23">
        <f>Store_Setting[[#This Row],[共入库小计]]-Store_Setting[[#This Row],[已支取]]</f>
        <v>-33</v>
      </c>
      <c r="K43" s="22">
        <f>Store_Setting[[#This Row],[入库小计]]-Store_Setting[[#This Row],[取货小计]]</f>
        <v>0</v>
      </c>
      <c r="L43" s="22">
        <f>SUMIFS(Store_History[数量],Store_History[唯一识别码],Store_Setting[[#This Row],[唯一识别码]],Store_History[类型],"入库")</f>
        <v>0</v>
      </c>
      <c r="M43" s="22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2"/>
      <c r="C44" s="33"/>
      <c r="D44" s="44" t="str">
        <f>CONCATENATE(Store_Setting[[#This Row],[序号]], " | ", Store_Setting[[#This Row],[商品名称]])</f>
        <v>34 | 34</v>
      </c>
      <c r="E44" s="22">
        <v>34</v>
      </c>
      <c r="F44" s="27">
        <v>34</v>
      </c>
      <c r="G44" s="22">
        <f>SUM(UserInfo[34 - 剩余])</f>
        <v>0</v>
      </c>
      <c r="H44" s="22">
        <f>SUM(UserInfo[34 - 存入])</f>
        <v>34</v>
      </c>
      <c r="I44" s="22">
        <f>SUM(UserInfo[34 - 支取])</f>
        <v>34</v>
      </c>
      <c r="J44" s="23">
        <f>Store_Setting[[#This Row],[共入库小计]]-Store_Setting[[#This Row],[已支取]]</f>
        <v>-34</v>
      </c>
      <c r="K44" s="22">
        <f>Store_Setting[[#This Row],[入库小计]]-Store_Setting[[#This Row],[取货小计]]</f>
        <v>0</v>
      </c>
      <c r="L44" s="22">
        <f>SUMIFS(Store_History[数量],Store_History[唯一识别码],Store_Setting[[#This Row],[唯一识别码]],Store_History[类型],"入库")</f>
        <v>0</v>
      </c>
      <c r="M44" s="22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2"/>
      <c r="C45" s="33"/>
      <c r="D45" s="44" t="str">
        <f>CONCATENATE(Store_Setting[[#This Row],[序号]], " | ", Store_Setting[[#This Row],[商品名称]])</f>
        <v>35 | 35</v>
      </c>
      <c r="E45" s="22">
        <v>35</v>
      </c>
      <c r="F45" s="27">
        <v>35</v>
      </c>
      <c r="G45" s="22">
        <f>SUM(UserInfo[35 - 剩余])</f>
        <v>0</v>
      </c>
      <c r="H45" s="22">
        <f>SUM(UserInfo[35 - 存入])</f>
        <v>35</v>
      </c>
      <c r="I45" s="22">
        <f>SUM(UserInfo[35 - 支取])</f>
        <v>35</v>
      </c>
      <c r="J45" s="23">
        <f>Store_Setting[[#This Row],[共入库小计]]-Store_Setting[[#This Row],[已支取]]</f>
        <v>-35</v>
      </c>
      <c r="K45" s="22">
        <f>Store_Setting[[#This Row],[入库小计]]-Store_Setting[[#This Row],[取货小计]]</f>
        <v>0</v>
      </c>
      <c r="L45" s="22">
        <f>SUMIFS(Store_History[数量],Store_History[唯一识别码],Store_Setting[[#This Row],[唯一识别码]],Store_History[类型],"入库")</f>
        <v>0</v>
      </c>
      <c r="M45" s="22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2"/>
      <c r="C46" s="33"/>
      <c r="D46" s="44" t="str">
        <f>CONCATENATE(Store_Setting[[#This Row],[序号]], " | ", Store_Setting[[#This Row],[商品名称]])</f>
        <v>36 | 36</v>
      </c>
      <c r="E46" s="22">
        <v>36</v>
      </c>
      <c r="F46" s="27">
        <v>36</v>
      </c>
      <c r="G46" s="22">
        <f>SUM(UserInfo[36 - 剩余])</f>
        <v>0</v>
      </c>
      <c r="H46" s="22">
        <f>SUM(UserInfo[36 - 存入])</f>
        <v>36</v>
      </c>
      <c r="I46" s="22">
        <f>SUM(UserInfo[36 - 支取])</f>
        <v>36</v>
      </c>
      <c r="J46" s="23">
        <f>Store_Setting[[#This Row],[共入库小计]]-Store_Setting[[#This Row],[已支取]]</f>
        <v>-36</v>
      </c>
      <c r="K46" s="22">
        <f>Store_Setting[[#This Row],[入库小计]]-Store_Setting[[#This Row],[取货小计]]</f>
        <v>0</v>
      </c>
      <c r="L46" s="22">
        <f>SUMIFS(Store_History[数量],Store_History[唯一识别码],Store_Setting[[#This Row],[唯一识别码]],Store_History[类型],"入库")</f>
        <v>0</v>
      </c>
      <c r="M46" s="22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2"/>
      <c r="C47" s="33"/>
      <c r="D47" s="44" t="str">
        <f>CONCATENATE(Store_Setting[[#This Row],[序号]], " | ", Store_Setting[[#This Row],[商品名称]])</f>
        <v>37 | 37</v>
      </c>
      <c r="E47" s="22">
        <v>37</v>
      </c>
      <c r="F47" s="27">
        <v>37</v>
      </c>
      <c r="G47" s="22">
        <f>SUM(UserInfo[37 - 剩余])</f>
        <v>0</v>
      </c>
      <c r="H47" s="22">
        <f>SUM(UserInfo[37 - 存入])</f>
        <v>37</v>
      </c>
      <c r="I47" s="22">
        <f>SUM(UserInfo[37 - 支取])</f>
        <v>37</v>
      </c>
      <c r="J47" s="23">
        <f>Store_Setting[[#This Row],[共入库小计]]-Store_Setting[[#This Row],[已支取]]</f>
        <v>-37</v>
      </c>
      <c r="K47" s="22">
        <f>Store_Setting[[#This Row],[入库小计]]-Store_Setting[[#This Row],[取货小计]]</f>
        <v>0</v>
      </c>
      <c r="L47" s="22">
        <f>SUMIFS(Store_History[数量],Store_History[唯一识别码],Store_Setting[[#This Row],[唯一识别码]],Store_History[类型],"入库")</f>
        <v>0</v>
      </c>
      <c r="M47" s="22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2"/>
      <c r="C48" s="33"/>
      <c r="D48" s="44" t="str">
        <f>CONCATENATE(Store_Setting[[#This Row],[序号]], " | ", Store_Setting[[#This Row],[商品名称]])</f>
        <v>38 | 38</v>
      </c>
      <c r="E48" s="22">
        <v>38</v>
      </c>
      <c r="F48" s="27">
        <v>38</v>
      </c>
      <c r="G48" s="22">
        <f>SUM(UserInfo[38 - 剩余])</f>
        <v>0</v>
      </c>
      <c r="H48" s="22">
        <f>SUM(UserInfo[38 - 存入])</f>
        <v>38</v>
      </c>
      <c r="I48" s="22">
        <f>SUM(UserInfo[38 - 支取])</f>
        <v>38</v>
      </c>
      <c r="J48" s="23">
        <f>Store_Setting[[#This Row],[共入库小计]]-Store_Setting[[#This Row],[已支取]]</f>
        <v>-38</v>
      </c>
      <c r="K48" s="22">
        <f>Store_Setting[[#This Row],[入库小计]]-Store_Setting[[#This Row],[取货小计]]</f>
        <v>0</v>
      </c>
      <c r="L48" s="22">
        <f>SUMIFS(Store_History[数量],Store_History[唯一识别码],Store_Setting[[#This Row],[唯一识别码]],Store_History[类型],"入库")</f>
        <v>0</v>
      </c>
      <c r="M48" s="22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2"/>
      <c r="C49" s="33"/>
      <c r="D49" s="44" t="str">
        <f>CONCATENATE(Store_Setting[[#This Row],[序号]], " | ", Store_Setting[[#This Row],[商品名称]])</f>
        <v>39 | 39</v>
      </c>
      <c r="E49" s="22">
        <v>39</v>
      </c>
      <c r="F49" s="27">
        <v>39</v>
      </c>
      <c r="G49" s="22">
        <f>SUM(UserInfo[39 - 剩余])</f>
        <v>0</v>
      </c>
      <c r="H49" s="22">
        <f>SUM(UserInfo[39 - 存入])</f>
        <v>39</v>
      </c>
      <c r="I49" s="22">
        <f>SUM(UserInfo[39 - 支取])</f>
        <v>39</v>
      </c>
      <c r="J49" s="23">
        <f>Store_Setting[[#This Row],[共入库小计]]-Store_Setting[[#This Row],[已支取]]</f>
        <v>-39</v>
      </c>
      <c r="K49" s="22">
        <f>Store_Setting[[#This Row],[入库小计]]-Store_Setting[[#This Row],[取货小计]]</f>
        <v>0</v>
      </c>
      <c r="L49" s="22">
        <f>SUMIFS(Store_History[数量],Store_History[唯一识别码],Store_Setting[[#This Row],[唯一识别码]],Store_History[类型],"入库")</f>
        <v>0</v>
      </c>
      <c r="M49" s="22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2"/>
      <c r="C50" s="33"/>
      <c r="D50" s="44" t="str">
        <f>CONCATENATE(Store_Setting[[#This Row],[序号]], " | ", Store_Setting[[#This Row],[商品名称]])</f>
        <v>40 | 40</v>
      </c>
      <c r="E50" s="22">
        <v>40</v>
      </c>
      <c r="F50" s="27">
        <v>40</v>
      </c>
      <c r="G50" s="22">
        <f>SUM(UserInfo[40 - 剩余])</f>
        <v>0</v>
      </c>
      <c r="H50" s="22">
        <f>SUM(UserInfo[40 - 存入])</f>
        <v>40</v>
      </c>
      <c r="I50" s="22">
        <f>SUM(UserInfo[40 - 支取])</f>
        <v>40</v>
      </c>
      <c r="J50" s="23">
        <f>Store_Setting[[#This Row],[共入库小计]]-Store_Setting[[#This Row],[已支取]]</f>
        <v>-40</v>
      </c>
      <c r="K50" s="22">
        <f>Store_Setting[[#This Row],[入库小计]]-Store_Setting[[#This Row],[取货小计]]</f>
        <v>0</v>
      </c>
      <c r="L50" s="22">
        <f>SUMIFS(Store_History[数量],Store_History[唯一识别码],Store_Setting[[#This Row],[唯一识别码]],Store_History[类型],"入库")</f>
        <v>0</v>
      </c>
      <c r="M50" s="22">
        <f>SUMIFS(Store_History[数量],Store_History[唯一识别码],Store_Setting[[#This Row],[唯一识别码]],Store_History[类型],"取货")</f>
        <v>0</v>
      </c>
    </row>
    <row r="51" spans="2:13" s="102" customFormat="1" ht="8.0500000000000007" customHeight="1" x14ac:dyDescent="0.4">
      <c r="B51" s="103"/>
      <c r="D51" s="104"/>
      <c r="E51" s="104"/>
      <c r="F51" s="104"/>
      <c r="G51" s="104"/>
      <c r="H51" s="104"/>
      <c r="I51" s="104"/>
      <c r="J51" s="104"/>
      <c r="K51" s="104"/>
      <c r="L51" s="104"/>
      <c r="M51" s="104"/>
    </row>
    <row r="52" spans="2:13" ht="40" customHeight="1" x14ac:dyDescent="0.4">
      <c r="B52" s="32" t="s">
        <v>15</v>
      </c>
      <c r="C52" s="33" t="s">
        <v>127</v>
      </c>
      <c r="D52" s="77"/>
      <c r="E52" s="35"/>
      <c r="F52" s="35"/>
      <c r="G52" s="35"/>
      <c r="H52" s="35"/>
      <c r="I52" s="35"/>
      <c r="J52" s="35"/>
      <c r="K52" s="35"/>
      <c r="L52" s="35"/>
      <c r="M52" s="35"/>
    </row>
    <row r="53" spans="2:13" ht="40" customHeight="1" x14ac:dyDescent="0.4">
      <c r="B53" s="32"/>
      <c r="C53" s="33" t="s">
        <v>29</v>
      </c>
      <c r="D53" s="78"/>
      <c r="E53" s="78"/>
      <c r="F53" s="78"/>
      <c r="G53" s="79"/>
      <c r="H53" s="79"/>
      <c r="I53" s="79"/>
      <c r="J53" s="79"/>
      <c r="K53" s="79"/>
      <c r="L53" s="79"/>
      <c r="M53" s="79"/>
    </row>
    <row r="54" spans="2:13" ht="40" customHeight="1" x14ac:dyDescent="0.4">
      <c r="B54" s="32"/>
      <c r="C54" s="33" t="s">
        <v>30</v>
      </c>
      <c r="D54" s="78"/>
      <c r="E54" s="78"/>
      <c r="F54" s="78"/>
      <c r="G54" s="79"/>
      <c r="H54" s="79"/>
      <c r="I54" s="79"/>
      <c r="J54" s="79"/>
      <c r="K54" s="79"/>
      <c r="L54" s="79"/>
      <c r="M54" s="79"/>
    </row>
    <row r="55" spans="2:13" s="102" customFormat="1" ht="8.0500000000000007" customHeight="1" x14ac:dyDescent="0.4">
      <c r="B55" s="103"/>
      <c r="D55" s="104"/>
      <c r="E55" s="104"/>
      <c r="F55" s="104"/>
      <c r="G55" s="104"/>
      <c r="H55" s="104"/>
      <c r="I55" s="104"/>
      <c r="J55" s="104"/>
      <c r="K55" s="104"/>
      <c r="L55" s="104"/>
      <c r="M55" s="104"/>
    </row>
    <row r="56" spans="2:13" ht="40" customHeight="1" x14ac:dyDescent="0.4">
      <c r="B56" s="32" t="s">
        <v>16</v>
      </c>
      <c r="C56" s="33" t="s">
        <v>129</v>
      </c>
      <c r="D56" s="35" t="s">
        <v>28</v>
      </c>
      <c r="E56" s="14" t="s">
        <v>1</v>
      </c>
      <c r="F56" s="14" t="s">
        <v>22</v>
      </c>
      <c r="G56" s="36" t="s">
        <v>21</v>
      </c>
      <c r="H56" s="36" t="s">
        <v>23</v>
      </c>
      <c r="I56" s="36" t="s">
        <v>24</v>
      </c>
      <c r="J56" s="36"/>
      <c r="K56" s="36"/>
      <c r="L56" s="36"/>
      <c r="M56" s="36"/>
    </row>
    <row r="57" spans="2:13" ht="40" customHeight="1" x14ac:dyDescent="0.4">
      <c r="B57" s="32"/>
      <c r="C57" s="33"/>
      <c r="D57" s="78" t="s">
        <v>130</v>
      </c>
      <c r="E57" s="78" t="s">
        <v>131</v>
      </c>
      <c r="F57" s="78" t="s">
        <v>131</v>
      </c>
      <c r="G57" s="78" t="s">
        <v>131</v>
      </c>
      <c r="H57" s="78" t="s">
        <v>131</v>
      </c>
      <c r="I57" s="78" t="s">
        <v>131</v>
      </c>
      <c r="J57" s="36"/>
      <c r="K57" s="36"/>
      <c r="L57" s="36"/>
      <c r="M57" s="36"/>
    </row>
    <row r="58" spans="2:13" ht="40" customHeight="1" x14ac:dyDescent="0.4">
      <c r="B58" s="32"/>
      <c r="C58" s="94" t="s">
        <v>276</v>
      </c>
      <c r="D58" s="78" t="s">
        <v>131</v>
      </c>
      <c r="E58" s="95" t="s">
        <v>281</v>
      </c>
      <c r="F58" s="36"/>
      <c r="G58" s="36"/>
      <c r="H58" s="36"/>
      <c r="I58" s="36"/>
      <c r="J58" s="36"/>
      <c r="K58" s="36"/>
      <c r="L58" s="36"/>
      <c r="M58" s="36"/>
    </row>
    <row r="59" spans="2:13" s="102" customFormat="1" ht="8.0500000000000007" customHeight="1" x14ac:dyDescent="0.4">
      <c r="B59" s="103"/>
      <c r="D59" s="104"/>
      <c r="E59" s="104"/>
      <c r="F59" s="104"/>
      <c r="G59" s="104"/>
      <c r="H59" s="104"/>
      <c r="I59" s="104"/>
      <c r="J59" s="104"/>
      <c r="K59" s="104"/>
      <c r="L59" s="104"/>
      <c r="M59" s="104"/>
    </row>
    <row r="60" spans="2:13" ht="40" customHeight="1" x14ac:dyDescent="0.4">
      <c r="B60" s="32" t="s">
        <v>25</v>
      </c>
      <c r="C60" s="33" t="s">
        <v>5</v>
      </c>
      <c r="D60" s="36" t="s">
        <v>8</v>
      </c>
      <c r="E60" s="36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s="102" customFormat="1" ht="8.0500000000000007" customHeight="1" x14ac:dyDescent="0.4">
      <c r="B61" s="103"/>
      <c r="D61" s="104"/>
      <c r="E61" s="104"/>
      <c r="F61" s="104"/>
      <c r="G61" s="104"/>
      <c r="H61" s="104"/>
      <c r="I61" s="104"/>
      <c r="J61" s="104"/>
      <c r="K61" s="104"/>
      <c r="L61" s="104"/>
      <c r="M61" s="104"/>
    </row>
    <row r="62" spans="2:13" ht="40" customHeight="1" x14ac:dyDescent="0.4">
      <c r="B62" s="32" t="s">
        <v>221</v>
      </c>
      <c r="C62" s="33" t="s">
        <v>293</v>
      </c>
      <c r="D62" s="36" t="s">
        <v>236</v>
      </c>
      <c r="E62" s="36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s="102" customFormat="1" ht="8.0500000000000007" customHeight="1" x14ac:dyDescent="0.4">
      <c r="B63" s="103"/>
      <c r="D63" s="104"/>
      <c r="E63" s="104"/>
      <c r="F63" s="104"/>
      <c r="G63" s="104"/>
      <c r="H63" s="104"/>
      <c r="I63" s="104"/>
      <c r="J63" s="104"/>
      <c r="K63" s="104"/>
      <c r="L63" s="104"/>
      <c r="M63" s="104"/>
    </row>
    <row r="64" spans="2:13" ht="40" customHeight="1" x14ac:dyDescent="0.4">
      <c r="B64" s="32" t="s">
        <v>275</v>
      </c>
      <c r="C64" s="33" t="s">
        <v>228</v>
      </c>
      <c r="D64" s="77" t="s">
        <v>229</v>
      </c>
      <c r="E64" s="77" t="s">
        <v>230</v>
      </c>
      <c r="F64" s="77" t="s">
        <v>231</v>
      </c>
      <c r="G64" s="77" t="s">
        <v>277</v>
      </c>
      <c r="H64" s="77" t="s">
        <v>278</v>
      </c>
      <c r="I64" s="77" t="s">
        <v>279</v>
      </c>
      <c r="J64" s="77" t="s">
        <v>280</v>
      </c>
      <c r="K64" s="77"/>
      <c r="L64" s="77"/>
      <c r="M64" s="77"/>
    </row>
    <row r="65" spans="2:13" ht="40" customHeight="1" x14ac:dyDescent="0.4">
      <c r="B65" s="32"/>
      <c r="C65" s="33" t="s">
        <v>294</v>
      </c>
      <c r="D65" s="78" t="s">
        <v>130</v>
      </c>
      <c r="E65" s="95" t="s">
        <v>295</v>
      </c>
      <c r="F65" s="14"/>
      <c r="G65" s="14"/>
      <c r="H65" s="14"/>
      <c r="I65" s="14"/>
      <c r="J65" s="14"/>
      <c r="K65" s="14"/>
      <c r="L65" s="14"/>
      <c r="M65" s="14"/>
    </row>
    <row r="66" spans="2:13" s="102" customFormat="1" ht="8.0500000000000007" customHeight="1" x14ac:dyDescent="0.4">
      <c r="B66" s="103"/>
      <c r="D66" s="104"/>
      <c r="E66" s="104"/>
      <c r="F66" s="104"/>
      <c r="G66" s="104"/>
      <c r="H66" s="104"/>
      <c r="I66" s="104"/>
      <c r="J66" s="104"/>
      <c r="K66" s="104"/>
      <c r="L66" s="104"/>
      <c r="M66" s="104"/>
    </row>
    <row r="67" spans="2:13" ht="40" customHeight="1" x14ac:dyDescent="0.4">
      <c r="B67" s="32" t="s">
        <v>289</v>
      </c>
      <c r="C67" s="33" t="s">
        <v>1</v>
      </c>
      <c r="D67" s="36" t="s">
        <v>10</v>
      </c>
      <c r="E67" s="36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50" t="s">
        <v>17</v>
      </c>
      <c r="C69" s="50"/>
      <c r="D69" s="50"/>
      <c r="E69" s="50"/>
    </row>
    <row r="70" spans="2:13" ht="40" customHeight="1" x14ac:dyDescent="0.4">
      <c r="B70" s="37" t="s">
        <v>19</v>
      </c>
      <c r="C70" s="42" t="s">
        <v>134</v>
      </c>
      <c r="D70" s="51"/>
      <c r="E70" s="51"/>
    </row>
    <row r="71" spans="2:13" ht="40" customHeight="1" x14ac:dyDescent="0.4">
      <c r="B71" s="37" t="s">
        <v>20</v>
      </c>
      <c r="C71" s="46" t="s">
        <v>18</v>
      </c>
      <c r="D71" s="49"/>
      <c r="E71" s="49"/>
    </row>
    <row r="72" spans="2:13" ht="40" customHeight="1" x14ac:dyDescent="0.4">
      <c r="B72" s="37" t="s">
        <v>132</v>
      </c>
      <c r="C72" s="42" t="s">
        <v>133</v>
      </c>
      <c r="D72" s="51"/>
      <c r="E72" s="51"/>
    </row>
    <row r="73" spans="2:13" ht="40" customHeight="1" x14ac:dyDescent="0.4">
      <c r="B73" s="37" t="s">
        <v>125</v>
      </c>
      <c r="C73" s="42" t="s">
        <v>302</v>
      </c>
      <c r="D73" s="42"/>
      <c r="E73" s="42"/>
    </row>
    <row r="74" spans="2:13" ht="16" customHeight="1" x14ac:dyDescent="0.4"/>
  </sheetData>
  <sheetProtection algorithmName="SHA-512" hashValue="HB6+IZplc9Ln0joiwMfBma0sT+YJHgubI8Ka5iJzA12AOgXJoZFklg0YrvYnzp/i1A8XW45lTakRDyYCs/ffpg==" saltValue="OVZsBhAB1c5rSbSZ50+y2w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showRowColHeader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13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11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12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114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40"/>
      <c r="E6" s="110">
        <v>-1</v>
      </c>
      <c r="F6" s="68"/>
    </row>
    <row r="7" spans="2:6" ht="35.15" customHeight="1" x14ac:dyDescent="0.4">
      <c r="C7" s="41" t="s">
        <v>0</v>
      </c>
      <c r="D7" s="38" t="str">
        <f>IFERROR(VLOOKUP(D6,Store_Setting[[唯一识别码]:[取货小计]],2,0)&amp;"","")</f>
        <v/>
      </c>
      <c r="E7" s="107"/>
      <c r="F7" s="68"/>
    </row>
    <row r="8" spans="2:6" ht="35.15" customHeight="1" x14ac:dyDescent="0.4">
      <c r="C8" s="41" t="s">
        <v>41</v>
      </c>
      <c r="D8" s="38" t="str">
        <f>IFERROR(VLOOKUP(D6,Store_Setting[[唯一识别码]:[取货小计]],3,0)&amp;"","")</f>
        <v/>
      </c>
      <c r="E8" s="107"/>
      <c r="F8" s="68"/>
    </row>
    <row r="9" spans="2:6" ht="15" customHeight="1" x14ac:dyDescent="0.4">
      <c r="E9" s="107"/>
      <c r="F9" s="68"/>
    </row>
    <row r="10" spans="2:6" ht="35.15" customHeight="1" x14ac:dyDescent="0.4">
      <c r="B10" s="1" t="s">
        <v>234</v>
      </c>
      <c r="C10" s="13" t="s">
        <v>5</v>
      </c>
      <c r="D10" s="39"/>
      <c r="E10" s="109">
        <v>-1</v>
      </c>
      <c r="F10" s="68"/>
    </row>
    <row r="11" spans="2:6" ht="35.15" customHeight="1" x14ac:dyDescent="0.4">
      <c r="C11" s="13" t="s">
        <v>223</v>
      </c>
      <c r="D11" s="75"/>
      <c r="E11" s="109">
        <v>-1</v>
      </c>
      <c r="F11" s="68"/>
    </row>
    <row r="12" spans="2:6" ht="35.15" customHeight="1" x14ac:dyDescent="0.4">
      <c r="C12" s="13" t="s">
        <v>228</v>
      </c>
      <c r="D12" s="40"/>
      <c r="E12" s="110">
        <v>-1</v>
      </c>
      <c r="F12" s="68"/>
    </row>
    <row r="13" spans="2:6" ht="15" customHeight="1" x14ac:dyDescent="0.4">
      <c r="E13" s="107"/>
      <c r="F13" s="68"/>
    </row>
    <row r="14" spans="2:6" ht="135" customHeight="1" x14ac:dyDescent="0.4">
      <c r="C14" s="13" t="s">
        <v>7</v>
      </c>
      <c r="D14" s="40"/>
      <c r="E14" s="108"/>
      <c r="F14" s="68"/>
    </row>
    <row r="15" spans="2:6" ht="15" customHeight="1" x14ac:dyDescent="0.4">
      <c r="E15" s="107"/>
      <c r="F15" s="68"/>
    </row>
    <row r="16" spans="2:6" ht="35.15" customHeight="1" x14ac:dyDescent="0.4">
      <c r="B16" s="1" t="s">
        <v>297</v>
      </c>
      <c r="C16" s="13" t="s">
        <v>6</v>
      </c>
      <c r="D16" s="39"/>
      <c r="E16" s="107"/>
      <c r="F16" s="68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FUAbI40Tggmr7K+pqxocpq3GaZQPrU2bdu14+VoYSknH67njCBwNCyBXdH6lZSGB4cNjUKUAWNNyBcrPeFzugg==" saltValue="snURT/46A6k84QH4oqasiw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1" customWidth="1"/>
    <col min="5" max="5" width="20.69140625" style="1" customWidth="1"/>
    <col min="6" max="6" width="12.69140625" style="126" customWidth="1"/>
    <col min="7" max="7" width="17.15234375" style="129" customWidth="1"/>
    <col min="8" max="8" width="10.69140625" style="126" customWidth="1"/>
    <col min="9" max="9" width="20.69140625" style="127" customWidth="1"/>
    <col min="10" max="10" width="12.69140625" style="126" customWidth="1"/>
    <col min="11" max="11" width="22.69140625" style="126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0" cm="1">
        <f t="array" ref="B7">SNGKI</f>
        <v>1</v>
      </c>
      <c r="C7" s="121" t="s">
        <v>300</v>
      </c>
      <c r="D7" s="63" t="str" cm="1">
        <f t="array" ref="D7">Get_Store_SN</f>
        <v>1</v>
      </c>
      <c r="E7" s="63" t="str" cm="1">
        <f t="array" ref="E7">Get_Store_Name</f>
        <v>1</v>
      </c>
      <c r="F7" s="62" t="s">
        <v>236</v>
      </c>
      <c r="G7" s="21"/>
      <c r="H7" s="24"/>
      <c r="I7" s="119">
        <v>45268.952986111108</v>
      </c>
      <c r="J7" s="62"/>
      <c r="K7" s="130" t="s">
        <v>303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showRowColHeader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8" customWidth="1"/>
    <col min="2" max="2" width="14.69140625" style="68" customWidth="1"/>
    <col min="3" max="3" width="15.69140625" style="68" customWidth="1"/>
    <col min="4" max="4" width="50.69140625" style="68" customWidth="1"/>
    <col min="5" max="5" width="5.69140625" style="107" customWidth="1"/>
    <col min="6" max="6" width="2.69140625" style="107" customWidth="1"/>
    <col min="7" max="16384" width="9.15234375" style="107" hidden="1"/>
  </cols>
  <sheetData>
    <row r="1" spans="1:5" s="105" customFormat="1" ht="6" customHeight="1" x14ac:dyDescent="0.4">
      <c r="A1" s="65"/>
      <c r="B1" s="65"/>
      <c r="C1" s="65"/>
      <c r="D1" s="65"/>
    </row>
    <row r="2" spans="1:5" s="106" customFormat="1" ht="55" customHeight="1" x14ac:dyDescent="0.4">
      <c r="A2" s="67"/>
      <c r="B2" s="66" t="str">
        <f>设置!D7 &amp;" - 新增会员"</f>
        <v>Yi - 新增会员</v>
      </c>
      <c r="C2" s="66"/>
      <c r="D2" s="67"/>
    </row>
    <row r="3" spans="1:5" ht="8.15" customHeight="1" x14ac:dyDescent="0.4"/>
    <row r="4" spans="1:5" ht="35.15" customHeight="1" x14ac:dyDescent="0.4">
      <c r="B4" s="69" t="s">
        <v>88</v>
      </c>
      <c r="C4" s="10"/>
      <c r="D4" s="70"/>
      <c r="E4" s="115"/>
    </row>
    <row r="5" spans="1:5" ht="15" customHeight="1" x14ac:dyDescent="0.4"/>
    <row r="6" spans="1:5" ht="35.15" customHeight="1" x14ac:dyDescent="0.4">
      <c r="B6" s="71" t="s">
        <v>3</v>
      </c>
      <c r="C6" s="72" t="str">
        <f>CONCATENATE(IF(D8="","", _xlfn.CONCAT(D8)), IF(D9="","", _xlfn.CONCAT(D9)), IF(D10="","", _xlfn.CONCAT(" | ",D10)), IF(D14="","", _xlfn.CONCAT(" | ",D14)))</f>
        <v/>
      </c>
      <c r="D6" s="73"/>
      <c r="E6" s="116"/>
    </row>
    <row r="7" spans="1:5" ht="15" customHeight="1" x14ac:dyDescent="0.4"/>
    <row r="8" spans="1:5" ht="35.15" customHeight="1" x14ac:dyDescent="0.4">
      <c r="B8" s="68" t="s">
        <v>87</v>
      </c>
      <c r="C8" s="74" t="s">
        <v>27</v>
      </c>
      <c r="D8" s="19"/>
      <c r="E8" s="110">
        <v>-1</v>
      </c>
    </row>
    <row r="9" spans="1:5" ht="35.15" customHeight="1" x14ac:dyDescent="0.4">
      <c r="C9" s="74" t="s">
        <v>28</v>
      </c>
      <c r="D9" s="9"/>
      <c r="E9" s="109">
        <v>-1</v>
      </c>
    </row>
    <row r="10" spans="1:5" ht="35.15" customHeight="1" x14ac:dyDescent="0.4">
      <c r="C10" s="74" t="s">
        <v>1</v>
      </c>
      <c r="D10" s="9"/>
      <c r="E10" s="109"/>
    </row>
    <row r="11" spans="1:5" ht="35.15" customHeight="1" x14ac:dyDescent="0.4">
      <c r="C11" s="74" t="s">
        <v>22</v>
      </c>
      <c r="D11" s="9"/>
      <c r="E11" s="109"/>
    </row>
    <row r="12" spans="1:5" ht="35.15" customHeight="1" x14ac:dyDescent="0.4">
      <c r="C12" s="74" t="s">
        <v>21</v>
      </c>
      <c r="D12" s="64"/>
      <c r="E12" s="109"/>
    </row>
    <row r="13" spans="1:5" ht="15" customHeight="1" x14ac:dyDescent="0.4"/>
    <row r="14" spans="1:5" ht="35.15" customHeight="1" x14ac:dyDescent="0.4">
      <c r="B14" s="68" t="s">
        <v>91</v>
      </c>
      <c r="C14" s="74" t="s">
        <v>2</v>
      </c>
      <c r="D14" s="9"/>
      <c r="E14" s="109">
        <v>-1</v>
      </c>
    </row>
    <row r="15" spans="1:5" ht="35.15" customHeight="1" x14ac:dyDescent="0.4">
      <c r="C15" s="74" t="s">
        <v>23</v>
      </c>
      <c r="D15" s="9"/>
      <c r="E15" s="109"/>
    </row>
    <row r="16" spans="1:5" ht="75" customHeight="1" x14ac:dyDescent="0.4">
      <c r="C16" s="74" t="s">
        <v>24</v>
      </c>
      <c r="D16" s="19"/>
      <c r="E16" s="110"/>
    </row>
    <row r="17" spans="2:5" ht="15" customHeight="1" x14ac:dyDescent="0.4"/>
    <row r="18" spans="2:5" ht="135" customHeight="1" x14ac:dyDescent="0.4">
      <c r="C18" s="74" t="s">
        <v>7</v>
      </c>
      <c r="D18" s="19"/>
      <c r="E18" s="108"/>
    </row>
    <row r="19" spans="2:5" ht="15" customHeight="1" x14ac:dyDescent="0.4"/>
    <row r="20" spans="2:5" ht="35.15" customHeight="1" x14ac:dyDescent="0.4">
      <c r="B20" s="68" t="s">
        <v>297</v>
      </c>
      <c r="C20" s="74" t="s">
        <v>6</v>
      </c>
      <c r="D20" s="9" t="s">
        <v>128</v>
      </c>
    </row>
    <row r="21" spans="2:5" ht="15" customHeight="1" x14ac:dyDescent="0.4"/>
  </sheetData>
  <sheetProtection algorithmName="SHA-512" hashValue="zDWxYObrcM9JuFTKde+tV140QA9sJum4weOqmAgoqxye7gYWQn/B1HEzFWRSc/J9psb/78D2krDtc9C7e+ujng==" saltValue="/RhSbJKOhd/9e7VOd46VYQ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8.69140625" style="76" customWidth="1"/>
    <col min="125" max="125" width="14.69140625" style="17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2.69140625" style="120" customWidth="1"/>
    <col min="133" max="133" width="14.69140625" style="1" customWidth="1"/>
    <col min="134" max="134" width="22.69140625" style="1" customWidth="1"/>
    <col min="135" max="135" width="2.69140625" style="1" customWidth="1"/>
    <col min="136" max="16384" width="9.15234375" style="15" hidden="1"/>
  </cols>
  <sheetData>
    <row r="1" spans="1:135" s="8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81" customFormat="1" ht="55" customHeight="1" x14ac:dyDescent="0.3">
      <c r="A2" s="3"/>
      <c r="B2" s="5" t="str">
        <f>设置!D7 &amp;" - 会员详细信息"</f>
        <v>Yi - 会员详细信息</v>
      </c>
      <c r="C2" s="3"/>
      <c r="D2" s="2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3">
      <c r="DT3" s="1"/>
      <c r="DU3" s="1"/>
      <c r="EB3" s="1"/>
      <c r="EE3" s="15"/>
    </row>
    <row r="4" spans="1:135" ht="12" customHeight="1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5"/>
    </row>
    <row r="5" spans="1:135" ht="8.15" customHeight="1" x14ac:dyDescent="0.3">
      <c r="DT5" s="1"/>
      <c r="DU5" s="1"/>
      <c r="EB5" s="1"/>
      <c r="EE5" s="15"/>
    </row>
    <row r="6" spans="1:135" ht="40" customHeight="1" x14ac:dyDescent="0.3">
      <c r="D6" s="123">
        <f>设置!F11</f>
        <v>1</v>
      </c>
      <c r="E6" s="136" t="str">
        <f>设置!F11 &amp;" - 历史记录"</f>
        <v>1 - 历史记录</v>
      </c>
      <c r="F6" s="136"/>
      <c r="G6" s="124">
        <f>设置!F12</f>
        <v>2</v>
      </c>
      <c r="H6" s="135" t="str">
        <f>设置!F12 &amp;" - 历史记录"</f>
        <v>2 - 历史记录</v>
      </c>
      <c r="I6" s="135"/>
      <c r="J6" s="123">
        <f>设置!F13</f>
        <v>3</v>
      </c>
      <c r="K6" s="136" t="str">
        <f>设置!F13 &amp;" - 历史记录"</f>
        <v>3 - 历史记录</v>
      </c>
      <c r="L6" s="136"/>
      <c r="M6" s="124">
        <f>设置!F14</f>
        <v>4</v>
      </c>
      <c r="N6" s="135" t="str">
        <f>设置!F14 &amp;" - 历史记录"</f>
        <v>4 - 历史记录</v>
      </c>
      <c r="O6" s="135"/>
      <c r="P6" s="123">
        <f>设置!F15</f>
        <v>5</v>
      </c>
      <c r="Q6" s="136" t="str">
        <f>设置!F15 &amp;" - 历史记录"</f>
        <v>5 - 历史记录</v>
      </c>
      <c r="R6" s="136"/>
      <c r="S6" s="124">
        <f>设置!F16</f>
        <v>6</v>
      </c>
      <c r="T6" s="135" t="str">
        <f>设置!F16 &amp;" - 历史记录"</f>
        <v>6 - 历史记录</v>
      </c>
      <c r="U6" s="135"/>
      <c r="V6" s="123">
        <f>设置!F17</f>
        <v>7</v>
      </c>
      <c r="W6" s="136" t="str">
        <f>设置!F17 &amp;" - 历史记录"</f>
        <v>7 - 历史记录</v>
      </c>
      <c r="X6" s="136"/>
      <c r="Y6" s="124">
        <f>设置!F18</f>
        <v>8</v>
      </c>
      <c r="Z6" s="135" t="str">
        <f>设置!F18 &amp;" - 历史记录"</f>
        <v>8 - 历史记录</v>
      </c>
      <c r="AA6" s="135"/>
      <c r="AB6" s="123">
        <f>设置!F19</f>
        <v>9</v>
      </c>
      <c r="AC6" s="136" t="str">
        <f>设置!F19 &amp;" - 历史记录"</f>
        <v>9 - 历史记录</v>
      </c>
      <c r="AD6" s="136"/>
      <c r="AE6" s="124">
        <f>设置!F20</f>
        <v>10</v>
      </c>
      <c r="AF6" s="135" t="str">
        <f>设置!F20 &amp;" - 历史记录"</f>
        <v>10 - 历史记录</v>
      </c>
      <c r="AG6" s="135"/>
      <c r="AH6" s="123">
        <f>设置!F21</f>
        <v>11</v>
      </c>
      <c r="AI6" s="136" t="str">
        <f>设置!F21 &amp;" - 历史记录"</f>
        <v>11 - 历史记录</v>
      </c>
      <c r="AJ6" s="136"/>
      <c r="AK6" s="124">
        <f>设置!F22</f>
        <v>12</v>
      </c>
      <c r="AL6" s="135" t="str">
        <f>设置!F22 &amp;" - 历史记录"</f>
        <v>12 - 历史记录</v>
      </c>
      <c r="AM6" s="135"/>
      <c r="AN6" s="123">
        <f>设置!F23</f>
        <v>13</v>
      </c>
      <c r="AO6" s="136" t="str">
        <f>设置!F23 &amp;" - 历史记录"</f>
        <v>13 - 历史记录</v>
      </c>
      <c r="AP6" s="136"/>
      <c r="AQ6" s="124">
        <f>设置!F24</f>
        <v>14</v>
      </c>
      <c r="AR6" s="135" t="str">
        <f>设置!F24 &amp;" - 历史记录"</f>
        <v>14 - 历史记录</v>
      </c>
      <c r="AS6" s="135"/>
      <c r="AT6" s="123">
        <f>设置!F25</f>
        <v>15</v>
      </c>
      <c r="AU6" s="136" t="str">
        <f>设置!F25 &amp;" - 历史记录"</f>
        <v>15 - 历史记录</v>
      </c>
      <c r="AV6" s="136"/>
      <c r="AW6" s="124">
        <f>设置!F26</f>
        <v>16</v>
      </c>
      <c r="AX6" s="135" t="str">
        <f>设置!F26 &amp;" - 历史记录"</f>
        <v>16 - 历史记录</v>
      </c>
      <c r="AY6" s="135"/>
      <c r="AZ6" s="123">
        <f>设置!F27</f>
        <v>17</v>
      </c>
      <c r="BA6" s="136" t="str">
        <f>设置!F27 &amp;" - 历史记录"</f>
        <v>17 - 历史记录</v>
      </c>
      <c r="BB6" s="136"/>
      <c r="BC6" s="124">
        <f>设置!F28</f>
        <v>18</v>
      </c>
      <c r="BD6" s="135" t="str">
        <f>设置!F28 &amp;" - 历史记录"</f>
        <v>18 - 历史记录</v>
      </c>
      <c r="BE6" s="135"/>
      <c r="BF6" s="123">
        <f>设置!F29</f>
        <v>19</v>
      </c>
      <c r="BG6" s="136" t="str">
        <f>设置!F29 &amp;" - 历史记录"</f>
        <v>19 - 历史记录</v>
      </c>
      <c r="BH6" s="136"/>
      <c r="BI6" s="124">
        <f>设置!F30</f>
        <v>20</v>
      </c>
      <c r="BJ6" s="135" t="str">
        <f>设置!F30 &amp;" - 历史记录"</f>
        <v>20 - 历史记录</v>
      </c>
      <c r="BK6" s="135"/>
      <c r="BL6" s="122">
        <f>设置!F31</f>
        <v>21</v>
      </c>
      <c r="BM6" s="134" t="str">
        <f>设置!F31 &amp;" - 历史记录"</f>
        <v>21 - 历史记录</v>
      </c>
      <c r="BN6" s="134"/>
      <c r="BO6" s="124">
        <f>设置!F32</f>
        <v>22</v>
      </c>
      <c r="BP6" s="135" t="str">
        <f>设置!F32 &amp;" - 历史记录"</f>
        <v>22 - 历史记录</v>
      </c>
      <c r="BQ6" s="135"/>
      <c r="BR6" s="122">
        <f>设置!F33</f>
        <v>23</v>
      </c>
      <c r="BS6" s="134" t="str">
        <f>设置!F33 &amp;" - 历史记录"</f>
        <v>23 - 历史记录</v>
      </c>
      <c r="BT6" s="134"/>
      <c r="BU6" s="124">
        <f>设置!F34</f>
        <v>24</v>
      </c>
      <c r="BV6" s="135" t="str">
        <f>设置!F34 &amp;" - 历史记录"</f>
        <v>24 - 历史记录</v>
      </c>
      <c r="BW6" s="135"/>
      <c r="BX6" s="122">
        <f>设置!F35</f>
        <v>25</v>
      </c>
      <c r="BY6" s="134" t="str">
        <f>设置!F35 &amp;" - 历史记录"</f>
        <v>25 - 历史记录</v>
      </c>
      <c r="BZ6" s="134"/>
      <c r="CA6" s="124">
        <f>设置!F36</f>
        <v>26</v>
      </c>
      <c r="CB6" s="135" t="str">
        <f>设置!F36 &amp;" - 历史记录"</f>
        <v>26 - 历史记录</v>
      </c>
      <c r="CC6" s="135"/>
      <c r="CD6" s="122">
        <f>设置!F37</f>
        <v>27</v>
      </c>
      <c r="CE6" s="134" t="str">
        <f>设置!F37 &amp;" - 历史记录"</f>
        <v>27 - 历史记录</v>
      </c>
      <c r="CF6" s="134"/>
      <c r="CG6" s="124">
        <f>设置!F38</f>
        <v>28</v>
      </c>
      <c r="CH6" s="135" t="str">
        <f>设置!F38 &amp;" - 历史记录"</f>
        <v>28 - 历史记录</v>
      </c>
      <c r="CI6" s="135"/>
      <c r="CJ6" s="122">
        <f>设置!F39</f>
        <v>29</v>
      </c>
      <c r="CK6" s="134" t="str">
        <f>设置!F39 &amp;" - 历史记录"</f>
        <v>29 - 历史记录</v>
      </c>
      <c r="CL6" s="134"/>
      <c r="CM6" s="124">
        <f>设置!F40</f>
        <v>30</v>
      </c>
      <c r="CN6" s="135" t="str">
        <f>设置!F40 &amp;" - 历史记录"</f>
        <v>30 - 历史记录</v>
      </c>
      <c r="CO6" s="135"/>
      <c r="CP6" s="122">
        <f>设置!F41</f>
        <v>31</v>
      </c>
      <c r="CQ6" s="134" t="str">
        <f>设置!F41 &amp;" - 历史记录"</f>
        <v>31 - 历史记录</v>
      </c>
      <c r="CR6" s="134"/>
      <c r="CS6" s="124">
        <f>设置!F42</f>
        <v>32</v>
      </c>
      <c r="CT6" s="135" t="str">
        <f>设置!F42 &amp;" - 历史记录"</f>
        <v>32 - 历史记录</v>
      </c>
      <c r="CU6" s="135"/>
      <c r="CV6" s="122">
        <f>设置!F43</f>
        <v>33</v>
      </c>
      <c r="CW6" s="134" t="str">
        <f>设置!F43 &amp;" - 历史记录"</f>
        <v>33 - 历史记录</v>
      </c>
      <c r="CX6" s="134"/>
      <c r="CY6" s="124">
        <f>设置!F44</f>
        <v>34</v>
      </c>
      <c r="CZ6" s="135" t="str">
        <f>设置!F44 &amp;" - 历史记录"</f>
        <v>34 - 历史记录</v>
      </c>
      <c r="DA6" s="135"/>
      <c r="DB6" s="122">
        <f>设置!F45</f>
        <v>35</v>
      </c>
      <c r="DC6" s="134" t="str">
        <f>设置!F45 &amp;" - 历史记录"</f>
        <v>35 - 历史记录</v>
      </c>
      <c r="DD6" s="134"/>
      <c r="DE6" s="124">
        <f>设置!F46</f>
        <v>36</v>
      </c>
      <c r="DF6" s="135" t="str">
        <f>设置!F46 &amp;" - 历史记录"</f>
        <v>36 - 历史记录</v>
      </c>
      <c r="DG6" s="135"/>
      <c r="DH6" s="122">
        <f>设置!F47</f>
        <v>37</v>
      </c>
      <c r="DI6" s="134" t="str">
        <f>设置!F47 &amp;" - 历史记录"</f>
        <v>37 - 历史记录</v>
      </c>
      <c r="DJ6" s="134"/>
      <c r="DK6" s="124">
        <f>设置!F48</f>
        <v>38</v>
      </c>
      <c r="DL6" s="135" t="str">
        <f>设置!F48 &amp;" - 历史记录"</f>
        <v>38 - 历史记录</v>
      </c>
      <c r="DM6" s="135"/>
      <c r="DN6" s="122">
        <f>设置!F49</f>
        <v>39</v>
      </c>
      <c r="DO6" s="134" t="str">
        <f>设置!F49 &amp;" - 历史记录"</f>
        <v>39 - 历史记录</v>
      </c>
      <c r="DP6" s="134"/>
      <c r="DQ6" s="124">
        <f>设置!F50</f>
        <v>40</v>
      </c>
      <c r="DR6" s="135" t="str">
        <f>设置!F50 &amp;" - 历史记录"</f>
        <v>40 - 历史记录</v>
      </c>
      <c r="DS6" s="135"/>
      <c r="DT6" s="136" t="s">
        <v>72</v>
      </c>
      <c r="DU6" s="136"/>
      <c r="DV6" s="136"/>
      <c r="DW6" s="136"/>
      <c r="DX6" s="136"/>
      <c r="DY6" s="136" t="s">
        <v>89</v>
      </c>
      <c r="DZ6" s="136"/>
      <c r="EA6" s="136"/>
      <c r="EB6" s="136" t="s">
        <v>298</v>
      </c>
      <c r="EC6" s="136"/>
      <c r="ED6" s="14"/>
      <c r="EE6" s="15"/>
    </row>
    <row r="7" spans="1:135" ht="8.15" customHeight="1" x14ac:dyDescent="0.3">
      <c r="DT7" s="1"/>
      <c r="DU7" s="1"/>
      <c r="EB7" s="1"/>
      <c r="EE7" s="15"/>
    </row>
    <row r="8" spans="1:135" ht="40" customHeight="1" x14ac:dyDescent="0.3">
      <c r="A8" s="15"/>
      <c r="B8" s="90" t="s">
        <v>0</v>
      </c>
      <c r="C8" s="90" t="s">
        <v>3</v>
      </c>
      <c r="D8" s="90" t="s">
        <v>126</v>
      </c>
      <c r="E8" s="90" t="s">
        <v>81</v>
      </c>
      <c r="F8" s="90" t="s">
        <v>80</v>
      </c>
      <c r="G8" s="90" t="s">
        <v>71</v>
      </c>
      <c r="H8" s="90" t="s">
        <v>79</v>
      </c>
      <c r="I8" s="90" t="s">
        <v>78</v>
      </c>
      <c r="J8" s="90" t="s">
        <v>58</v>
      </c>
      <c r="K8" s="90" t="s">
        <v>42</v>
      </c>
      <c r="L8" s="90" t="s">
        <v>77</v>
      </c>
      <c r="M8" s="90" t="s">
        <v>59</v>
      </c>
      <c r="N8" s="90" t="s">
        <v>43</v>
      </c>
      <c r="O8" s="90" t="s">
        <v>76</v>
      </c>
      <c r="P8" s="90" t="s">
        <v>60</v>
      </c>
      <c r="Q8" s="90" t="s">
        <v>44</v>
      </c>
      <c r="R8" s="90" t="s">
        <v>75</v>
      </c>
      <c r="S8" s="90" t="s">
        <v>61</v>
      </c>
      <c r="T8" s="90" t="s">
        <v>45</v>
      </c>
      <c r="U8" s="90" t="s">
        <v>68</v>
      </c>
      <c r="V8" s="90" t="s">
        <v>62</v>
      </c>
      <c r="W8" s="90" t="s">
        <v>46</v>
      </c>
      <c r="X8" s="90" t="s">
        <v>51</v>
      </c>
      <c r="Y8" s="90" t="s">
        <v>63</v>
      </c>
      <c r="Z8" s="90" t="s">
        <v>47</v>
      </c>
      <c r="AA8" s="90" t="s">
        <v>52</v>
      </c>
      <c r="AB8" s="90" t="s">
        <v>64</v>
      </c>
      <c r="AC8" s="90" t="s">
        <v>48</v>
      </c>
      <c r="AD8" s="90" t="s">
        <v>53</v>
      </c>
      <c r="AE8" s="90" t="s">
        <v>65</v>
      </c>
      <c r="AF8" s="90" t="s">
        <v>49</v>
      </c>
      <c r="AG8" s="90" t="s">
        <v>54</v>
      </c>
      <c r="AH8" s="90" t="s">
        <v>66</v>
      </c>
      <c r="AI8" s="90" t="s">
        <v>50</v>
      </c>
      <c r="AJ8" s="90" t="s">
        <v>55</v>
      </c>
      <c r="AK8" s="90" t="s">
        <v>67</v>
      </c>
      <c r="AL8" s="90" t="s">
        <v>56</v>
      </c>
      <c r="AM8" s="90" t="s">
        <v>57</v>
      </c>
      <c r="AN8" s="90" t="s">
        <v>101</v>
      </c>
      <c r="AO8" s="90" t="s">
        <v>102</v>
      </c>
      <c r="AP8" s="90" t="s">
        <v>100</v>
      </c>
      <c r="AQ8" s="90" t="s">
        <v>105</v>
      </c>
      <c r="AR8" s="90" t="s">
        <v>104</v>
      </c>
      <c r="AS8" s="90" t="s">
        <v>103</v>
      </c>
      <c r="AT8" s="90" t="s">
        <v>111</v>
      </c>
      <c r="AU8" s="90" t="s">
        <v>110</v>
      </c>
      <c r="AV8" s="90" t="s">
        <v>108</v>
      </c>
      <c r="AW8" s="90" t="s">
        <v>107</v>
      </c>
      <c r="AX8" s="90" t="s">
        <v>106</v>
      </c>
      <c r="AY8" s="90" t="s">
        <v>109</v>
      </c>
      <c r="AZ8" s="90" t="s">
        <v>114</v>
      </c>
      <c r="BA8" s="90" t="s">
        <v>113</v>
      </c>
      <c r="BB8" s="90" t="s">
        <v>112</v>
      </c>
      <c r="BC8" s="90" t="s">
        <v>115</v>
      </c>
      <c r="BD8" s="90" t="s">
        <v>116</v>
      </c>
      <c r="BE8" s="90" t="s">
        <v>117</v>
      </c>
      <c r="BF8" s="90" t="s">
        <v>118</v>
      </c>
      <c r="BG8" s="90" t="s">
        <v>119</v>
      </c>
      <c r="BH8" s="90" t="s">
        <v>120</v>
      </c>
      <c r="BI8" s="90" t="s">
        <v>121</v>
      </c>
      <c r="BJ8" s="90" t="s">
        <v>122</v>
      </c>
      <c r="BK8" s="90" t="s">
        <v>123</v>
      </c>
      <c r="BL8" s="90" t="s">
        <v>161</v>
      </c>
      <c r="BM8" s="90" t="s">
        <v>162</v>
      </c>
      <c r="BN8" s="90" t="s">
        <v>160</v>
      </c>
      <c r="BO8" s="90" t="s">
        <v>163</v>
      </c>
      <c r="BP8" s="90" t="s">
        <v>164</v>
      </c>
      <c r="BQ8" s="90" t="s">
        <v>165</v>
      </c>
      <c r="BR8" s="90" t="s">
        <v>166</v>
      </c>
      <c r="BS8" s="90" t="s">
        <v>167</v>
      </c>
      <c r="BT8" s="90" t="s">
        <v>168</v>
      </c>
      <c r="BU8" s="90" t="s">
        <v>169</v>
      </c>
      <c r="BV8" s="90" t="s">
        <v>170</v>
      </c>
      <c r="BW8" s="90" t="s">
        <v>171</v>
      </c>
      <c r="BX8" s="90" t="s">
        <v>172</v>
      </c>
      <c r="BY8" s="90" t="s">
        <v>173</v>
      </c>
      <c r="BZ8" s="90" t="s">
        <v>174</v>
      </c>
      <c r="CA8" s="90" t="s">
        <v>175</v>
      </c>
      <c r="CB8" s="90" t="s">
        <v>176</v>
      </c>
      <c r="CC8" s="90" t="s">
        <v>177</v>
      </c>
      <c r="CD8" s="90" t="s">
        <v>178</v>
      </c>
      <c r="CE8" s="90" t="s">
        <v>179</v>
      </c>
      <c r="CF8" s="90" t="s">
        <v>180</v>
      </c>
      <c r="CG8" s="90" t="s">
        <v>181</v>
      </c>
      <c r="CH8" s="90" t="s">
        <v>182</v>
      </c>
      <c r="CI8" s="90" t="s">
        <v>183</v>
      </c>
      <c r="CJ8" s="90" t="s">
        <v>184</v>
      </c>
      <c r="CK8" s="90" t="s">
        <v>185</v>
      </c>
      <c r="CL8" s="90" t="s">
        <v>186</v>
      </c>
      <c r="CM8" s="90" t="s">
        <v>187</v>
      </c>
      <c r="CN8" s="90" t="s">
        <v>188</v>
      </c>
      <c r="CO8" s="90" t="s">
        <v>189</v>
      </c>
      <c r="CP8" s="90" t="s">
        <v>190</v>
      </c>
      <c r="CQ8" s="90" t="s">
        <v>191</v>
      </c>
      <c r="CR8" s="90" t="s">
        <v>192</v>
      </c>
      <c r="CS8" s="90" t="s">
        <v>193</v>
      </c>
      <c r="CT8" s="90" t="s">
        <v>194</v>
      </c>
      <c r="CU8" s="90" t="s">
        <v>195</v>
      </c>
      <c r="CV8" s="90" t="s">
        <v>196</v>
      </c>
      <c r="CW8" s="90" t="s">
        <v>197</v>
      </c>
      <c r="CX8" s="90" t="s">
        <v>198</v>
      </c>
      <c r="CY8" s="90" t="s">
        <v>199</v>
      </c>
      <c r="CZ8" s="90" t="s">
        <v>200</v>
      </c>
      <c r="DA8" s="90" t="s">
        <v>201</v>
      </c>
      <c r="DB8" s="90" t="s">
        <v>202</v>
      </c>
      <c r="DC8" s="90" t="s">
        <v>203</v>
      </c>
      <c r="DD8" s="90" t="s">
        <v>204</v>
      </c>
      <c r="DE8" s="90" t="s">
        <v>205</v>
      </c>
      <c r="DF8" s="90" t="s">
        <v>206</v>
      </c>
      <c r="DG8" s="90" t="s">
        <v>207</v>
      </c>
      <c r="DH8" s="90" t="s">
        <v>209</v>
      </c>
      <c r="DI8" s="90" t="s">
        <v>210</v>
      </c>
      <c r="DJ8" s="90" t="s">
        <v>208</v>
      </c>
      <c r="DK8" s="90" t="s">
        <v>211</v>
      </c>
      <c r="DL8" s="90" t="s">
        <v>212</v>
      </c>
      <c r="DM8" s="90" t="s">
        <v>213</v>
      </c>
      <c r="DN8" s="90" t="s">
        <v>214</v>
      </c>
      <c r="DO8" s="90" t="s">
        <v>215</v>
      </c>
      <c r="DP8" s="90" t="s">
        <v>216</v>
      </c>
      <c r="DQ8" s="90" t="s">
        <v>217</v>
      </c>
      <c r="DR8" s="90" t="s">
        <v>218</v>
      </c>
      <c r="DS8" s="90" t="s">
        <v>219</v>
      </c>
      <c r="DT8" s="90" t="s">
        <v>27</v>
      </c>
      <c r="DU8" s="90" t="s">
        <v>28</v>
      </c>
      <c r="DV8" s="90" t="s">
        <v>1</v>
      </c>
      <c r="DW8" s="90" t="s">
        <v>22</v>
      </c>
      <c r="DX8" s="90" t="s">
        <v>21</v>
      </c>
      <c r="DY8" s="90" t="s">
        <v>2</v>
      </c>
      <c r="DZ8" s="91" t="s">
        <v>23</v>
      </c>
      <c r="EA8" s="91" t="s">
        <v>24</v>
      </c>
      <c r="EB8" s="91" t="s">
        <v>73</v>
      </c>
      <c r="EC8" s="91" t="s">
        <v>74</v>
      </c>
      <c r="ED8" s="91" t="s">
        <v>7</v>
      </c>
      <c r="EE8" s="15"/>
    </row>
    <row r="9" spans="1:135" ht="40" customHeight="1" x14ac:dyDescent="0.3">
      <c r="B9" s="86" cm="1">
        <f t="array" ref="B9">SN</f>
        <v>1</v>
      </c>
      <c r="C9" s="87" t="str" cm="1">
        <f t="array" ref="C9">GUID</f>
        <v>冯毅 | 男</v>
      </c>
      <c r="D9" s="88" cm="1">
        <f t="array" ref="D9">Get_1_Calc</f>
        <v>0</v>
      </c>
      <c r="E9" s="86" cm="1">
        <f t="array" ref="E9">Get_1_Add</f>
        <v>1</v>
      </c>
      <c r="F9" s="86" cm="1">
        <f t="array" ref="F9">Get_1_Del</f>
        <v>1</v>
      </c>
      <c r="G9" s="88" cm="1">
        <f t="array" ref="G9">Get_2_Calc</f>
        <v>0</v>
      </c>
      <c r="H9" s="86" cm="1">
        <f t="array" ref="H9">Get_2_Add</f>
        <v>2</v>
      </c>
      <c r="I9" s="86" cm="1">
        <f t="array" ref="I9">Get_2_Del</f>
        <v>2</v>
      </c>
      <c r="J9" s="88" cm="1">
        <f t="array" ref="J9">Get_3_Calc</f>
        <v>0</v>
      </c>
      <c r="K9" s="86" cm="1">
        <f t="array" ref="K9">Get_3_Add</f>
        <v>3</v>
      </c>
      <c r="L9" s="86" cm="1">
        <f t="array" ref="L9">Get_3_Del</f>
        <v>3</v>
      </c>
      <c r="M9" s="88" cm="1">
        <f t="array" ref="M9">Get_4_Calc</f>
        <v>0</v>
      </c>
      <c r="N9" s="86" cm="1">
        <f t="array" ref="N9">Get_4_Add</f>
        <v>4</v>
      </c>
      <c r="O9" s="86" cm="1">
        <f t="array" ref="O9">Get_4_Del</f>
        <v>4</v>
      </c>
      <c r="P9" s="88" cm="1">
        <f t="array" ref="P9">Get_5_Calc</f>
        <v>0</v>
      </c>
      <c r="Q9" s="86" cm="1">
        <f t="array" ref="Q9">Get_5_Add</f>
        <v>5</v>
      </c>
      <c r="R9" s="86" cm="1">
        <f t="array" ref="R9">Get_5_Del</f>
        <v>5</v>
      </c>
      <c r="S9" s="88" cm="1">
        <f t="array" ref="S9">Get_6_Calc</f>
        <v>0</v>
      </c>
      <c r="T9" s="86" cm="1">
        <f t="array" ref="T9">Get_6_Add</f>
        <v>6</v>
      </c>
      <c r="U9" s="86" cm="1">
        <f t="array" ref="U9">Get_6_Del</f>
        <v>6</v>
      </c>
      <c r="V9" s="88" cm="1">
        <f t="array" ref="V9">Get_7_Calc</f>
        <v>0</v>
      </c>
      <c r="W9" s="86" cm="1">
        <f t="array" ref="W9">Get_7_Add</f>
        <v>7</v>
      </c>
      <c r="X9" s="86" cm="1">
        <f t="array" ref="X9">Get_7_Del</f>
        <v>7</v>
      </c>
      <c r="Y9" s="88" cm="1">
        <f t="array" ref="Y9">Get_8_Calc</f>
        <v>0</v>
      </c>
      <c r="Z9" s="86" cm="1">
        <f t="array" ref="Z9">Get_8_Add</f>
        <v>8</v>
      </c>
      <c r="AA9" s="86" cm="1">
        <f t="array" ref="AA9">Get_8_Del</f>
        <v>8</v>
      </c>
      <c r="AB9" s="88" cm="1">
        <f t="array" ref="AB9">Get_9_Calc</f>
        <v>0</v>
      </c>
      <c r="AC9" s="86" cm="1">
        <f t="array" ref="AC9">Get_9_Add</f>
        <v>9</v>
      </c>
      <c r="AD9" s="86" cm="1">
        <f t="array" ref="AD9">Get_9_Del</f>
        <v>9</v>
      </c>
      <c r="AE9" s="88" cm="1">
        <f t="array" ref="AE9">Get_10_Calc</f>
        <v>0</v>
      </c>
      <c r="AF9" s="86" cm="1">
        <f t="array" ref="AF9">Get_10_Add</f>
        <v>10</v>
      </c>
      <c r="AG9" s="86" cm="1">
        <f t="array" ref="AG9">Get_10_Del</f>
        <v>10</v>
      </c>
      <c r="AH9" s="88" cm="1">
        <f t="array" ref="AH9">Get_11_Calc</f>
        <v>0</v>
      </c>
      <c r="AI9" s="86" cm="1">
        <f t="array" ref="AI9">Get_11_Add</f>
        <v>11</v>
      </c>
      <c r="AJ9" s="86" cm="1">
        <f t="array" ref="AJ9">Get_11_Del</f>
        <v>11</v>
      </c>
      <c r="AK9" s="88" cm="1">
        <f t="array" ref="AK9">Get_12_Calc</f>
        <v>0</v>
      </c>
      <c r="AL9" s="86" cm="1">
        <f t="array" ref="AL9">Get_12_Add</f>
        <v>12</v>
      </c>
      <c r="AM9" s="86" cm="1">
        <f t="array" ref="AM9">Get_12_Del</f>
        <v>12</v>
      </c>
      <c r="AN9" s="88" cm="1">
        <f t="array" ref="AN9">Get_13_Calc</f>
        <v>0</v>
      </c>
      <c r="AO9" s="86" cm="1">
        <f t="array" ref="AO9">Get_13_Add</f>
        <v>13</v>
      </c>
      <c r="AP9" s="86" cm="1">
        <f t="array" ref="AP9">Get_13_Del</f>
        <v>13</v>
      </c>
      <c r="AQ9" s="88" cm="1">
        <f t="array" ref="AQ9">Get_14_Calc</f>
        <v>0</v>
      </c>
      <c r="AR9" s="86" cm="1">
        <f t="array" ref="AR9">Get_14_Add</f>
        <v>14</v>
      </c>
      <c r="AS9" s="86" cm="1">
        <f t="array" ref="AS9">Get_14_Del</f>
        <v>14</v>
      </c>
      <c r="AT9" s="88" cm="1">
        <f t="array" ref="AT9">Get_15_Calc</f>
        <v>0</v>
      </c>
      <c r="AU9" s="86" cm="1">
        <f t="array" ref="AU9">Get_15_Add</f>
        <v>15</v>
      </c>
      <c r="AV9" s="86" cm="1">
        <f t="array" ref="AV9">Get_15_Del</f>
        <v>15</v>
      </c>
      <c r="AW9" s="88" cm="1">
        <f t="array" ref="AW9">Get_16_Calc</f>
        <v>0</v>
      </c>
      <c r="AX9" s="86" cm="1">
        <f t="array" ref="AX9">Get_16_Add</f>
        <v>16</v>
      </c>
      <c r="AY9" s="86" cm="1">
        <f t="array" ref="AY9">Get_16_Del</f>
        <v>16</v>
      </c>
      <c r="AZ9" s="88" cm="1">
        <f t="array" ref="AZ9">Get_17_Calc</f>
        <v>0</v>
      </c>
      <c r="BA9" s="86" cm="1">
        <f t="array" ref="BA9">Get_17_Add</f>
        <v>17</v>
      </c>
      <c r="BB9" s="86" cm="1">
        <f t="array" ref="BB9">Get_17_Del</f>
        <v>17</v>
      </c>
      <c r="BC9" s="88" cm="1">
        <f t="array" ref="BC9">Get_18_Calc</f>
        <v>0</v>
      </c>
      <c r="BD9" s="86" cm="1">
        <f t="array" ref="BD9">Get_18_Add</f>
        <v>18</v>
      </c>
      <c r="BE9" s="86" cm="1">
        <f t="array" ref="BE9">Get_18_Del</f>
        <v>18</v>
      </c>
      <c r="BF9" s="88" cm="1">
        <f t="array" ref="BF9">Get_19_Calc</f>
        <v>0</v>
      </c>
      <c r="BG9" s="86" cm="1">
        <f t="array" ref="BG9">Get_19_Add</f>
        <v>19</v>
      </c>
      <c r="BH9" s="86" cm="1">
        <f t="array" ref="BH9">Get_19_Del</f>
        <v>19</v>
      </c>
      <c r="BI9" s="88" cm="1">
        <f t="array" ref="BI9">Get_20_Calc</f>
        <v>0</v>
      </c>
      <c r="BJ9" s="86" cm="1">
        <f t="array" ref="BJ9">Get_20_Add</f>
        <v>20</v>
      </c>
      <c r="BK9" s="86" cm="1">
        <f t="array" ref="BK9">Get_20_Del</f>
        <v>20</v>
      </c>
      <c r="BL9" s="86" cm="1">
        <f t="array" ref="BL9">Get_21_Calc</f>
        <v>0</v>
      </c>
      <c r="BM9" s="86" cm="1">
        <f t="array" ref="BM9">Get_21_Add</f>
        <v>21</v>
      </c>
      <c r="BN9" s="86" cm="1">
        <f t="array" ref="BN9">Get_21_Del</f>
        <v>21</v>
      </c>
      <c r="BO9" s="86" cm="1">
        <f t="array" ref="BO9">Get_22_Calc</f>
        <v>0</v>
      </c>
      <c r="BP9" s="86" cm="1">
        <f t="array" ref="BP9">Get_22_Add</f>
        <v>22</v>
      </c>
      <c r="BQ9" s="86" cm="1">
        <f t="array" ref="BQ9">Get_22_Del</f>
        <v>22</v>
      </c>
      <c r="BR9" s="86" cm="1">
        <f t="array" ref="BR9">Get_23_Calc</f>
        <v>0</v>
      </c>
      <c r="BS9" s="86" cm="1">
        <f t="array" ref="BS9">Get_23_Add</f>
        <v>23</v>
      </c>
      <c r="BT9" s="86" cm="1">
        <f t="array" ref="BT9">Get_23_Del</f>
        <v>23</v>
      </c>
      <c r="BU9" s="86" cm="1">
        <f t="array" ref="BU9">Get_24_Calc</f>
        <v>0</v>
      </c>
      <c r="BV9" s="86" cm="1">
        <f t="array" ref="BV9">Get_24_Add</f>
        <v>24</v>
      </c>
      <c r="BW9" s="86" cm="1">
        <f t="array" ref="BW9">Get_24_Del</f>
        <v>24</v>
      </c>
      <c r="BX9" s="86" cm="1">
        <f t="array" ref="BX9">Get_25_Calc</f>
        <v>0</v>
      </c>
      <c r="BY9" s="86" cm="1">
        <f t="array" ref="BY9">Get_25_Add</f>
        <v>25</v>
      </c>
      <c r="BZ9" s="86" cm="1">
        <f t="array" ref="BZ9">Get_25_Del</f>
        <v>25</v>
      </c>
      <c r="CA9" s="86" cm="1">
        <f t="array" ref="CA9">Get_26_Calc</f>
        <v>0</v>
      </c>
      <c r="CB9" s="86" cm="1">
        <f t="array" ref="CB9">Get_26_Add</f>
        <v>26</v>
      </c>
      <c r="CC9" s="86" cm="1">
        <f t="array" ref="CC9">Get_26_Del</f>
        <v>26</v>
      </c>
      <c r="CD9" s="86" cm="1">
        <f t="array" ref="CD9">Get_27_Calc</f>
        <v>0</v>
      </c>
      <c r="CE9" s="86" cm="1">
        <f t="array" ref="CE9">Get_27_Add</f>
        <v>27</v>
      </c>
      <c r="CF9" s="86" cm="1">
        <f t="array" ref="CF9">Get_27_Del</f>
        <v>27</v>
      </c>
      <c r="CG9" s="86" cm="1">
        <f t="array" ref="CG9">Get_28_Calc</f>
        <v>0</v>
      </c>
      <c r="CH9" s="86" cm="1">
        <f t="array" ref="CH9">Get_28_Add</f>
        <v>28</v>
      </c>
      <c r="CI9" s="86" cm="1">
        <f t="array" ref="CI9">Get_28_Del</f>
        <v>28</v>
      </c>
      <c r="CJ9" s="86" cm="1">
        <f t="array" ref="CJ9">Get_29_Calc</f>
        <v>0</v>
      </c>
      <c r="CK9" s="86" cm="1">
        <f t="array" ref="CK9">Get_29_Add</f>
        <v>29</v>
      </c>
      <c r="CL9" s="86" cm="1">
        <f t="array" ref="CL9">Get_29_Del</f>
        <v>29</v>
      </c>
      <c r="CM9" s="86" cm="1">
        <f t="array" ref="CM9">Get_30_Calc</f>
        <v>0</v>
      </c>
      <c r="CN9" s="86" cm="1">
        <f t="array" ref="CN9">Get_30_Add</f>
        <v>30</v>
      </c>
      <c r="CO9" s="86" cm="1">
        <f t="array" ref="CO9">Get_30_Del</f>
        <v>30</v>
      </c>
      <c r="CP9" s="86" cm="1">
        <f t="array" ref="CP9">Get_31_Calc</f>
        <v>0</v>
      </c>
      <c r="CQ9" s="86" cm="1">
        <f t="array" ref="CQ9">Get_31_Add</f>
        <v>31</v>
      </c>
      <c r="CR9" s="86" cm="1">
        <f t="array" ref="CR9">Get_31_Del</f>
        <v>31</v>
      </c>
      <c r="CS9" s="86" cm="1">
        <f t="array" ref="CS9">Get_32_Calc</f>
        <v>0</v>
      </c>
      <c r="CT9" s="86" cm="1">
        <f t="array" ref="CT9">Get_32_Add</f>
        <v>32</v>
      </c>
      <c r="CU9" s="86" cm="1">
        <f t="array" ref="CU9">Get_32_Del</f>
        <v>32</v>
      </c>
      <c r="CV9" s="86" cm="1">
        <f t="array" ref="CV9">Get_33_Calc</f>
        <v>0</v>
      </c>
      <c r="CW9" s="86" cm="1">
        <f t="array" ref="CW9">Get_33_Add</f>
        <v>33</v>
      </c>
      <c r="CX9" s="86" cm="1">
        <f t="array" ref="CX9">Get_33_Del</f>
        <v>33</v>
      </c>
      <c r="CY9" s="86" cm="1">
        <f t="array" ref="CY9">Get_34_Calc</f>
        <v>0</v>
      </c>
      <c r="CZ9" s="86" cm="1">
        <f t="array" ref="CZ9">Get_34_Add</f>
        <v>34</v>
      </c>
      <c r="DA9" s="86" cm="1">
        <f t="array" ref="DA9">Get_34_Del</f>
        <v>34</v>
      </c>
      <c r="DB9" s="86" cm="1">
        <f t="array" ref="DB9">Get_35_Calc</f>
        <v>0</v>
      </c>
      <c r="DC9" s="86" cm="1">
        <f t="array" ref="DC9">Get_35_Add</f>
        <v>35</v>
      </c>
      <c r="DD9" s="86" cm="1">
        <f t="array" ref="DD9">Get_35_Del</f>
        <v>35</v>
      </c>
      <c r="DE9" s="86" cm="1">
        <f t="array" ref="DE9">Get_36_Calc</f>
        <v>0</v>
      </c>
      <c r="DF9" s="86" cm="1">
        <f t="array" ref="DF9">Get_36_Add</f>
        <v>36</v>
      </c>
      <c r="DG9" s="86" cm="1">
        <f t="array" ref="DG9">Get_36_Del</f>
        <v>36</v>
      </c>
      <c r="DH9" s="86" cm="1">
        <f t="array" ref="DH9">Get_37_Calc</f>
        <v>0</v>
      </c>
      <c r="DI9" s="86" cm="1">
        <f t="array" ref="DI9">Get_37_Add</f>
        <v>37</v>
      </c>
      <c r="DJ9" s="86" cm="1">
        <f t="array" ref="DJ9">Get_37_Del</f>
        <v>37</v>
      </c>
      <c r="DK9" s="86" cm="1">
        <f t="array" ref="DK9">Get_38_Calc</f>
        <v>0</v>
      </c>
      <c r="DL9" s="86" cm="1">
        <f t="array" ref="DL9">Get_38_Add</f>
        <v>38</v>
      </c>
      <c r="DM9" s="86" cm="1">
        <f t="array" ref="DM9">Get_38_Del</f>
        <v>38</v>
      </c>
      <c r="DN9" s="86" cm="1">
        <f t="array" ref="DN9">Get_39_Calc</f>
        <v>0</v>
      </c>
      <c r="DO9" s="86" cm="1">
        <f t="array" ref="DO9">Get_39_Add</f>
        <v>39</v>
      </c>
      <c r="DP9" s="86" cm="1">
        <f t="array" ref="DP9">Get_39_Del</f>
        <v>39</v>
      </c>
      <c r="DQ9" s="86" cm="1">
        <f t="array" ref="DQ9">Get_40_Calc</f>
        <v>0</v>
      </c>
      <c r="DR9" s="86" cm="1">
        <f t="array" ref="DR9">Get_40_Add</f>
        <v>40</v>
      </c>
      <c r="DS9" s="86" cm="1">
        <f t="array" ref="DS9">Get_40_Del</f>
        <v>40</v>
      </c>
      <c r="DT9" s="83" t="s">
        <v>232</v>
      </c>
      <c r="DU9" s="84" t="s">
        <v>233</v>
      </c>
      <c r="DV9" s="85" t="s">
        <v>10</v>
      </c>
      <c r="DW9" s="85" t="s">
        <v>128</v>
      </c>
      <c r="DX9" s="86"/>
      <c r="DY9" s="62"/>
      <c r="DZ9" s="85" t="s">
        <v>288</v>
      </c>
      <c r="EA9" s="85" t="s">
        <v>128</v>
      </c>
      <c r="EB9" s="119">
        <v>45268.505555555559</v>
      </c>
      <c r="EC9" s="85"/>
      <c r="ED9" s="131" t="s">
        <v>304</v>
      </c>
      <c r="EE9" s="15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6" customWidth="1"/>
    <col min="4" max="43" width="12.69140625" style="17" customWidth="1"/>
    <col min="44" max="44" width="10.69140625" style="1" customWidth="1"/>
    <col min="45" max="45" width="22.69140625" style="120" customWidth="1"/>
    <col min="46" max="46" width="12.69140625" style="1" customWidth="1"/>
    <col min="47" max="47" width="22.69140625" style="1" customWidth="1"/>
    <col min="48" max="48" width="8.69140625" style="76" customWidth="1"/>
    <col min="49" max="49" width="14.69140625" style="17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18"/>
      <c r="AV2" s="125"/>
      <c r="AW2" s="125"/>
      <c r="AX2" s="125"/>
      <c r="AY2" s="125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5" customFormat="1" ht="12" customHeight="1" x14ac:dyDescent="0.3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5" customFormat="1" ht="40" customHeight="1" x14ac:dyDescent="0.3">
      <c r="D6" s="123">
        <f>设置!F11</f>
        <v>1</v>
      </c>
      <c r="E6" s="132">
        <f>设置!F12</f>
        <v>2</v>
      </c>
      <c r="F6" s="123">
        <f>设置!F13</f>
        <v>3</v>
      </c>
      <c r="G6" s="132">
        <f>设置!F14</f>
        <v>4</v>
      </c>
      <c r="H6" s="123">
        <f>设置!F15</f>
        <v>5</v>
      </c>
      <c r="I6" s="132">
        <f>设置!F16</f>
        <v>6</v>
      </c>
      <c r="J6" s="123">
        <f>设置!F17</f>
        <v>7</v>
      </c>
      <c r="K6" s="132">
        <f>设置!F18</f>
        <v>8</v>
      </c>
      <c r="L6" s="123">
        <f>设置!F19</f>
        <v>9</v>
      </c>
      <c r="M6" s="132">
        <f>设置!F20</f>
        <v>10</v>
      </c>
      <c r="N6" s="123">
        <f>设置!F21</f>
        <v>11</v>
      </c>
      <c r="O6" s="132">
        <f>设置!F22</f>
        <v>12</v>
      </c>
      <c r="P6" s="123">
        <f>设置!F23</f>
        <v>13</v>
      </c>
      <c r="Q6" s="132">
        <f>设置!F24</f>
        <v>14</v>
      </c>
      <c r="R6" s="123">
        <f>设置!F25</f>
        <v>15</v>
      </c>
      <c r="S6" s="132">
        <f>设置!F26</f>
        <v>16</v>
      </c>
      <c r="T6" s="123">
        <f>设置!F27</f>
        <v>17</v>
      </c>
      <c r="U6" s="132">
        <f>设置!F28</f>
        <v>18</v>
      </c>
      <c r="V6" s="123">
        <f>设置!F29</f>
        <v>19</v>
      </c>
      <c r="W6" s="132">
        <f>设置!F30</f>
        <v>20</v>
      </c>
      <c r="X6" s="123">
        <f>设置!F31</f>
        <v>21</v>
      </c>
      <c r="Y6" s="132">
        <f>设置!F32</f>
        <v>22</v>
      </c>
      <c r="Z6" s="123">
        <f>设置!F33</f>
        <v>23</v>
      </c>
      <c r="AA6" s="132">
        <f>设置!F34</f>
        <v>24</v>
      </c>
      <c r="AB6" s="123">
        <f>设置!F35</f>
        <v>25</v>
      </c>
      <c r="AC6" s="132">
        <f>设置!F36</f>
        <v>26</v>
      </c>
      <c r="AD6" s="123">
        <f>设置!F37</f>
        <v>27</v>
      </c>
      <c r="AE6" s="132">
        <f>设置!F38</f>
        <v>28</v>
      </c>
      <c r="AF6" s="123">
        <f>设置!F39</f>
        <v>29</v>
      </c>
      <c r="AG6" s="132">
        <f>设置!F40</f>
        <v>30</v>
      </c>
      <c r="AH6" s="123">
        <f>设置!F41</f>
        <v>31</v>
      </c>
      <c r="AI6" s="132">
        <f>设置!F42</f>
        <v>32</v>
      </c>
      <c r="AJ6" s="123">
        <f>设置!F43</f>
        <v>33</v>
      </c>
      <c r="AK6" s="132">
        <f>设置!F44</f>
        <v>34</v>
      </c>
      <c r="AL6" s="123">
        <f>设置!F45</f>
        <v>35</v>
      </c>
      <c r="AM6" s="132">
        <f>设置!F46</f>
        <v>36</v>
      </c>
      <c r="AN6" s="123">
        <f>设置!F47</f>
        <v>37</v>
      </c>
      <c r="AO6" s="132">
        <f>设置!F48</f>
        <v>38</v>
      </c>
      <c r="AP6" s="123">
        <f>设置!F49</f>
        <v>39</v>
      </c>
      <c r="AQ6" s="132">
        <f>设置!F50</f>
        <v>40</v>
      </c>
      <c r="AR6" s="136" t="s">
        <v>84</v>
      </c>
      <c r="AS6" s="136"/>
      <c r="AT6" s="136"/>
      <c r="AU6" s="136"/>
      <c r="AV6" s="136" t="s">
        <v>83</v>
      </c>
      <c r="AW6" s="136"/>
      <c r="AX6" s="136"/>
      <c r="AY6" s="136"/>
    </row>
    <row r="7" spans="2:51" s="15" customFormat="1" ht="8.15" customHeight="1" x14ac:dyDescent="0.3"/>
    <row r="8" spans="2:51" ht="40" customHeight="1" x14ac:dyDescent="0.4">
      <c r="B8" s="90" t="s">
        <v>0</v>
      </c>
      <c r="C8" s="90" t="s">
        <v>3</v>
      </c>
      <c r="D8" s="90" t="s">
        <v>69</v>
      </c>
      <c r="E8" s="90" t="s">
        <v>70</v>
      </c>
      <c r="F8" s="90" t="s">
        <v>31</v>
      </c>
      <c r="G8" s="90" t="s">
        <v>32</v>
      </c>
      <c r="H8" s="90" t="s">
        <v>33</v>
      </c>
      <c r="I8" s="90" t="s">
        <v>34</v>
      </c>
      <c r="J8" s="90" t="s">
        <v>35</v>
      </c>
      <c r="K8" s="90" t="s">
        <v>36</v>
      </c>
      <c r="L8" s="90" t="s">
        <v>37</v>
      </c>
      <c r="M8" s="90" t="s">
        <v>39</v>
      </c>
      <c r="N8" s="90" t="s">
        <v>38</v>
      </c>
      <c r="O8" s="90" t="s">
        <v>40</v>
      </c>
      <c r="P8" s="90" t="s">
        <v>92</v>
      </c>
      <c r="Q8" s="90" t="s">
        <v>93</v>
      </c>
      <c r="R8" s="90" t="s">
        <v>94</v>
      </c>
      <c r="S8" s="90" t="s">
        <v>95</v>
      </c>
      <c r="T8" s="90" t="s">
        <v>96</v>
      </c>
      <c r="U8" s="90" t="s">
        <v>97</v>
      </c>
      <c r="V8" s="90" t="s">
        <v>98</v>
      </c>
      <c r="W8" s="90" t="s">
        <v>99</v>
      </c>
      <c r="X8" s="90" t="s">
        <v>141</v>
      </c>
      <c r="Y8" s="90" t="s">
        <v>142</v>
      </c>
      <c r="Z8" s="90" t="s">
        <v>143</v>
      </c>
      <c r="AA8" s="90" t="s">
        <v>144</v>
      </c>
      <c r="AB8" s="90" t="s">
        <v>145</v>
      </c>
      <c r="AC8" s="90" t="s">
        <v>146</v>
      </c>
      <c r="AD8" s="90" t="s">
        <v>147</v>
      </c>
      <c r="AE8" s="90" t="s">
        <v>148</v>
      </c>
      <c r="AF8" s="90" t="s">
        <v>149</v>
      </c>
      <c r="AG8" s="90" t="s">
        <v>150</v>
      </c>
      <c r="AH8" s="90" t="s">
        <v>140</v>
      </c>
      <c r="AI8" s="90" t="s">
        <v>151</v>
      </c>
      <c r="AJ8" s="90" t="s">
        <v>152</v>
      </c>
      <c r="AK8" s="90" t="s">
        <v>153</v>
      </c>
      <c r="AL8" s="90" t="s">
        <v>154</v>
      </c>
      <c r="AM8" s="90" t="s">
        <v>155</v>
      </c>
      <c r="AN8" s="90" t="s">
        <v>156</v>
      </c>
      <c r="AO8" s="90" t="s">
        <v>157</v>
      </c>
      <c r="AP8" s="90" t="s">
        <v>158</v>
      </c>
      <c r="AQ8" s="90" t="s">
        <v>159</v>
      </c>
      <c r="AR8" s="90" t="s">
        <v>5</v>
      </c>
      <c r="AS8" s="90" t="s">
        <v>4</v>
      </c>
      <c r="AT8" s="90" t="s">
        <v>6</v>
      </c>
      <c r="AU8" s="90" t="s">
        <v>7</v>
      </c>
      <c r="AV8" s="90" t="s">
        <v>27</v>
      </c>
      <c r="AW8" s="90" t="s">
        <v>28</v>
      </c>
      <c r="AX8" s="90" t="s">
        <v>1</v>
      </c>
      <c r="AY8" s="90" t="s">
        <v>2</v>
      </c>
    </row>
    <row r="9" spans="2:51" ht="39.75" customHeight="1" x14ac:dyDescent="0.4">
      <c r="B9" s="86" cm="1">
        <f t="array" ref="B9">SN</f>
        <v>1</v>
      </c>
      <c r="C9" s="92" t="s">
        <v>296</v>
      </c>
      <c r="D9" s="93">
        <v>1</v>
      </c>
      <c r="E9" s="93">
        <v>2</v>
      </c>
      <c r="F9" s="93">
        <v>3</v>
      </c>
      <c r="G9" s="93">
        <v>4</v>
      </c>
      <c r="H9" s="93">
        <v>5</v>
      </c>
      <c r="I9" s="93">
        <v>6</v>
      </c>
      <c r="J9" s="93">
        <v>7</v>
      </c>
      <c r="K9" s="93">
        <v>8</v>
      </c>
      <c r="L9" s="93">
        <v>9</v>
      </c>
      <c r="M9" s="93">
        <v>10</v>
      </c>
      <c r="N9" s="93">
        <v>11</v>
      </c>
      <c r="O9" s="93">
        <v>12</v>
      </c>
      <c r="P9" s="93">
        <v>13</v>
      </c>
      <c r="Q9" s="93">
        <v>14</v>
      </c>
      <c r="R9" s="93">
        <v>15</v>
      </c>
      <c r="S9" s="93">
        <v>16</v>
      </c>
      <c r="T9" s="93">
        <v>17</v>
      </c>
      <c r="U9" s="93">
        <v>18</v>
      </c>
      <c r="V9" s="93">
        <v>19</v>
      </c>
      <c r="W9" s="93">
        <v>20</v>
      </c>
      <c r="X9" s="93">
        <v>21</v>
      </c>
      <c r="Y9" s="93">
        <v>22</v>
      </c>
      <c r="Z9" s="93">
        <v>23</v>
      </c>
      <c r="AA9" s="93">
        <v>24</v>
      </c>
      <c r="AB9" s="93">
        <v>25</v>
      </c>
      <c r="AC9" s="93">
        <v>26</v>
      </c>
      <c r="AD9" s="93">
        <v>27</v>
      </c>
      <c r="AE9" s="93">
        <v>28</v>
      </c>
      <c r="AF9" s="93">
        <v>29</v>
      </c>
      <c r="AG9" s="93">
        <v>30</v>
      </c>
      <c r="AH9" s="93">
        <v>31</v>
      </c>
      <c r="AI9" s="93">
        <v>32</v>
      </c>
      <c r="AJ9" s="93">
        <v>33</v>
      </c>
      <c r="AK9" s="93">
        <v>34</v>
      </c>
      <c r="AL9" s="93">
        <v>35</v>
      </c>
      <c r="AM9" s="93">
        <v>36</v>
      </c>
      <c r="AN9" s="93">
        <v>37</v>
      </c>
      <c r="AO9" s="93">
        <v>38</v>
      </c>
      <c r="AP9" s="93">
        <v>39</v>
      </c>
      <c r="AQ9" s="93">
        <v>40</v>
      </c>
      <c r="AR9" s="62" t="s">
        <v>8</v>
      </c>
      <c r="AS9" s="119">
        <v>45268.505555555559</v>
      </c>
      <c r="AT9" s="62"/>
      <c r="AU9" s="130" t="s">
        <v>305</v>
      </c>
      <c r="AV9" s="89" t="str" cm="1">
        <f t="array" ref="AV9">Get_GUID_Surname</f>
        <v>冯</v>
      </c>
      <c r="AW9" s="88" t="str" cm="1">
        <f t="array" ref="AW9">Get_GUID_FirstName</f>
        <v>毅</v>
      </c>
      <c r="AX9" s="86" t="str" cm="1">
        <f t="array" ref="AX9">Get_GUID_Sex</f>
        <v>男</v>
      </c>
      <c r="AY9" s="86" t="str" cm="1">
        <f t="array" ref="AY9">Get_GUID_Tel</f>
        <v/>
      </c>
    </row>
    <row r="10" spans="2:51" ht="40" customHeight="1" x14ac:dyDescent="0.4">
      <c r="B10" s="60" cm="1">
        <f t="array" ref="B10">SN</f>
        <v>2</v>
      </c>
      <c r="C10" s="61" t="s">
        <v>296</v>
      </c>
      <c r="D10" s="93">
        <v>1</v>
      </c>
      <c r="E10" s="93">
        <v>2</v>
      </c>
      <c r="F10" s="93">
        <v>3</v>
      </c>
      <c r="G10" s="93">
        <v>4</v>
      </c>
      <c r="H10" s="93">
        <v>5</v>
      </c>
      <c r="I10" s="93">
        <v>6</v>
      </c>
      <c r="J10" s="93">
        <v>7</v>
      </c>
      <c r="K10" s="93">
        <v>8</v>
      </c>
      <c r="L10" s="93">
        <v>9</v>
      </c>
      <c r="M10" s="93">
        <v>10</v>
      </c>
      <c r="N10" s="93">
        <v>11</v>
      </c>
      <c r="O10" s="93">
        <v>12</v>
      </c>
      <c r="P10" s="93">
        <v>13</v>
      </c>
      <c r="Q10" s="93">
        <v>14</v>
      </c>
      <c r="R10" s="93">
        <v>15</v>
      </c>
      <c r="S10" s="93">
        <v>16</v>
      </c>
      <c r="T10" s="93">
        <v>17</v>
      </c>
      <c r="U10" s="93">
        <v>18</v>
      </c>
      <c r="V10" s="93">
        <v>19</v>
      </c>
      <c r="W10" s="93">
        <v>20</v>
      </c>
      <c r="X10" s="93">
        <v>21</v>
      </c>
      <c r="Y10" s="93">
        <v>22</v>
      </c>
      <c r="Z10" s="93">
        <v>23</v>
      </c>
      <c r="AA10" s="93">
        <v>24</v>
      </c>
      <c r="AB10" s="93">
        <v>25</v>
      </c>
      <c r="AC10" s="93">
        <v>26</v>
      </c>
      <c r="AD10" s="93">
        <v>27</v>
      </c>
      <c r="AE10" s="93">
        <v>28</v>
      </c>
      <c r="AF10" s="93">
        <v>29</v>
      </c>
      <c r="AG10" s="93">
        <v>30</v>
      </c>
      <c r="AH10" s="93">
        <v>31</v>
      </c>
      <c r="AI10" s="93">
        <v>32</v>
      </c>
      <c r="AJ10" s="93">
        <v>33</v>
      </c>
      <c r="AK10" s="93">
        <v>34</v>
      </c>
      <c r="AL10" s="93">
        <v>35</v>
      </c>
      <c r="AM10" s="93">
        <v>36</v>
      </c>
      <c r="AN10" s="93">
        <v>37</v>
      </c>
      <c r="AO10" s="93">
        <v>38</v>
      </c>
      <c r="AP10" s="93">
        <v>39</v>
      </c>
      <c r="AQ10" s="93">
        <v>40</v>
      </c>
      <c r="AR10" s="62" t="s">
        <v>9</v>
      </c>
      <c r="AS10" s="119">
        <v>45268.505555555559</v>
      </c>
      <c r="AT10" s="62"/>
      <c r="AU10" s="130" t="s">
        <v>305</v>
      </c>
      <c r="AV10" s="100" t="str" cm="1">
        <f t="array" ref="AV10">Get_GUID_Surname</f>
        <v>冯</v>
      </c>
      <c r="AW10" s="101" t="str" cm="1">
        <f t="array" ref="AW10">Get_GUID_FirstName</f>
        <v>毅</v>
      </c>
      <c r="AX10" s="60" t="str" cm="1">
        <f t="array" ref="AX10">Get_GUID_Sex</f>
        <v>男</v>
      </c>
      <c r="AY10" s="60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5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2023-12-09T19:23:28Z</dcterms:modified>
</cp:coreProperties>
</file>