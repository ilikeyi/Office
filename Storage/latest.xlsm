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ownloads\"/>
    </mc:Choice>
  </mc:AlternateContent>
  <xr:revisionPtr revIDLastSave="0" documentId="13_ncr:1_{03999ADE-B10E-4A3D-854E-7D7BDBFB282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/>
  <c r="AV10" i="5" a="1"/>
  <c r="AV10" i="5" s="1"/>
  <c r="AW10" i="5" a="1"/>
  <c r="AW10" i="5" s="1"/>
  <c r="AX10" i="5" a="1"/>
  <c r="AX10" i="5" s="1"/>
  <c r="AY10" i="5" a="1"/>
  <c r="AY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BR10" i="6" s="1" a="1"/>
  <c r="BR10" i="6" s="1"/>
  <c r="CE10" i="6" a="1"/>
  <c r="CE10" i="6" s="1"/>
  <c r="CD10" i="6" s="1" a="1"/>
  <c r="CD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DK10" i="6" s="1" a="1"/>
  <c r="DK10" i="6" s="1"/>
  <c r="L10" i="6" a="1"/>
  <c r="L10" i="6" s="1"/>
  <c r="X10" i="6" a="1"/>
  <c r="X10" i="6" s="1"/>
  <c r="AJ10" i="6" a="1"/>
  <c r="AJ10" i="6" s="1"/>
  <c r="AV10" i="6" a="1"/>
  <c r="AV10" i="6" s="1"/>
  <c r="AT10" i="6" s="1" a="1"/>
  <c r="AT10" i="6" s="1"/>
  <c r="BH10" i="6" a="1"/>
  <c r="BH10" i="6" s="1"/>
  <c r="BF10" i="6" s="1" a="1"/>
  <c r="BF10" i="6" s="1"/>
  <c r="BT10" i="6" a="1"/>
  <c r="BT10" i="6" s="1"/>
  <c r="CF10" i="6" a="1"/>
  <c r="CF10" i="6" s="1"/>
  <c r="CR10" i="6" a="1"/>
  <c r="CR10" i="6" s="1"/>
  <c r="CP10" i="6" s="1" a="1"/>
  <c r="CP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AZ10" i="6" s="1" a="1"/>
  <c r="AZ10" i="6" s="1"/>
  <c r="CW10" i="6" a="1"/>
  <c r="CW10" i="6" s="1"/>
  <c r="CV10" i="6" s="1" a="1"/>
  <c r="CV10" i="6" s="1"/>
  <c r="AF10" i="6" a="1"/>
  <c r="AF10" i="6" s="1"/>
  <c r="CB10" i="6" a="1"/>
  <c r="CB10" i="6" s="1"/>
  <c r="CA10" i="6" s="1" a="1"/>
  <c r="CA10" i="6" s="1"/>
  <c r="I10" i="6" a="1"/>
  <c r="I10" i="6" s="1"/>
  <c r="O10" i="6" a="1"/>
  <c r="O10" i="6" s="1"/>
  <c r="AA10" i="6" a="1"/>
  <c r="AA10" i="6" s="1"/>
  <c r="AM10" i="6" a="1"/>
  <c r="AM10" i="6" s="1"/>
  <c r="AK10" i="6" s="1" a="1"/>
  <c r="AK10" i="6" s="1"/>
  <c r="AY10" i="6" a="1"/>
  <c r="AY10" i="6" s="1"/>
  <c r="BK10" i="6" a="1"/>
  <c r="BK10" i="6" s="1"/>
  <c r="BI10" i="6" s="1" a="1"/>
  <c r="BI10" i="6" s="1"/>
  <c r="BW10" i="6" a="1"/>
  <c r="BW10" i="6" s="1"/>
  <c r="CI10" i="6" a="1"/>
  <c r="CI10" i="6" s="1"/>
  <c r="CG10" i="6" s="1" a="1"/>
  <c r="CG10" i="6" s="1"/>
  <c r="CU10" i="6" a="1"/>
  <c r="CU10" i="6" s="1"/>
  <c r="DG10" i="6" a="1"/>
  <c r="DG10" i="6" s="1"/>
  <c r="DH10" i="6" a="1"/>
  <c r="DH10" i="6" s="1"/>
  <c r="CY10" i="6" a="1"/>
  <c r="CY10" i="6" s="1"/>
  <c r="CJ10" i="6" a="1"/>
  <c r="CJ10" i="6" s="1"/>
  <c r="BX10" i="6" a="1"/>
  <c r="BX10" i="6" s="1"/>
  <c r="BC10" i="6" a="1"/>
  <c r="BC10" i="6" s="1"/>
  <c r="AQ10" i="6" a="1"/>
  <c r="AQ10" i="6" s="1"/>
  <c r="AN10" i="6" a="1"/>
  <c r="AN10" i="6" s="1"/>
  <c r="AE10" i="6" a="1"/>
  <c r="AE10" i="6" s="1"/>
  <c r="S10" i="6" a="1"/>
  <c r="S10" i="6" s="1"/>
  <c r="P10" i="6" a="1"/>
  <c r="P10" i="6" s="1"/>
  <c r="D10" i="6" a="1"/>
  <c r="D10" i="6" s="1"/>
  <c r="B7" i="8" a="1"/>
  <c r="B7" i="8" s="1"/>
  <c r="H6" i="5"/>
  <c r="I6" i="5"/>
  <c r="B2" i="9"/>
  <c r="B2" i="8"/>
  <c r="C6" i="4"/>
  <c r="Y10" i="6" l="1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7" i="8" l="1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<sst xmlns="http://schemas.openxmlformats.org/spreadsheetml/2006/main" count="380" uniqueCount="313">
  <si>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</si>
  <si>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</si>
  <si>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</si>
  <si>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</si>
  <si>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</si>
  <si>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</si>
  <si>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</si>
  <si>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</si>
  <si>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</si>
  <si>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</si>
  <si>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</si>
  <si>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</si>
  <si>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</si>
  <si>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</si>
  <si>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</si>
  <si>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</si>
  <si>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</si>
  <si>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</si>
  <si>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</si>
  <si>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</si>
  <si>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</si>
  <si>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</si>
  <si>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</si>
  <si>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</si>
  <si>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</si>
  <si>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</si>
  <si>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</si>
  <si>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</si>
  <si>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</si>
  <si>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</si>
  <si>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</si>
  <si>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</si>
  <si>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</si>
  <si>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</si>
  <si>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</si>
  <si>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</si>
  <si>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</si>
  <si>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</si>
  <si>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</si>
  <si>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</si>
  <si>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</si>
  <si>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</si>
  <si>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</si>
  <si>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</si>
  <si>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</si>
  <si>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</si>
  <si>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</si>
  <si>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</si>
  <si>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</si>
  <si>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</si>
  <si>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</si>
  <si>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</si>
  <si>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</si>
  <si>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</si>
  <si>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</si>
  <si>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</si>
  <si>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</si>
  <si>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</si>
  <si>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</si>
  <si>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</si>
  <si>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</si>
  <si>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</si>
  <si>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</si>
  <si>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</si>
  <si>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</si>
  <si>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</si>
  <si>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</si>
  <si>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</si>
  <si>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</si>
  <si>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</si>
  <si>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</si>
  <si>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</si>
  <si>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</si>
  <si>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</si>
  <si>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</si>
  <si>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</si>
  <si>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</si>
  <si>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</si>
  <si>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</si>
  <si>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</si>
  <si>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</si>
  <si>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</si>
  <si>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</si>
  <si>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</si>
  <si>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</si>
  <si>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</si>
  <si>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</si>
  <si>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</si>
  <si>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</si>
  <si>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</si>
  <si>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</si>
  <si>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</si>
  <si>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</si>
  <si>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</si>
  <si>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</si>
  <si>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</si>
  <si>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</si>
  <si>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</si>
  <si>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</si>
  <si>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</si>
  <si>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</si>
  <si>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</si>
  <si>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</si>
  <si>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</si>
  <si>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</si>
  <si>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</si>
  <si>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</si>
  <si>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</si>
  <si>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</si>
  <si>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</si>
  <si>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</si>
  <si>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</si>
  <si>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</si>
  <si>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</si>
  <si>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</si>
  <si>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</si>
  <si>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</si>
  <si>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</si>
  <si>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</si>
  <si>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</si>
  <si>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</si>
  <si>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</si>
  <si>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</si>
  <si>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</si>
  <si>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</si>
  <si>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</si>
  <si>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</si>
  <si>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</si>
  <si>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</si>
  <si>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</si>
  <si>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</si>
  <si>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</si>
  <si>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</si>
  <si>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</si>
  <si>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</si>
  <si>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</si>
  <si>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</si>
  <si>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</si>
  <si>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</si>
  <si>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</si>
  <si>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</si>
  <si>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</si>
  <si>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</si>
  <si>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</si>
  <si>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</si>
  <si>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</si>
  <si>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</si>
  <si>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</si>
  <si>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</si>
  <si>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</si>
  <si>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</si>
  <si>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</si>
  <si>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</si>
  <si>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</si>
  <si>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</si>
  <si>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</si>
  <si>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</si>
  <si>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</si>
  <si>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</si>
  <si>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</si>
  <si>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</si>
  <si>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</si>
  <si>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</si>
  <si>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</si>
  <si>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</si>
  <si>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</si>
  <si>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</si>
  <si>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</si>
  <si>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</si>
  <si>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</si>
  <si>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</si>
  <si>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</si>
  <si>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</si>
  <si>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</si>
  <si>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</si>
  <si>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</si>
  <si>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</si>
  <si>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</si>
  <si>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</si>
  <si>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</si>
  <si>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</si>
  <si>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</si>
  <si>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</si>
  <si>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</si>
  <si>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</si>
  <si>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</si>
  <si>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</si>
  <si>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</si>
  <si>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</si>
  <si>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</si>
  <si>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</si>
  <si>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</si>
  <si>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</si>
  <si>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</si>
  <si>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</si>
  <si>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</si>
  <si>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</si>
  <si>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</si>
  <si>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</si>
  <si>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</si>
  <si>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</si>
  <si>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</si>
  <si>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</si>
  <si>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</si>
  <si>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</si>
  <si>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</si>
  <si>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</si>
  <si>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</si>
  <si>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</si>
  <si>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</si>
  <si>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</si>
  <si>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</si>
  <si>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</si>
  <si>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</si>
  <si>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</si>
  <si>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</si>
  <si>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</si>
  <si>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</si>
  <si>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</si>
  <si>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</si>
  <si>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</si>
  <si>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</si>
  <si>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</si>
  <si>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</si>
  <si>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</si>
  <si>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</si>
  <si>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</si>
  <si>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</si>
  <si>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</si>
  <si>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</si>
  <si>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</si>
  <si>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</si>
  <si>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</si>
  <si>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</si>
  <si>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</si>
  <si>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</si>
  <si>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</si>
  <si>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</si>
  <si>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</si>
  <si>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</si>
  <si>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</si>
  <si>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</si>
  <si>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</si>
  <si>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</si>
  <si>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</si>
  <si>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</si>
  <si>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</si>
  <si>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</si>
  <si>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</si>
  <si>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</si>
  <si>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</si>
  <si>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</si>
  <si>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</si>
  <si>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</si>
  <si>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</si>
  <si>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</si>
  <si>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</si>
  <si>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</si>
  <si>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</si>
  <si>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</si>
  <si>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</si>
  <si>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</si>
  <si>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</si>
  <si>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</si>
  <si>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</si>
  <si>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</si>
  <si>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</si>
  <si>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</si>
  <si>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</si>
  <si>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</si>
  <si>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</si>
  <si>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</si>
  <si>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</si>
  <si>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</si>
  <si>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</si>
  <si>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</si>
  <si>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</si>
  <si>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</si>
  <si>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</si>
  <si>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</si>
  <si>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</si>
  <si>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</si>
  <si>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</si>
  <si>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</si>
  <si>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</si>
  <si>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</si>
  <si>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</si>
  <si>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</si>
  <si>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</si>
  <si>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</si>
  <si>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</si>
  <si>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</si>
  <si>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</si>
  <si>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</si>
  <si>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</si>
  <si>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</si>
  <si>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</si>
  <si>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</si>
  <si>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</si>
  <si>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</si>
  <si>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</si>
  <si>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</si>
  <si>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</si>
  <si>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</si>
  <si>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</si>
  <si>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</si>
  <si>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</si>
  <si>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</si>
  <si>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</si>
  <si>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李怡 | 女</t>
  </si>
  <si>
    <t>冯毅</t>
  </si>
  <si>
    <t>李怡</t>
  </si>
  <si>
    <t>1 |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</si>
</sst>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108857</xdr:rowOff>
        </xdr:from>
        <xdr:to>
          <xdr:col>2</xdr:col>
          <xdr:colOff>925286</xdr:colOff>
          <xdr:row>5</xdr:row>
          <xdr:rowOff>429986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108857</xdr:rowOff>
        </xdr:from>
        <xdr:to>
          <xdr:col>2</xdr:col>
          <xdr:colOff>1894114</xdr:colOff>
          <xdr:row>5</xdr:row>
          <xdr:rowOff>429986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75" customHeight="1" thickTop="1" x14ac:dyDescent="0.4">
      <c r="B9" s="1"/>
      <c r="C9" s="137">
        <v>1</v>
      </c>
      <c r="D9" s="49" t="s">
        <v>306</v>
      </c>
      <c r="E9" s="137"/>
      <c r="F9" s="136"/>
      <c r="G9" s="137"/>
      <c r="H9" s="137"/>
      <c r="I9" s="137"/>
      <c r="J9" s="137"/>
      <c r="K9" s="137"/>
      <c r="L9" s="137"/>
      <c r="M9" s="137"/>
      <c r="N9" s="137"/>
      <c r="O9" s="137"/>
      <c r="P9" s="1"/>
    </row>
    <row r="10" spans="1:17" ht="40" customHeight="1" x14ac:dyDescent="0.4">
      <c r="B10" s="1"/>
      <c r="C10" s="1">
        <v>1</v>
      </c>
      <c r="D10" s="49" t="s">
        <v>251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1</v>
      </c>
      <c r="D11" s="49" t="s">
        <v>286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-1</v>
      </c>
      <c r="D12" s="49" t="s">
        <v>287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>
        <v>1</v>
      </c>
      <c r="D13" s="49" t="s">
        <v>269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9" t="s">
        <v>277</v>
      </c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/>
      <c r="D15" s="42"/>
      <c r="E15" s="1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thickBot="1" x14ac:dyDescent="0.45">
      <c r="B16" s="1"/>
      <c r="C16" s="55" t="s">
        <v>135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1"/>
    </row>
    <row r="17" spans="2:16" ht="40" customHeight="1" thickTop="1" x14ac:dyDescent="0.4">
      <c r="B17" s="1"/>
      <c r="C17" s="1">
        <v>1</v>
      </c>
      <c r="D17" s="1" t="s">
        <v>137</v>
      </c>
      <c r="E17" s="23" t="s">
        <v>138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243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23" t="s">
        <v>264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241</v>
      </c>
      <c r="E20" s="23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245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/>
      <c r="D22" s="1"/>
      <c r="E22" s="23" t="s">
        <v>265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>
        <v>1</v>
      </c>
      <c r="D23" s="1" t="s">
        <v>124</v>
      </c>
      <c r="E23" s="23" t="s">
        <v>278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262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279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299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23" t="s">
        <v>247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>
        <v>1</v>
      </c>
      <c r="D29" s="1" t="s">
        <v>26</v>
      </c>
      <c r="E29" s="23" t="s">
        <v>238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/>
      <c r="D30" s="1"/>
      <c r="E30" s="23" t="s">
        <v>237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139</v>
      </c>
      <c r="E31" s="23" t="s">
        <v>280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239</v>
      </c>
      <c r="E32" s="23" t="s">
        <v>282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>
        <v>1</v>
      </c>
      <c r="D33" s="1" t="s">
        <v>240</v>
      </c>
      <c r="E33" s="23" t="s">
        <v>281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/>
      <c r="D34" s="1"/>
      <c r="E34" s="23" t="s">
        <v>242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1" t="s">
        <v>90</v>
      </c>
      <c r="E35" s="100">
        <v>1</v>
      </c>
      <c r="F35" s="101" t="s">
        <v>246</v>
      </c>
      <c r="G35" s="1"/>
      <c r="H35" s="100">
        <v>1</v>
      </c>
      <c r="I35" s="135" t="s">
        <v>304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0</v>
      </c>
      <c r="F36" s="101" t="s">
        <v>85</v>
      </c>
      <c r="G36" s="1"/>
      <c r="H36" s="100">
        <v>0</v>
      </c>
      <c r="I36" s="135" t="s">
        <v>303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1"/>
      <c r="E37" s="100">
        <v>-0.01</v>
      </c>
      <c r="F37" s="101" t="s">
        <v>86</v>
      </c>
      <c r="G37" s="1"/>
      <c r="H37" s="100">
        <v>-0.01</v>
      </c>
      <c r="I37" s="135" t="s">
        <v>305</v>
      </c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260</v>
      </c>
      <c r="E38" s="23" t="s">
        <v>261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>
        <v>1</v>
      </c>
      <c r="D39" s="1" t="s">
        <v>294</v>
      </c>
      <c r="E39" s="23" t="s">
        <v>295</v>
      </c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x14ac:dyDescent="0.4">
      <c r="B40" s="1"/>
      <c r="C40" s="1"/>
      <c r="D40" s="1"/>
      <c r="E40" s="1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55" t="s">
        <v>252</v>
      </c>
      <c r="D41" s="54"/>
      <c r="E41" s="53"/>
      <c r="F41" s="55"/>
      <c r="G41" s="53"/>
      <c r="H41" s="53"/>
      <c r="I41" s="53"/>
      <c r="J41" s="53"/>
      <c r="K41" s="53"/>
      <c r="L41" s="53"/>
      <c r="M41" s="53"/>
      <c r="N41" s="53"/>
      <c r="O41" s="53"/>
      <c r="P41" s="1"/>
    </row>
    <row r="42" spans="2:16" ht="40" customHeight="1" thickTop="1" x14ac:dyDescent="0.4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x14ac:dyDescent="0.4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4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thickBot="1" x14ac:dyDescent="0.45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45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40" customHeight="1" x14ac:dyDescent="0.4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5" customHeight="1" x14ac:dyDescent="0.4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4"/>
  </sheetData>
  <sheetProtection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E35:E38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H35:H37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259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0" t="s">
        <v>301</v>
      </c>
      <c r="H9" s="144" t="s">
        <v>226</v>
      </c>
      <c r="I9" s="144"/>
      <c r="J9" s="144"/>
      <c r="K9" s="145" t="s">
        <v>248</v>
      </c>
      <c r="L9" s="145"/>
      <c r="M9" s="145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1" t="s">
        <v>300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2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2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2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2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2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2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2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2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2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2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2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2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2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2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2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2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2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2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2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2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2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2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2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2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2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2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2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2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2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2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2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2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2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2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2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2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2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2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2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2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 t="s">
        <v>311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 t="s">
        <v>310</v>
      </c>
      <c r="E53" s="73" t="s">
        <v>311</v>
      </c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28"/>
      <c r="D55" s="129"/>
      <c r="E55" s="129"/>
      <c r="F55" s="129"/>
      <c r="G55" s="129"/>
      <c r="H55" s="129"/>
      <c r="I55" s="129"/>
      <c r="J55" s="129"/>
      <c r="K55" s="129"/>
      <c r="L55" s="129"/>
      <c r="M55" s="129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28"/>
      <c r="D61" s="129"/>
      <c r="E61" s="129"/>
      <c r="F61" s="129"/>
      <c r="G61" s="129"/>
      <c r="H61" s="129"/>
      <c r="I61" s="129"/>
      <c r="J61" s="129"/>
      <c r="K61" s="129"/>
      <c r="L61" s="129"/>
      <c r="M61" s="129"/>
    </row>
    <row r="62" spans="2:13" ht="40" customHeight="1" x14ac:dyDescent="0.4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28"/>
      <c r="D63" s="129"/>
      <c r="E63" s="129"/>
      <c r="F63" s="129"/>
      <c r="G63" s="129"/>
      <c r="H63" s="129"/>
      <c r="I63" s="129"/>
      <c r="J63" s="129"/>
      <c r="K63" s="129"/>
      <c r="L63" s="129"/>
      <c r="M63" s="129"/>
    </row>
    <row r="64" spans="2:13" ht="40" customHeight="1" x14ac:dyDescent="0.4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40" customHeight="1" x14ac:dyDescent="0.4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28"/>
      <c r="D66" s="129"/>
      <c r="E66" s="129"/>
      <c r="F66" s="129"/>
      <c r="G66" s="129"/>
      <c r="H66" s="129"/>
      <c r="I66" s="129"/>
      <c r="J66" s="129"/>
      <c r="K66" s="129"/>
      <c r="L66" s="129"/>
      <c r="M66" s="129"/>
    </row>
    <row r="67" spans="2:13" ht="40" customHeight="1" x14ac:dyDescent="0.4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301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302</v>
      </c>
      <c r="D74" s="39"/>
      <c r="E74" s="39"/>
    </row>
    <row r="75" spans="2:13" ht="16" customHeight="1" x14ac:dyDescent="0.4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3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34">
        <v>-1</v>
      </c>
      <c r="F10" s="64"/>
    </row>
    <row r="11" spans="2:6" ht="35.15" customHeight="1" x14ac:dyDescent="0.4">
      <c r="C11" s="13" t="s">
        <v>223</v>
      </c>
      <c r="D11" s="71"/>
      <c r="E11" s="134">
        <v>-1</v>
      </c>
      <c r="F11" s="64"/>
    </row>
    <row r="12" spans="2:6" ht="35.15" customHeight="1" x14ac:dyDescent="0.4">
      <c r="C12" s="13" t="s">
        <v>228</v>
      </c>
      <c r="D12" s="37"/>
      <c r="E12" s="133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292</v>
      </c>
      <c r="C16" s="13" t="s">
        <v>6</v>
      </c>
      <c r="D16" s="36" t="s">
        <v>311</v>
      </c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6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 t="s">
        <v>312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102">
        <v>45268.505555555559</v>
      </c>
      <c r="J7" s="58"/>
      <c r="K7" s="108" t="s">
        <v>296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3">
        <v>-1</v>
      </c>
    </row>
    <row r="9" spans="1:5" ht="35.15" customHeight="1" x14ac:dyDescent="0.4">
      <c r="C9" s="70" t="s">
        <v>28</v>
      </c>
      <c r="D9" s="9"/>
      <c r="E9" s="134">
        <v>-1</v>
      </c>
    </row>
    <row r="10" spans="1:5" ht="35.15" customHeight="1" x14ac:dyDescent="0.4">
      <c r="C10" s="70" t="s">
        <v>1</v>
      </c>
      <c r="D10" s="9"/>
      <c r="E10" s="134"/>
    </row>
    <row r="11" spans="1:5" ht="35.15" customHeight="1" x14ac:dyDescent="0.4">
      <c r="C11" s="70" t="s">
        <v>22</v>
      </c>
      <c r="D11" s="9"/>
      <c r="E11" s="134"/>
    </row>
    <row r="12" spans="1:5" ht="35.15" customHeight="1" x14ac:dyDescent="0.4">
      <c r="C12" s="70" t="s">
        <v>21</v>
      </c>
      <c r="D12" s="60"/>
      <c r="E12" s="134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34">
        <v>-1</v>
      </c>
    </row>
    <row r="15" spans="1:5" ht="35.15" customHeight="1" x14ac:dyDescent="0.4">
      <c r="C15" s="70" t="s">
        <v>23</v>
      </c>
      <c r="D15" s="9"/>
      <c r="E15" s="134"/>
    </row>
    <row r="16" spans="1:5" ht="75" customHeight="1" x14ac:dyDescent="0.4">
      <c r="C16" s="70" t="s">
        <v>24</v>
      </c>
      <c r="D16" s="16"/>
      <c r="E16" s="133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292</v>
      </c>
      <c r="C20" s="70" t="s">
        <v>6</v>
      </c>
      <c r="D20" s="9" t="s">
        <v>311</v>
      </c>
    </row>
    <row r="21" spans="2:5" ht="15" customHeight="1" x14ac:dyDescent="0.4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7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8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14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3"/>
    </row>
    <row r="4" spans="1:135" ht="6" customHeight="1" x14ac:dyDescent="0.3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19"/>
      <c r="DU4" s="119"/>
      <c r="DV4" s="119"/>
      <c r="DW4" s="119"/>
      <c r="DX4" s="119"/>
      <c r="DY4" s="119"/>
      <c r="DZ4" s="123"/>
      <c r="EA4" s="123"/>
      <c r="EB4" s="119"/>
      <c r="EC4" s="123"/>
      <c r="ED4" s="123"/>
      <c r="EE4" s="113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3"/>
    </row>
    <row r="6" spans="1:135" ht="40" customHeight="1" x14ac:dyDescent="0.3">
      <c r="D6" s="110">
        <f>设置!F11</f>
        <v>1</v>
      </c>
      <c r="E6" s="146" t="str">
        <f>设置!F11 &amp;" - 历史记录"</f>
        <v>1 - 历史记录</v>
      </c>
      <c r="F6" s="146"/>
      <c r="G6" s="111">
        <f>设置!F12</f>
        <v>2</v>
      </c>
      <c r="H6" s="147" t="str">
        <f>设置!F12 &amp;" - 历史记录"</f>
        <v>2 - 历史记录</v>
      </c>
      <c r="I6" s="147"/>
      <c r="J6" s="110">
        <f>设置!F13</f>
        <v>3</v>
      </c>
      <c r="K6" s="146" t="str">
        <f>设置!F13 &amp;" - 历史记录"</f>
        <v>3 - 历史记录</v>
      </c>
      <c r="L6" s="146"/>
      <c r="M6" s="111">
        <f>设置!F14</f>
        <v>4</v>
      </c>
      <c r="N6" s="147" t="str">
        <f>设置!F14 &amp;" - 历史记录"</f>
        <v>4 - 历史记录</v>
      </c>
      <c r="O6" s="147"/>
      <c r="P6" s="110">
        <f>设置!F15</f>
        <v>5</v>
      </c>
      <c r="Q6" s="146" t="str">
        <f>设置!F15 &amp;" - 历史记录"</f>
        <v>5 - 历史记录</v>
      </c>
      <c r="R6" s="146"/>
      <c r="S6" s="111">
        <f>设置!F16</f>
        <v>6</v>
      </c>
      <c r="T6" s="147" t="str">
        <f>设置!F16 &amp;" - 历史记录"</f>
        <v>6 - 历史记录</v>
      </c>
      <c r="U6" s="147"/>
      <c r="V6" s="110">
        <f>设置!F17</f>
        <v>7</v>
      </c>
      <c r="W6" s="146" t="str">
        <f>设置!F17 &amp;" - 历史记录"</f>
        <v>7 - 历史记录</v>
      </c>
      <c r="X6" s="146"/>
      <c r="Y6" s="111">
        <f>设置!F18</f>
        <v>8</v>
      </c>
      <c r="Z6" s="147" t="str">
        <f>设置!F18 &amp;" - 历史记录"</f>
        <v>8 - 历史记录</v>
      </c>
      <c r="AA6" s="147"/>
      <c r="AB6" s="110">
        <f>设置!F19</f>
        <v>9</v>
      </c>
      <c r="AC6" s="146" t="str">
        <f>设置!F19 &amp;" - 历史记录"</f>
        <v>9 - 历史记录</v>
      </c>
      <c r="AD6" s="146"/>
      <c r="AE6" s="111">
        <f>设置!F20</f>
        <v>10</v>
      </c>
      <c r="AF6" s="147" t="str">
        <f>设置!F20 &amp;" - 历史记录"</f>
        <v>10 - 历史记录</v>
      </c>
      <c r="AG6" s="147"/>
      <c r="AH6" s="110">
        <f>设置!F21</f>
        <v>11</v>
      </c>
      <c r="AI6" s="146" t="str">
        <f>设置!F21 &amp;" - 历史记录"</f>
        <v>11 - 历史记录</v>
      </c>
      <c r="AJ6" s="146"/>
      <c r="AK6" s="111">
        <f>设置!F22</f>
        <v>12</v>
      </c>
      <c r="AL6" s="147" t="str">
        <f>设置!F22 &amp;" - 历史记录"</f>
        <v>12 - 历史记录</v>
      </c>
      <c r="AM6" s="147"/>
      <c r="AN6" s="110">
        <f>设置!F23</f>
        <v>13</v>
      </c>
      <c r="AO6" s="146" t="str">
        <f>设置!F23 &amp;" - 历史记录"</f>
        <v>13 - 历史记录</v>
      </c>
      <c r="AP6" s="146"/>
      <c r="AQ6" s="111">
        <f>设置!F24</f>
        <v>14</v>
      </c>
      <c r="AR6" s="147" t="str">
        <f>设置!F24 &amp;" - 历史记录"</f>
        <v>14 - 历史记录</v>
      </c>
      <c r="AS6" s="147"/>
      <c r="AT6" s="110">
        <f>设置!F25</f>
        <v>15</v>
      </c>
      <c r="AU6" s="146" t="str">
        <f>设置!F25 &amp;" - 历史记录"</f>
        <v>15 - 历史记录</v>
      </c>
      <c r="AV6" s="146"/>
      <c r="AW6" s="111">
        <f>设置!F26</f>
        <v>16</v>
      </c>
      <c r="AX6" s="147" t="str">
        <f>设置!F26 &amp;" - 历史记录"</f>
        <v>16 - 历史记录</v>
      </c>
      <c r="AY6" s="147"/>
      <c r="AZ6" s="110">
        <f>设置!F27</f>
        <v>17</v>
      </c>
      <c r="BA6" s="146" t="str">
        <f>设置!F27 &amp;" - 历史记录"</f>
        <v>17 - 历史记录</v>
      </c>
      <c r="BB6" s="146"/>
      <c r="BC6" s="111">
        <f>设置!F28</f>
        <v>18</v>
      </c>
      <c r="BD6" s="147" t="str">
        <f>设置!F28 &amp;" - 历史记录"</f>
        <v>18 - 历史记录</v>
      </c>
      <c r="BE6" s="147"/>
      <c r="BF6" s="110">
        <f>设置!F29</f>
        <v>19</v>
      </c>
      <c r="BG6" s="146" t="str">
        <f>设置!F29 &amp;" - 历史记录"</f>
        <v>19 - 历史记录</v>
      </c>
      <c r="BH6" s="146"/>
      <c r="BI6" s="111">
        <f>设置!F30</f>
        <v>20</v>
      </c>
      <c r="BJ6" s="147" t="str">
        <f>设置!F30 &amp;" - 历史记录"</f>
        <v>20 - 历史记录</v>
      </c>
      <c r="BK6" s="147"/>
      <c r="BL6" s="112">
        <f>设置!F31</f>
        <v>21</v>
      </c>
      <c r="BM6" s="148" t="str">
        <f>设置!F31 &amp;" - 历史记录"</f>
        <v>21 - 历史记录</v>
      </c>
      <c r="BN6" s="148"/>
      <c r="BO6" s="111">
        <f>设置!F32</f>
        <v>22</v>
      </c>
      <c r="BP6" s="147" t="str">
        <f>设置!F32 &amp;" - 历史记录"</f>
        <v>22 - 历史记录</v>
      </c>
      <c r="BQ6" s="147"/>
      <c r="BR6" s="112">
        <f>设置!F33</f>
        <v>23</v>
      </c>
      <c r="BS6" s="148" t="str">
        <f>设置!F33 &amp;" - 历史记录"</f>
        <v>23 - 历史记录</v>
      </c>
      <c r="BT6" s="148"/>
      <c r="BU6" s="111">
        <f>设置!F34</f>
        <v>24</v>
      </c>
      <c r="BV6" s="147" t="str">
        <f>设置!F34 &amp;" - 历史记录"</f>
        <v>24 - 历史记录</v>
      </c>
      <c r="BW6" s="147"/>
      <c r="BX6" s="112">
        <f>设置!F35</f>
        <v>25</v>
      </c>
      <c r="BY6" s="148" t="str">
        <f>设置!F35 &amp;" - 历史记录"</f>
        <v>25 - 历史记录</v>
      </c>
      <c r="BZ6" s="148"/>
      <c r="CA6" s="111">
        <f>设置!F36</f>
        <v>26</v>
      </c>
      <c r="CB6" s="147" t="str">
        <f>设置!F36 &amp;" - 历史记录"</f>
        <v>26 - 历史记录</v>
      </c>
      <c r="CC6" s="147"/>
      <c r="CD6" s="112">
        <f>设置!F37</f>
        <v>27</v>
      </c>
      <c r="CE6" s="148" t="str">
        <f>设置!F37 &amp;" - 历史记录"</f>
        <v>27 - 历史记录</v>
      </c>
      <c r="CF6" s="148"/>
      <c r="CG6" s="111">
        <f>设置!F38</f>
        <v>28</v>
      </c>
      <c r="CH6" s="147" t="str">
        <f>设置!F38 &amp;" - 历史记录"</f>
        <v>28 - 历史记录</v>
      </c>
      <c r="CI6" s="147"/>
      <c r="CJ6" s="112">
        <f>设置!F39</f>
        <v>29</v>
      </c>
      <c r="CK6" s="148" t="str">
        <f>设置!F39 &amp;" - 历史记录"</f>
        <v>29 - 历史记录</v>
      </c>
      <c r="CL6" s="148"/>
      <c r="CM6" s="111">
        <f>设置!F40</f>
        <v>30</v>
      </c>
      <c r="CN6" s="147" t="str">
        <f>设置!F40 &amp;" - 历史记录"</f>
        <v>30 - 历史记录</v>
      </c>
      <c r="CO6" s="147"/>
      <c r="CP6" s="112">
        <f>设置!F41</f>
        <v>31</v>
      </c>
      <c r="CQ6" s="148" t="str">
        <f>设置!F41 &amp;" - 历史记录"</f>
        <v>31 - 历史记录</v>
      </c>
      <c r="CR6" s="148"/>
      <c r="CS6" s="111">
        <f>设置!F42</f>
        <v>32</v>
      </c>
      <c r="CT6" s="147" t="str">
        <f>设置!F42 &amp;" - 历史记录"</f>
        <v>32 - 历史记录</v>
      </c>
      <c r="CU6" s="147"/>
      <c r="CV6" s="112">
        <f>设置!F43</f>
        <v>33</v>
      </c>
      <c r="CW6" s="148" t="str">
        <f>设置!F43 &amp;" - 历史记录"</f>
        <v>33 - 历史记录</v>
      </c>
      <c r="CX6" s="148"/>
      <c r="CY6" s="111">
        <f>设置!F44</f>
        <v>34</v>
      </c>
      <c r="CZ6" s="147" t="str">
        <f>设置!F44 &amp;" - 历史记录"</f>
        <v>34 - 历史记录</v>
      </c>
      <c r="DA6" s="147"/>
      <c r="DB6" s="112">
        <f>设置!F45</f>
        <v>35</v>
      </c>
      <c r="DC6" s="148" t="str">
        <f>设置!F45 &amp;" - 历史记录"</f>
        <v>35 - 历史记录</v>
      </c>
      <c r="DD6" s="148"/>
      <c r="DE6" s="111">
        <f>设置!F46</f>
        <v>36</v>
      </c>
      <c r="DF6" s="147" t="str">
        <f>设置!F46 &amp;" - 历史记录"</f>
        <v>36 - 历史记录</v>
      </c>
      <c r="DG6" s="147"/>
      <c r="DH6" s="112">
        <f>设置!F47</f>
        <v>37</v>
      </c>
      <c r="DI6" s="148" t="str">
        <f>设置!F47 &amp;" - 历史记录"</f>
        <v>37 - 历史记录</v>
      </c>
      <c r="DJ6" s="148"/>
      <c r="DK6" s="111">
        <f>设置!F48</f>
        <v>38</v>
      </c>
      <c r="DL6" s="147" t="str">
        <f>设置!F48 &amp;" - 历史记录"</f>
        <v>38 - 历史记录</v>
      </c>
      <c r="DM6" s="147"/>
      <c r="DN6" s="112">
        <f>设置!F49</f>
        <v>39</v>
      </c>
      <c r="DO6" s="148" t="str">
        <f>设置!F49 &amp;" - 历史记录"</f>
        <v>39 - 历史记录</v>
      </c>
      <c r="DP6" s="148"/>
      <c r="DQ6" s="111">
        <f>设置!F50</f>
        <v>40</v>
      </c>
      <c r="DR6" s="147" t="str">
        <f>设置!F50 &amp;" - 历史记录"</f>
        <v>40 - 历史记录</v>
      </c>
      <c r="DS6" s="147"/>
      <c r="DT6" s="146" t="s">
        <v>72</v>
      </c>
      <c r="DU6" s="146"/>
      <c r="DV6" s="146"/>
      <c r="DW6" s="146"/>
      <c r="DX6" s="146"/>
      <c r="DY6" s="146" t="s">
        <v>89</v>
      </c>
      <c r="DZ6" s="146"/>
      <c r="EA6" s="146"/>
      <c r="EB6" s="146" t="s">
        <v>293</v>
      </c>
      <c r="EC6" s="146"/>
      <c r="ED6" s="126"/>
      <c r="EE6" s="113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3"/>
    </row>
    <row r="8" spans="1:135" ht="40" customHeight="1" x14ac:dyDescent="0.3">
      <c r="A8" s="113"/>
      <c r="B8" s="114" t="s">
        <v>0</v>
      </c>
      <c r="C8" s="114" t="s">
        <v>3</v>
      </c>
      <c r="D8" s="114" t="s">
        <v>126</v>
      </c>
      <c r="E8" s="114" t="s">
        <v>81</v>
      </c>
      <c r="F8" s="114" t="s">
        <v>80</v>
      </c>
      <c r="G8" s="114" t="s">
        <v>71</v>
      </c>
      <c r="H8" s="114" t="s">
        <v>79</v>
      </c>
      <c r="I8" s="114" t="s">
        <v>78</v>
      </c>
      <c r="J8" s="114" t="s">
        <v>58</v>
      </c>
      <c r="K8" s="114" t="s">
        <v>42</v>
      </c>
      <c r="L8" s="114" t="s">
        <v>77</v>
      </c>
      <c r="M8" s="114" t="s">
        <v>59</v>
      </c>
      <c r="N8" s="114" t="s">
        <v>43</v>
      </c>
      <c r="O8" s="114" t="s">
        <v>76</v>
      </c>
      <c r="P8" s="114" t="s">
        <v>60</v>
      </c>
      <c r="Q8" s="114" t="s">
        <v>44</v>
      </c>
      <c r="R8" s="114" t="s">
        <v>75</v>
      </c>
      <c r="S8" s="114" t="s">
        <v>61</v>
      </c>
      <c r="T8" s="114" t="s">
        <v>45</v>
      </c>
      <c r="U8" s="114" t="s">
        <v>68</v>
      </c>
      <c r="V8" s="114" t="s">
        <v>62</v>
      </c>
      <c r="W8" s="114" t="s">
        <v>46</v>
      </c>
      <c r="X8" s="114" t="s">
        <v>51</v>
      </c>
      <c r="Y8" s="114" t="s">
        <v>63</v>
      </c>
      <c r="Z8" s="114" t="s">
        <v>47</v>
      </c>
      <c r="AA8" s="114" t="s">
        <v>52</v>
      </c>
      <c r="AB8" s="114" t="s">
        <v>64</v>
      </c>
      <c r="AC8" s="114" t="s">
        <v>48</v>
      </c>
      <c r="AD8" s="114" t="s">
        <v>53</v>
      </c>
      <c r="AE8" s="114" t="s">
        <v>65</v>
      </c>
      <c r="AF8" s="114" t="s">
        <v>49</v>
      </c>
      <c r="AG8" s="114" t="s">
        <v>54</v>
      </c>
      <c r="AH8" s="114" t="s">
        <v>66</v>
      </c>
      <c r="AI8" s="114" t="s">
        <v>50</v>
      </c>
      <c r="AJ8" s="114" t="s">
        <v>55</v>
      </c>
      <c r="AK8" s="114" t="s">
        <v>67</v>
      </c>
      <c r="AL8" s="114" t="s">
        <v>56</v>
      </c>
      <c r="AM8" s="114" t="s">
        <v>57</v>
      </c>
      <c r="AN8" s="114" t="s">
        <v>101</v>
      </c>
      <c r="AO8" s="114" t="s">
        <v>102</v>
      </c>
      <c r="AP8" s="114" t="s">
        <v>100</v>
      </c>
      <c r="AQ8" s="114" t="s">
        <v>105</v>
      </c>
      <c r="AR8" s="114" t="s">
        <v>104</v>
      </c>
      <c r="AS8" s="114" t="s">
        <v>103</v>
      </c>
      <c r="AT8" s="114" t="s">
        <v>111</v>
      </c>
      <c r="AU8" s="114" t="s">
        <v>110</v>
      </c>
      <c r="AV8" s="114" t="s">
        <v>108</v>
      </c>
      <c r="AW8" s="114" t="s">
        <v>107</v>
      </c>
      <c r="AX8" s="114" t="s">
        <v>106</v>
      </c>
      <c r="AY8" s="114" t="s">
        <v>109</v>
      </c>
      <c r="AZ8" s="114" t="s">
        <v>114</v>
      </c>
      <c r="BA8" s="114" t="s">
        <v>113</v>
      </c>
      <c r="BB8" s="114" t="s">
        <v>112</v>
      </c>
      <c r="BC8" s="114" t="s">
        <v>115</v>
      </c>
      <c r="BD8" s="114" t="s">
        <v>116</v>
      </c>
      <c r="BE8" s="114" t="s">
        <v>117</v>
      </c>
      <c r="BF8" s="114" t="s">
        <v>118</v>
      </c>
      <c r="BG8" s="114" t="s">
        <v>119</v>
      </c>
      <c r="BH8" s="114" t="s">
        <v>120</v>
      </c>
      <c r="BI8" s="114" t="s">
        <v>121</v>
      </c>
      <c r="BJ8" s="114" t="s">
        <v>122</v>
      </c>
      <c r="BK8" s="114" t="s">
        <v>123</v>
      </c>
      <c r="BL8" s="114" t="s">
        <v>161</v>
      </c>
      <c r="BM8" s="114" t="s">
        <v>162</v>
      </c>
      <c r="BN8" s="114" t="s">
        <v>160</v>
      </c>
      <c r="BO8" s="114" t="s">
        <v>163</v>
      </c>
      <c r="BP8" s="114" t="s">
        <v>164</v>
      </c>
      <c r="BQ8" s="114" t="s">
        <v>165</v>
      </c>
      <c r="BR8" s="114" t="s">
        <v>166</v>
      </c>
      <c r="BS8" s="114" t="s">
        <v>167</v>
      </c>
      <c r="BT8" s="114" t="s">
        <v>168</v>
      </c>
      <c r="BU8" s="114" t="s">
        <v>169</v>
      </c>
      <c r="BV8" s="114" t="s">
        <v>170</v>
      </c>
      <c r="BW8" s="114" t="s">
        <v>171</v>
      </c>
      <c r="BX8" s="114" t="s">
        <v>172</v>
      </c>
      <c r="BY8" s="114" t="s">
        <v>173</v>
      </c>
      <c r="BZ8" s="114" t="s">
        <v>174</v>
      </c>
      <c r="CA8" s="114" t="s">
        <v>175</v>
      </c>
      <c r="CB8" s="114" t="s">
        <v>176</v>
      </c>
      <c r="CC8" s="114" t="s">
        <v>177</v>
      </c>
      <c r="CD8" s="114" t="s">
        <v>178</v>
      </c>
      <c r="CE8" s="114" t="s">
        <v>179</v>
      </c>
      <c r="CF8" s="114" t="s">
        <v>180</v>
      </c>
      <c r="CG8" s="114" t="s">
        <v>181</v>
      </c>
      <c r="CH8" s="114" t="s">
        <v>182</v>
      </c>
      <c r="CI8" s="114" t="s">
        <v>183</v>
      </c>
      <c r="CJ8" s="114" t="s">
        <v>184</v>
      </c>
      <c r="CK8" s="114" t="s">
        <v>185</v>
      </c>
      <c r="CL8" s="114" t="s">
        <v>186</v>
      </c>
      <c r="CM8" s="114" t="s">
        <v>187</v>
      </c>
      <c r="CN8" s="114" t="s">
        <v>188</v>
      </c>
      <c r="CO8" s="114" t="s">
        <v>189</v>
      </c>
      <c r="CP8" s="114" t="s">
        <v>190</v>
      </c>
      <c r="CQ8" s="114" t="s">
        <v>191</v>
      </c>
      <c r="CR8" s="114" t="s">
        <v>192</v>
      </c>
      <c r="CS8" s="114" t="s">
        <v>193</v>
      </c>
      <c r="CT8" s="114" t="s">
        <v>194</v>
      </c>
      <c r="CU8" s="114" t="s">
        <v>195</v>
      </c>
      <c r="CV8" s="114" t="s">
        <v>196</v>
      </c>
      <c r="CW8" s="114" t="s">
        <v>197</v>
      </c>
      <c r="CX8" s="114" t="s">
        <v>198</v>
      </c>
      <c r="CY8" s="114" t="s">
        <v>199</v>
      </c>
      <c r="CZ8" s="114" t="s">
        <v>200</v>
      </c>
      <c r="DA8" s="114" t="s">
        <v>201</v>
      </c>
      <c r="DB8" s="114" t="s">
        <v>202</v>
      </c>
      <c r="DC8" s="114" t="s">
        <v>203</v>
      </c>
      <c r="DD8" s="114" t="s">
        <v>204</v>
      </c>
      <c r="DE8" s="114" t="s">
        <v>205</v>
      </c>
      <c r="DF8" s="114" t="s">
        <v>206</v>
      </c>
      <c r="DG8" s="114" t="s">
        <v>207</v>
      </c>
      <c r="DH8" s="114" t="s">
        <v>209</v>
      </c>
      <c r="DI8" s="114" t="s">
        <v>210</v>
      </c>
      <c r="DJ8" s="114" t="s">
        <v>208</v>
      </c>
      <c r="DK8" s="114" t="s">
        <v>211</v>
      </c>
      <c r="DL8" s="114" t="s">
        <v>212</v>
      </c>
      <c r="DM8" s="114" t="s">
        <v>213</v>
      </c>
      <c r="DN8" s="114" t="s">
        <v>214</v>
      </c>
      <c r="DO8" s="114" t="s">
        <v>215</v>
      </c>
      <c r="DP8" s="114" t="s">
        <v>216</v>
      </c>
      <c r="DQ8" s="114" t="s">
        <v>217</v>
      </c>
      <c r="DR8" s="114" t="s">
        <v>218</v>
      </c>
      <c r="DS8" s="114" t="s">
        <v>219</v>
      </c>
      <c r="DT8" s="114" t="s">
        <v>27</v>
      </c>
      <c r="DU8" s="114" t="s">
        <v>28</v>
      </c>
      <c r="DV8" s="114" t="s">
        <v>1</v>
      </c>
      <c r="DW8" s="114" t="s">
        <v>22</v>
      </c>
      <c r="DX8" s="114" t="s">
        <v>21</v>
      </c>
      <c r="DY8" s="114" t="s">
        <v>2</v>
      </c>
      <c r="DZ8" s="124" t="s">
        <v>23</v>
      </c>
      <c r="EA8" s="124" t="s">
        <v>24</v>
      </c>
      <c r="EB8" s="120" t="s">
        <v>73</v>
      </c>
      <c r="EC8" s="124" t="s">
        <v>74</v>
      </c>
      <c r="ED8" s="124" t="s">
        <v>7</v>
      </c>
      <c r="EE8" s="113"/>
    </row>
    <row r="9" spans="1:135" ht="40" customHeight="1" x14ac:dyDescent="0.3">
      <c r="B9" s="59" cm="1">
        <f t="array" ref="B9">SN</f>
        <v>1</v>
      </c>
      <c r="C9" s="115" t="str" cm="1">
        <f t="array" ref="C9">GUID</f>
        <v>冯毅 | 男</v>
      </c>
      <c r="D9" s="116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6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6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6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6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6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6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6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6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6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6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6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6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6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6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6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6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6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6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6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25" t="s">
        <v>283</v>
      </c>
      <c r="EA9" s="125" t="s">
        <v>128</v>
      </c>
      <c r="EB9" s="102">
        <v>45268.505555555559</v>
      </c>
      <c r="EC9" s="125"/>
      <c r="ED9" s="127" t="s">
        <v>297</v>
      </c>
      <c r="EE9" s="15"/>
    </row>
    <row r="10" spans="1:135" ht="40" customHeight="1" x14ac:dyDescent="0.3">
      <c r="B10" s="57" cm="1">
        <f t="array" ref="B10">SN</f>
        <v>2</v>
      </c>
      <c r="C10" s="138" t="str" cm="1">
        <f t="array" ref="C10">GUID</f>
        <v>李怡 | 女</v>
      </c>
      <c r="D10" s="139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39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39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39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39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39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39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39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39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39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39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39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39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39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39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39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39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39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39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39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307</v>
      </c>
      <c r="DU10" s="79" t="s">
        <v>308</v>
      </c>
      <c r="DV10" s="80" t="s">
        <v>11</v>
      </c>
      <c r="DW10" s="80" t="s">
        <v>128</v>
      </c>
      <c r="DX10" s="58"/>
      <c r="DY10" s="80"/>
      <c r="DZ10" s="125"/>
      <c r="EA10" s="125"/>
      <c r="EB10" s="102">
        <v>45268.505555555559</v>
      </c>
      <c r="EC10" s="125"/>
      <c r="ED10" s="127" t="s">
        <v>297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108857</xdr:rowOff>
                  </from>
                  <to>
                    <xdr:col>2</xdr:col>
                    <xdr:colOff>925286</xdr:colOff>
                    <xdr:row>5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108857</xdr:rowOff>
                  </from>
                  <to>
                    <xdr:col>2</xdr:col>
                    <xdr:colOff>1894114</xdr:colOff>
                    <xdr:row>5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42" customWidth="1"/>
    <col min="48" max="48" width="8.69140625" style="154" customWidth="1"/>
    <col min="49" max="49" width="14.69140625" style="155" customWidth="1"/>
    <col min="50" max="50" width="8.69140625" style="91" customWidth="1"/>
    <col min="51" max="51" width="16.69140625" style="91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1" customFormat="1" ht="6" customHeight="1" x14ac:dyDescent="0.4">
      <c r="AV1" s="149"/>
      <c r="AW1" s="149"/>
      <c r="AX1" s="149"/>
      <c r="AY1" s="149"/>
    </row>
    <row r="2" spans="2:51" s="63" customFormat="1" ht="55" customHeight="1" x14ac:dyDescent="0.4">
      <c r="B2" s="62" t="str">
        <f>设置!D7 &amp;" - 历史记录"</f>
        <v>Yi - 历史记录</v>
      </c>
      <c r="D2" s="122"/>
      <c r="AV2" s="150"/>
      <c r="AW2" s="150"/>
      <c r="AX2" s="150"/>
      <c r="AY2" s="150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91"/>
      <c r="AW3" s="91"/>
    </row>
    <row r="4" spans="2:51" s="113" customFormat="1" ht="6" customHeight="1" x14ac:dyDescent="0.3">
      <c r="B4" s="10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51"/>
      <c r="AW4" s="151"/>
      <c r="AX4" s="151"/>
      <c r="AY4" s="151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91"/>
      <c r="AW5" s="91"/>
    </row>
    <row r="6" spans="2:51" s="113" customFormat="1" ht="40" customHeight="1" x14ac:dyDescent="0.3">
      <c r="D6" s="110">
        <f>设置!F11</f>
        <v>1</v>
      </c>
      <c r="E6" s="111">
        <f>设置!F12</f>
        <v>2</v>
      </c>
      <c r="F6" s="110">
        <f>设置!F13</f>
        <v>3</v>
      </c>
      <c r="G6" s="111">
        <f>设置!F14</f>
        <v>4</v>
      </c>
      <c r="H6" s="110">
        <f>设置!F15</f>
        <v>5</v>
      </c>
      <c r="I6" s="111">
        <f>设置!F16</f>
        <v>6</v>
      </c>
      <c r="J6" s="110">
        <f>设置!F17</f>
        <v>7</v>
      </c>
      <c r="K6" s="111">
        <f>设置!F18</f>
        <v>8</v>
      </c>
      <c r="L6" s="110">
        <f>设置!F19</f>
        <v>9</v>
      </c>
      <c r="M6" s="111">
        <f>设置!F20</f>
        <v>10</v>
      </c>
      <c r="N6" s="110">
        <f>设置!F21</f>
        <v>11</v>
      </c>
      <c r="O6" s="111">
        <f>设置!F22</f>
        <v>12</v>
      </c>
      <c r="P6" s="110">
        <f>设置!F23</f>
        <v>13</v>
      </c>
      <c r="Q6" s="111">
        <f>设置!F24</f>
        <v>14</v>
      </c>
      <c r="R6" s="110">
        <f>设置!F25</f>
        <v>15</v>
      </c>
      <c r="S6" s="111">
        <f>设置!F26</f>
        <v>16</v>
      </c>
      <c r="T6" s="110">
        <f>设置!F27</f>
        <v>17</v>
      </c>
      <c r="U6" s="111">
        <f>设置!F28</f>
        <v>18</v>
      </c>
      <c r="V6" s="110">
        <f>设置!F29</f>
        <v>19</v>
      </c>
      <c r="W6" s="111">
        <f>设置!F30</f>
        <v>20</v>
      </c>
      <c r="X6" s="110">
        <f>设置!F31</f>
        <v>21</v>
      </c>
      <c r="Y6" s="111">
        <f>设置!F32</f>
        <v>22</v>
      </c>
      <c r="Z6" s="110">
        <f>设置!F33</f>
        <v>23</v>
      </c>
      <c r="AA6" s="111">
        <f>设置!F34</f>
        <v>24</v>
      </c>
      <c r="AB6" s="110">
        <f>设置!F35</f>
        <v>25</v>
      </c>
      <c r="AC6" s="111">
        <f>设置!F36</f>
        <v>26</v>
      </c>
      <c r="AD6" s="110">
        <f>设置!F37</f>
        <v>27</v>
      </c>
      <c r="AE6" s="111">
        <f>设置!F38</f>
        <v>28</v>
      </c>
      <c r="AF6" s="110">
        <f>设置!F39</f>
        <v>29</v>
      </c>
      <c r="AG6" s="111">
        <f>设置!F40</f>
        <v>30</v>
      </c>
      <c r="AH6" s="110">
        <f>设置!F41</f>
        <v>31</v>
      </c>
      <c r="AI6" s="111">
        <f>设置!F42</f>
        <v>32</v>
      </c>
      <c r="AJ6" s="110">
        <f>设置!F43</f>
        <v>33</v>
      </c>
      <c r="AK6" s="111">
        <f>设置!F44</f>
        <v>34</v>
      </c>
      <c r="AL6" s="110">
        <f>设置!F45</f>
        <v>35</v>
      </c>
      <c r="AM6" s="111">
        <f>设置!F46</f>
        <v>36</v>
      </c>
      <c r="AN6" s="110">
        <f>设置!F47</f>
        <v>37</v>
      </c>
      <c r="AO6" s="111">
        <f>设置!F48</f>
        <v>38</v>
      </c>
      <c r="AP6" s="110">
        <f>设置!F49</f>
        <v>39</v>
      </c>
      <c r="AQ6" s="111">
        <f>设置!F50</f>
        <v>40</v>
      </c>
      <c r="AR6" s="146" t="s">
        <v>84</v>
      </c>
      <c r="AS6" s="146"/>
      <c r="AT6" s="146"/>
      <c r="AU6" s="146"/>
      <c r="AV6" s="152" t="s">
        <v>83</v>
      </c>
      <c r="AW6" s="152"/>
      <c r="AX6" s="152"/>
      <c r="AY6" s="152"/>
    </row>
    <row r="7" spans="2:51" s="113" customFormat="1" ht="8.15" customHeight="1" x14ac:dyDescent="0.3">
      <c r="AV7" s="153"/>
      <c r="AW7" s="153"/>
      <c r="AX7" s="153"/>
      <c r="AY7" s="153"/>
    </row>
    <row r="8" spans="2:51" ht="40" customHeight="1" x14ac:dyDescent="0.4">
      <c r="B8" s="114" t="s">
        <v>0</v>
      </c>
      <c r="C8" s="114" t="s">
        <v>3</v>
      </c>
      <c r="D8" s="114" t="s">
        <v>69</v>
      </c>
      <c r="E8" s="114" t="s">
        <v>70</v>
      </c>
      <c r="F8" s="114" t="s">
        <v>31</v>
      </c>
      <c r="G8" s="114" t="s">
        <v>32</v>
      </c>
      <c r="H8" s="114" t="s">
        <v>33</v>
      </c>
      <c r="I8" s="114" t="s">
        <v>34</v>
      </c>
      <c r="J8" s="114" t="s">
        <v>35</v>
      </c>
      <c r="K8" s="114" t="s">
        <v>36</v>
      </c>
      <c r="L8" s="114" t="s">
        <v>37</v>
      </c>
      <c r="M8" s="114" t="s">
        <v>39</v>
      </c>
      <c r="N8" s="114" t="s">
        <v>38</v>
      </c>
      <c r="O8" s="114" t="s">
        <v>40</v>
      </c>
      <c r="P8" s="114" t="s">
        <v>92</v>
      </c>
      <c r="Q8" s="114" t="s">
        <v>93</v>
      </c>
      <c r="R8" s="114" t="s">
        <v>94</v>
      </c>
      <c r="S8" s="114" t="s">
        <v>95</v>
      </c>
      <c r="T8" s="114" t="s">
        <v>96</v>
      </c>
      <c r="U8" s="114" t="s">
        <v>97</v>
      </c>
      <c r="V8" s="114" t="s">
        <v>98</v>
      </c>
      <c r="W8" s="114" t="s">
        <v>99</v>
      </c>
      <c r="X8" s="114" t="s">
        <v>141</v>
      </c>
      <c r="Y8" s="114" t="s">
        <v>142</v>
      </c>
      <c r="Z8" s="114" t="s">
        <v>143</v>
      </c>
      <c r="AA8" s="114" t="s">
        <v>144</v>
      </c>
      <c r="AB8" s="114" t="s">
        <v>145</v>
      </c>
      <c r="AC8" s="114" t="s">
        <v>146</v>
      </c>
      <c r="AD8" s="114" t="s">
        <v>147</v>
      </c>
      <c r="AE8" s="114" t="s">
        <v>148</v>
      </c>
      <c r="AF8" s="114" t="s">
        <v>149</v>
      </c>
      <c r="AG8" s="114" t="s">
        <v>150</v>
      </c>
      <c r="AH8" s="114" t="s">
        <v>140</v>
      </c>
      <c r="AI8" s="114" t="s">
        <v>151</v>
      </c>
      <c r="AJ8" s="114" t="s">
        <v>152</v>
      </c>
      <c r="AK8" s="114" t="s">
        <v>153</v>
      </c>
      <c r="AL8" s="114" t="s">
        <v>154</v>
      </c>
      <c r="AM8" s="114" t="s">
        <v>155</v>
      </c>
      <c r="AN8" s="114" t="s">
        <v>156</v>
      </c>
      <c r="AO8" s="114" t="s">
        <v>157</v>
      </c>
      <c r="AP8" s="114" t="s">
        <v>158</v>
      </c>
      <c r="AQ8" s="114" t="s">
        <v>159</v>
      </c>
      <c r="AR8" s="114" t="s">
        <v>5</v>
      </c>
      <c r="AS8" s="114" t="s">
        <v>4</v>
      </c>
      <c r="AT8" s="114" t="s">
        <v>6</v>
      </c>
      <c r="AU8" s="114" t="s">
        <v>7</v>
      </c>
      <c r="AV8" s="124" t="s">
        <v>27</v>
      </c>
      <c r="AW8" s="124" t="s">
        <v>28</v>
      </c>
      <c r="AX8" s="124" t="s">
        <v>1</v>
      </c>
      <c r="AY8" s="124" t="s">
        <v>2</v>
      </c>
    </row>
    <row r="9" spans="2:51" ht="39.75" customHeight="1" x14ac:dyDescent="0.4">
      <c r="B9" s="59" cm="1">
        <f t="array" ref="B9">SN</f>
        <v>1</v>
      </c>
      <c r="C9" s="81" t="s">
        <v>291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298</v>
      </c>
      <c r="AV9" s="141" t="str" cm="1">
        <f t="array" ref="AV9">Get_GUID_Surname</f>
        <v>冯</v>
      </c>
      <c r="AW9" s="139" t="str" cm="1">
        <f t="array" ref="AW9">Get_GUID_FirstName</f>
        <v>毅</v>
      </c>
      <c r="AX9" s="57" t="str" cm="1">
        <f t="array" ref="AX9">Get_GUID_Sex</f>
        <v>男</v>
      </c>
      <c r="AY9" s="57" t="str" cm="1">
        <f t="array" ref="AY9">Get_GUID_Tel</f>
        <v/>
      </c>
    </row>
    <row r="10" spans="2:51" ht="40" customHeight="1" x14ac:dyDescent="0.4">
      <c r="B10" s="57" cm="1">
        <f t="array" ref="B10">SN</f>
        <v>2</v>
      </c>
      <c r="C10" s="140" t="s">
        <v>309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102">
        <v>45268.505555555559</v>
      </c>
      <c r="AT10" s="58"/>
      <c r="AU10" s="108" t="s">
        <v>298</v>
      </c>
      <c r="AV10" s="141" t="str" cm="1">
        <f t="array" ref="AV10">Get_GUID_Surname</f>
        <v>李</v>
      </c>
      <c r="AW10" s="139" t="str" cm="1">
        <f t="array" ref="AW10">Get_GUID_FirstName</f>
        <v>怡</v>
      </c>
      <c r="AX10" s="57" t="str" cm="1">
        <f t="array" ref="AX10">Get_GUID_Sex</f>
        <v>女</v>
      </c>
      <c r="AY10" s="57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2023-12-11T15:46:19Z</dcterms:modified>
</cp:coreProperties>
</file>