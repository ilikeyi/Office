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8ABB3B9-1A5F-4D57-B858-1F079F3572A4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9" l="1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7" i="8" a="1"/>
  <c r="B7" i="8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7" i="8" l="1" a="1"/>
  <c r="D7" i="8" s="1"/>
  <c r="E7" i="8" a="1"/>
  <c r="E7" i="8" s="1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<sst xmlns="http://schemas.openxmlformats.org/spreadsheetml/2006/main" count="377" uniqueCount="314">
  <si>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</si>
  <si>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</si>
  <si>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</si>
  <si>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</si>
  <si>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</si>
  <si>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</si>
  <si>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</si>
  <si>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</si>
  <si>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</si>
  <si>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</si>
  <si>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</si>
  <si>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</si>
  <si>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</si>
  <si>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</si>
  <si>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</si>
  <si>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</si>
  <si>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</si>
  <si>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</si>
  <si>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</si>
  <si>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</si>
  <si>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</si>
  <si>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</si>
  <si>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</si>
  <si>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</si>
  <si>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</si>
  <si>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</si>
  <si>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</si>
  <si>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</si>
  <si>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</si>
  <si>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</si>
  <si>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</si>
  <si>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</si>
  <si>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</si>
  <si>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</si>
  <si>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</si>
  <si>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</si>
  <si>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</si>
  <si>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</si>
  <si>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</si>
  <si>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</si>
  <si>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</si>
  <si>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</si>
  <si>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</si>
  <si>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</si>
  <si>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</si>
  <si>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</si>
  <si>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</si>
  <si>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</si>
  <si>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</si>
  <si>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</si>
  <si>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</si>
  <si>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</si>
  <si>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</si>
  <si>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</si>
  <si>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</si>
  <si>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</si>
  <si>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</si>
  <si>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</si>
  <si>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</si>
  <si>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</si>
  <si>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</si>
  <si>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</si>
  <si>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</si>
  <si>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</si>
  <si>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</si>
  <si>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</si>
  <si>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</si>
  <si>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</si>
  <si>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</si>
  <si>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</si>
  <si>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</si>
  <si>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</si>
  <si>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</si>
  <si>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</si>
  <si>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</si>
  <si>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</si>
  <si>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</si>
  <si>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</si>
  <si>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</si>
  <si>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</si>
  <si>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</si>
  <si>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</si>
  <si>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</si>
  <si>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</si>
  <si>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</si>
  <si>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</si>
  <si>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</si>
  <si>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</si>
  <si>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</si>
  <si>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</si>
  <si>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</si>
  <si>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</si>
  <si>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</si>
  <si>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</si>
  <si>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</si>
  <si>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</si>
  <si>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</si>
  <si>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</si>
  <si>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</si>
  <si>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</si>
  <si>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</si>
  <si>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</si>
  <si>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</si>
  <si>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</si>
  <si>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</si>
  <si>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</si>
  <si>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</si>
  <si>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</si>
  <si>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</si>
  <si>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</si>
  <si>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</si>
  <si>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</si>
  <si>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</si>
  <si>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</si>
  <si>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</si>
  <si>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</si>
  <si>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</si>
  <si>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</si>
  <si>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</si>
  <si>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</si>
  <si>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</si>
  <si>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</si>
  <si>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</si>
  <si>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</si>
  <si>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</si>
  <si>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</si>
  <si>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</si>
  <si>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</si>
  <si>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</si>
  <si>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</si>
  <si>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</si>
  <si>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</si>
  <si>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</si>
  <si>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</si>
  <si>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</si>
  <si>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</si>
  <si>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</si>
  <si>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</si>
  <si>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</si>
  <si>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</si>
  <si>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</si>
  <si>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</si>
  <si>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</si>
  <si>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</si>
  <si>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</si>
  <si>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</si>
  <si>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</si>
  <si>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</si>
  <si>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</si>
  <si>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</si>
  <si>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</si>
  <si>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</si>
  <si>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</si>
  <si>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</si>
  <si>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</si>
  <si>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</si>
  <si>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</si>
  <si>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</si>
  <si>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</si>
  <si>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</si>
  <si>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</si>
  <si>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</si>
  <si>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</si>
  <si>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</si>
  <si>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</si>
  <si>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</si>
  <si>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</si>
  <si>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</si>
  <si>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</si>
  <si>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</si>
  <si>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</si>
  <si>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</si>
  <si>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</si>
  <si>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</si>
  <si>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</si>
  <si>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</si>
  <si>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</si>
  <si>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</si>
  <si>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</si>
  <si>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</si>
  <si>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</si>
  <si>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</si>
  <si>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</si>
  <si>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</si>
  <si>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</si>
  <si>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</si>
  <si>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</si>
  <si>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</si>
  <si>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</si>
  <si>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</si>
  <si>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</si>
  <si>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</si>
  <si>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</si>
  <si>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</si>
  <si>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</si>
  <si>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</si>
  <si>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</si>
  <si>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</si>
  <si>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</si>
  <si>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</si>
  <si>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</si>
  <si>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</si>
  <si>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</si>
  <si>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</si>
  <si>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</si>
  <si>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</si>
  <si>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</si>
  <si>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</si>
  <si>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</si>
  <si>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</si>
  <si>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</si>
  <si>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</si>
  <si>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</si>
  <si>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</si>
  <si>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</si>
  <si>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</si>
  <si>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</si>
  <si>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</si>
  <si>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</si>
  <si>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</si>
  <si>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</si>
  <si>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</si>
  <si>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</si>
  <si>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</si>
  <si>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</si>
  <si>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</si>
  <si>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</si>
  <si>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</si>
  <si>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</si>
  <si>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</si>
  <si>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</si>
  <si>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</si>
  <si>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</si>
  <si>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</si>
  <si>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</si>
  <si>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</si>
  <si>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</si>
  <si>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</si>
  <si>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</si>
  <si>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</si>
  <si>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</si>
  <si>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</si>
  <si>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</si>
  <si>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</si>
  <si>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</si>
  <si>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</si>
  <si>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</si>
  <si>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</si>
  <si>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</si>
  <si>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</si>
  <si>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</si>
  <si>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</si>
  <si>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</si>
  <si>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</si>
  <si>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</si>
  <si>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</si>
  <si>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</si>
  <si>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</si>
  <si>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</si>
  <si>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</si>
  <si>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</si>
  <si>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</si>
  <si>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</si>
  <si>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</si>
  <si>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</si>
  <si>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</si>
  <si>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</si>
  <si>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</si>
  <si>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</si>
  <si>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</si>
  <si>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</si>
  <si>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</si>
  <si>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</si>
  <si>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</si>
  <si>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</si>
  <si>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</si>
  <si>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</si>
  <si>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</si>
  <si>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</si>
  <si>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</si>
  <si>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</si>
  <si>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</si>
  <si>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</si>
  <si>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</si>
  <si>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</si>
  <si>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</si>
  <si>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</si>
  <si>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</si>
  <si>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</si>
  <si>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</si>
  <si>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</si>
  <si>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</si>
  <si>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</si>
  <si>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Ctrl+Shift + M：获得当前日期和时间后，插入或更新到“时间”行</t>
  </si>
  <si>
    <t>Ctrl+Shift + A：历史记录 - 新增，自动填存入</t>
  </si>
  <si>
    <t>负差</t>
  </si>
  <si>
    <t>统计</t>
  </si>
  <si>
    <t>未输入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</si>
  <si>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</si>
  <si>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</si>
  <si>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</si>
  <si>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</si>
  <si>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</si>
  <si>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</si>
  <si>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</si>
  <si>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</si>
  <si>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</si>
  <si>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</si>
  <si>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</si>
  <si>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</si>
  <si>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初始数据测试会员，新增后删除此会员</t>
  </si>
  <si>
    <t>初始数据测试支取，新增后删除此行</t>
  </si>
  <si>
    <t>v1.6</t>
  </si>
  <si>
    <t>初始数据测试，新增后删除此行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</si>
</sst>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43</xdr:row>
      <xdr:rowOff>87923</xdr:rowOff>
    </xdr:from>
    <xdr:to>
      <xdr:col>10</xdr:col>
      <xdr:colOff>164965</xdr:colOff>
      <xdr:row>43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54</xdr:row>
      <xdr:rowOff>57978</xdr:rowOff>
    </xdr:from>
    <xdr:to>
      <xdr:col>11</xdr:col>
      <xdr:colOff>32443</xdr:colOff>
      <xdr:row>55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46</xdr:row>
      <xdr:rowOff>16565</xdr:rowOff>
    </xdr:from>
    <xdr:to>
      <xdr:col>15</xdr:col>
      <xdr:colOff>66261</xdr:colOff>
      <xdr:row>46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49</xdr:row>
      <xdr:rowOff>31748</xdr:rowOff>
    </xdr:from>
    <xdr:to>
      <xdr:col>7</xdr:col>
      <xdr:colOff>512116</xdr:colOff>
      <xdr:row>49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42</xdr:row>
      <xdr:rowOff>124243</xdr:rowOff>
    </xdr:from>
    <xdr:to>
      <xdr:col>3</xdr:col>
      <xdr:colOff>254625</xdr:colOff>
      <xdr:row>42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45</xdr:row>
      <xdr:rowOff>140805</xdr:rowOff>
    </xdr:from>
    <xdr:to>
      <xdr:col>3</xdr:col>
      <xdr:colOff>254625</xdr:colOff>
      <xdr:row>45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51</xdr:row>
      <xdr:rowOff>132521</xdr:rowOff>
    </xdr:from>
    <xdr:to>
      <xdr:col>3</xdr:col>
      <xdr:colOff>254625</xdr:colOff>
      <xdr:row>51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75" dataDxfId="374">
  <autoFilter ref="B6:K7" xr:uid="{B82E5E9F-8725-4EAF-B9F2-1889C4CE31C6}"/>
  <tableColumns count="10">
    <tableColumn id="1" xr3:uid="{CCD5A4A0-03A2-44F4-8FB0-E2743E043E7C}" name="序号" dataDxfId="373">
      <calculatedColumnFormula array="1">SNGKI</calculatedColumnFormula>
    </tableColumn>
    <tableColumn id="2" xr3:uid="{BE286F67-B0FA-40D9-BDA1-B2CFCEBCEB36}" name="唯一识别码" dataDxfId="372"/>
    <tableColumn id="6" xr3:uid="{148867ED-CDB5-4DC9-923C-601F80EB1640}" name="商品序号" dataDxfId="371">
      <calculatedColumnFormula array="1">Get_Store_SN</calculatedColumnFormula>
    </tableColumn>
    <tableColumn id="5" xr3:uid="{1911F1F5-D5AD-4950-85F5-813E0E394FE9}" name="商品名称" dataDxfId="370">
      <calculatedColumnFormula array="1">Get_Store_Name</calculatedColumnFormula>
    </tableColumn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添加会员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5" width="9.140625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284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249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250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285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6" t="s">
        <v>286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268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6" t="s">
        <v>276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39"/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2" t="s">
        <v>134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1"/>
    </row>
    <row r="16" spans="1:17" ht="39.950000000000003" customHeight="1" thickTop="1" x14ac:dyDescent="0.25">
      <c r="B16" s="1"/>
      <c r="C16" s="1">
        <v>1</v>
      </c>
      <c r="D16" s="1" t="s">
        <v>136</v>
      </c>
      <c r="E16" s="21" t="s">
        <v>137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1" t="s">
        <v>242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1" t="s">
        <v>263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240</v>
      </c>
      <c r="E19" s="21" t="s">
        <v>243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244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1" t="s">
        <v>264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277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21" t="s">
        <v>262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/>
      <c r="D24" s="1"/>
      <c r="E24" s="21" t="s">
        <v>261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21" t="s">
        <v>278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21" t="s">
        <v>294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21" t="s">
        <v>246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1</v>
      </c>
      <c r="D28" s="1" t="s">
        <v>26</v>
      </c>
      <c r="E28" s="21" t="s">
        <v>237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1" t="s">
        <v>236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138</v>
      </c>
      <c r="E30" s="21" t="s">
        <v>279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>
        <v>1</v>
      </c>
      <c r="D31" s="1" t="s">
        <v>238</v>
      </c>
      <c r="E31" s="21" t="s">
        <v>281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>
        <v>1</v>
      </c>
      <c r="D32" s="1" t="s">
        <v>239</v>
      </c>
      <c r="E32" s="21" t="s">
        <v>280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/>
      <c r="D33" s="1"/>
      <c r="E33" s="21" t="s">
        <v>241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89</v>
      </c>
      <c r="E34" s="90">
        <v>1</v>
      </c>
      <c r="F34" s="91" t="s">
        <v>245</v>
      </c>
      <c r="G34" s="1"/>
      <c r="H34" s="90">
        <v>1</v>
      </c>
      <c r="I34" s="122" t="s">
        <v>298</v>
      </c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90">
        <v>0</v>
      </c>
      <c r="F35" s="91" t="s">
        <v>84</v>
      </c>
      <c r="G35" s="1"/>
      <c r="H35" s="90">
        <v>0</v>
      </c>
      <c r="I35" s="122" t="s">
        <v>297</v>
      </c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1"/>
      <c r="E36" s="90">
        <v>-0.01</v>
      </c>
      <c r="F36" s="91" t="s">
        <v>85</v>
      </c>
      <c r="G36" s="1"/>
      <c r="H36" s="90">
        <v>-0.01</v>
      </c>
      <c r="I36" s="122" t="s">
        <v>299</v>
      </c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259</v>
      </c>
      <c r="E37" s="21" t="s">
        <v>260</v>
      </c>
      <c r="F37" s="2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292</v>
      </c>
      <c r="E38" s="21" t="s">
        <v>293</v>
      </c>
      <c r="F38" s="2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/>
      <c r="D39" s="1"/>
      <c r="E39" s="1"/>
      <c r="F39" s="2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52" t="s">
        <v>251</v>
      </c>
      <c r="D40" s="51"/>
      <c r="E40" s="50"/>
      <c r="F40" s="52"/>
      <c r="G40" s="50"/>
      <c r="H40" s="50"/>
      <c r="I40" s="50"/>
      <c r="J40" s="50"/>
      <c r="K40" s="50"/>
      <c r="L40" s="50"/>
      <c r="M40" s="50"/>
      <c r="N40" s="50"/>
      <c r="O40" s="50"/>
      <c r="P40" s="1"/>
    </row>
    <row r="41" spans="2:16" ht="39.75" customHeight="1" thickTop="1" x14ac:dyDescent="0.25">
      <c r="B41" s="1"/>
      <c r="C41" s="124">
        <v>1</v>
      </c>
      <c r="D41" s="46" t="s">
        <v>300</v>
      </c>
      <c r="E41" s="124"/>
      <c r="F41" s="123"/>
      <c r="G41" s="124"/>
      <c r="H41" s="124"/>
      <c r="I41" s="124"/>
      <c r="J41" s="124"/>
      <c r="K41" s="124"/>
      <c r="L41" s="124"/>
      <c r="M41" s="124"/>
      <c r="N41" s="124"/>
      <c r="O41" s="124"/>
      <c r="P41" s="1"/>
    </row>
    <row r="42" spans="2:16" ht="39.950000000000003" customHeight="1" x14ac:dyDescent="0.25">
      <c r="B42" s="1"/>
      <c r="C42" s="1">
        <v>0</v>
      </c>
      <c r="D42" s="46" t="s">
        <v>265</v>
      </c>
      <c r="E42" s="1"/>
      <c r="F42" s="2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53" t="s">
        <v>252</v>
      </c>
      <c r="E43" s="49"/>
      <c r="F43" s="49"/>
      <c r="G43" s="48"/>
      <c r="H43" s="48"/>
      <c r="I43" s="48"/>
      <c r="J43" s="48"/>
      <c r="K43" s="48"/>
      <c r="L43" s="48"/>
      <c r="M43" s="48"/>
      <c r="N43" s="48"/>
      <c r="O43" s="48"/>
      <c r="P43" s="1"/>
    </row>
    <row r="44" spans="2:16" ht="158.25" customHeight="1" x14ac:dyDescent="0.25">
      <c r="B44" s="1"/>
      <c r="C44" s="1"/>
      <c r="D44" s="39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39"/>
      <c r="E45" s="1"/>
      <c r="F45" s="2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53" t="s">
        <v>256</v>
      </c>
      <c r="E46" s="48"/>
      <c r="F46" s="49"/>
      <c r="G46" s="48"/>
      <c r="H46" s="48"/>
      <c r="I46" s="48"/>
      <c r="J46" s="48"/>
      <c r="K46" s="48"/>
      <c r="L46" s="48"/>
      <c r="M46" s="48"/>
      <c r="N46" s="48"/>
      <c r="O46" s="48"/>
      <c r="P46" s="1"/>
    </row>
    <row r="47" spans="2:16" ht="80.25" customHeight="1" x14ac:dyDescent="0.25">
      <c r="B47" s="1"/>
      <c r="C47" s="1"/>
      <c r="D47" s="39"/>
      <c r="E47" s="1"/>
      <c r="F47" s="2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75" customHeight="1" x14ac:dyDescent="0.25">
      <c r="B48" s="1"/>
      <c r="C48" s="1"/>
      <c r="D48" s="39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257</v>
      </c>
      <c r="E49" s="48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82.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75" customHeight="1" thickBot="1" x14ac:dyDescent="0.3">
      <c r="B52" s="1"/>
      <c r="C52" s="1"/>
      <c r="D52" s="53" t="s">
        <v>253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39.950000000000003" customHeight="1" x14ac:dyDescent="0.25">
      <c r="B53" s="1"/>
      <c r="C53" s="1"/>
      <c r="D53" s="47" t="s">
        <v>254</v>
      </c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47" t="s">
        <v>255</v>
      </c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2.5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258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296</v>
      </c>
      <c r="H9" s="149" t="s">
        <v>225</v>
      </c>
      <c r="I9" s="149"/>
      <c r="J9" s="149"/>
      <c r="K9" s="150" t="s">
        <v>247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295</v>
      </c>
      <c r="H10" s="28" t="s">
        <v>234</v>
      </c>
      <c r="I10" s="28" t="s">
        <v>266</v>
      </c>
      <c r="J10" s="28" t="s">
        <v>267</v>
      </c>
      <c r="K10" s="28" t="s">
        <v>223</v>
      </c>
      <c r="L10" s="28" t="s">
        <v>248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304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303</v>
      </c>
      <c r="E53" s="135" t="s">
        <v>304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270</v>
      </c>
      <c r="D58" s="69" t="s">
        <v>130</v>
      </c>
      <c r="E58" s="78" t="s">
        <v>275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287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269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271</v>
      </c>
      <c r="H64" s="134" t="s">
        <v>272</v>
      </c>
      <c r="I64" s="134" t="s">
        <v>273</v>
      </c>
      <c r="J64" s="134" t="s">
        <v>274</v>
      </c>
      <c r="K64" s="134"/>
      <c r="L64" s="134"/>
      <c r="M64" s="134"/>
    </row>
    <row r="65" spans="2:13" ht="39.950000000000003" customHeight="1" x14ac:dyDescent="0.25">
      <c r="B65" s="26"/>
      <c r="C65" s="27" t="s">
        <v>288</v>
      </c>
      <c r="D65" s="69" t="s">
        <v>129</v>
      </c>
      <c r="E65" s="78" t="s">
        <v>289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283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296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312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91" priority="2">
      <formula>MOD(ROW(),2)=1</formula>
    </cfRule>
    <cfRule type="expression" dxfId="390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290</v>
      </c>
      <c r="D17" s="11" t="s">
        <v>304</v>
      </c>
      <c r="E17" s="33" t="s">
        <v>304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1" customWidth="1"/>
    <col min="5" max="5" width="20.7109375" style="1" customWidth="1"/>
    <col min="6" max="6" width="12.7109375" style="93" customWidth="1"/>
    <col min="7" max="7" width="12.7109375" style="96" customWidth="1"/>
    <col min="8" max="8" width="12.7109375" style="93" customWidth="1"/>
    <col min="9" max="9" width="26.7109375" style="94" customWidth="1"/>
    <col min="10" max="10" width="18.7109375" style="93" customWidth="1"/>
    <col min="11" max="11" width="44.7109375" style="106" customWidth="1"/>
    <col min="12" max="12" width="2.7109375" style="1" customWidth="1"/>
    <col min="13" max="16384" width="9.140625" style="1" hidden="1"/>
  </cols>
  <sheetData>
    <row r="1" spans="2:11" s="146" customFormat="1" ht="6" customHeight="1" x14ac:dyDescent="0.25"/>
    <row r="2" spans="2:11" s="2" customFormat="1" ht="54.95" customHeight="1" x14ac:dyDescent="0.25">
      <c r="B2" s="4" t="str">
        <f>设置!D7 &amp;" - 入库取货"</f>
        <v>Yi - 入库取货</v>
      </c>
    </row>
    <row r="3" spans="2:11" ht="8.1" customHeight="1" x14ac:dyDescent="0.25">
      <c r="C3" s="1"/>
      <c r="F3" s="1"/>
      <c r="G3" s="1"/>
      <c r="H3" s="1"/>
      <c r="I3" s="1"/>
      <c r="J3" s="1"/>
      <c r="K3" s="1"/>
    </row>
    <row r="4" spans="2:11" ht="6" customHeight="1" x14ac:dyDescent="0.25">
      <c r="B4" s="5"/>
      <c r="C4" s="3"/>
      <c r="D4" s="5"/>
      <c r="E4" s="5"/>
      <c r="F4" s="3"/>
      <c r="G4" s="3"/>
      <c r="H4" s="3"/>
      <c r="I4" s="3"/>
      <c r="J4" s="3"/>
      <c r="K4" s="3"/>
    </row>
    <row r="5" spans="2:11" ht="8.1" customHeight="1" x14ac:dyDescent="0.25">
      <c r="C5" s="1"/>
      <c r="F5" s="1"/>
      <c r="G5" s="1"/>
      <c r="H5" s="1"/>
      <c r="I5" s="1"/>
      <c r="J5" s="1"/>
      <c r="K5" s="1"/>
    </row>
    <row r="6" spans="2:11" ht="39.950000000000003" customHeight="1" x14ac:dyDescent="0.25">
      <c r="B6" s="6" t="s">
        <v>0</v>
      </c>
      <c r="C6" s="6" t="s">
        <v>3</v>
      </c>
      <c r="D6" s="6" t="s">
        <v>224</v>
      </c>
      <c r="E6" s="6" t="s">
        <v>41</v>
      </c>
      <c r="F6" s="6" t="s">
        <v>5</v>
      </c>
      <c r="G6" s="6" t="s">
        <v>222</v>
      </c>
      <c r="H6" s="6" t="s">
        <v>227</v>
      </c>
      <c r="I6" s="6" t="s">
        <v>4</v>
      </c>
      <c r="J6" s="6" t="s">
        <v>6</v>
      </c>
      <c r="K6" s="6" t="s">
        <v>7</v>
      </c>
    </row>
    <row r="7" spans="2:11" ht="39.950000000000003" customHeight="1" x14ac:dyDescent="0.25">
      <c r="B7" s="54" cm="1">
        <f t="array" ref="B7">SNGKI</f>
        <v>1</v>
      </c>
      <c r="C7" s="127" t="s">
        <v>305</v>
      </c>
      <c r="D7" s="56" t="str" cm="1">
        <f t="array" ref="D7">Get_Store_SN</f>
        <v>1</v>
      </c>
      <c r="E7" s="56" t="str" cm="1">
        <f t="array" ref="E7">Get_Store_Name</f>
        <v>1</v>
      </c>
      <c r="F7" s="55" t="s">
        <v>235</v>
      </c>
      <c r="G7" s="16"/>
      <c r="H7" s="19"/>
      <c r="I7" s="92">
        <v>45268.505555555559</v>
      </c>
      <c r="J7" s="55"/>
      <c r="K7" s="140" t="s">
        <v>313</v>
      </c>
    </row>
  </sheetData>
  <sheetProtection deleteRows="0" selectLockedCells="1"/>
  <conditionalFormatting sqref="C7 F7:K7">
    <cfRule type="expression" dxfId="377" priority="21">
      <formula>MOD(ROW(),2)=0</formula>
    </cfRule>
    <cfRule type="expression" dxfId="376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9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290</v>
      </c>
      <c r="D21" s="67" t="s">
        <v>304</v>
      </c>
      <c r="E21" s="7" t="s">
        <v>304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1" t="str">
        <f>设置!F11 &amp;" - 历史记录"</f>
        <v>1 - 历史记录</v>
      </c>
      <c r="F6" s="151"/>
      <c r="G6" s="100">
        <f>设置!F12</f>
        <v>2</v>
      </c>
      <c r="H6" s="152" t="str">
        <f>设置!F12 &amp;" - 历史记录"</f>
        <v>2 - 历史记录</v>
      </c>
      <c r="I6" s="152"/>
      <c r="J6" s="99">
        <f>设置!F13</f>
        <v>3</v>
      </c>
      <c r="K6" s="151" t="str">
        <f>设置!F13 &amp;" - 历史记录"</f>
        <v>3 - 历史记录</v>
      </c>
      <c r="L6" s="151"/>
      <c r="M6" s="100">
        <f>设置!F14</f>
        <v>4</v>
      </c>
      <c r="N6" s="152" t="str">
        <f>设置!F14 &amp;" - 历史记录"</f>
        <v>4 - 历史记录</v>
      </c>
      <c r="O6" s="152"/>
      <c r="P6" s="99">
        <f>设置!F15</f>
        <v>5</v>
      </c>
      <c r="Q6" s="151" t="str">
        <f>设置!F15 &amp;" - 历史记录"</f>
        <v>5 - 历史记录</v>
      </c>
      <c r="R6" s="151"/>
      <c r="S6" s="100">
        <f>设置!F16</f>
        <v>6</v>
      </c>
      <c r="T6" s="152" t="str">
        <f>设置!F16 &amp;" - 历史记录"</f>
        <v>6 - 历史记录</v>
      </c>
      <c r="U6" s="152"/>
      <c r="V6" s="99">
        <f>设置!F17</f>
        <v>7</v>
      </c>
      <c r="W6" s="151" t="str">
        <f>设置!F17 &amp;" - 历史记录"</f>
        <v>7 - 历史记录</v>
      </c>
      <c r="X6" s="151"/>
      <c r="Y6" s="100">
        <f>设置!F18</f>
        <v>8</v>
      </c>
      <c r="Z6" s="152" t="str">
        <f>设置!F18 &amp;" - 历史记录"</f>
        <v>8 - 历史记录</v>
      </c>
      <c r="AA6" s="152"/>
      <c r="AB6" s="99">
        <f>设置!F19</f>
        <v>9</v>
      </c>
      <c r="AC6" s="151" t="str">
        <f>设置!F19 &amp;" - 历史记录"</f>
        <v>9 - 历史记录</v>
      </c>
      <c r="AD6" s="151"/>
      <c r="AE6" s="100">
        <f>设置!F20</f>
        <v>10</v>
      </c>
      <c r="AF6" s="152" t="str">
        <f>设置!F20 &amp;" - 历史记录"</f>
        <v>10 - 历史记录</v>
      </c>
      <c r="AG6" s="152"/>
      <c r="AH6" s="99">
        <f>设置!F21</f>
        <v>11</v>
      </c>
      <c r="AI6" s="151" t="str">
        <f>设置!F21 &amp;" - 历史记录"</f>
        <v>11 - 历史记录</v>
      </c>
      <c r="AJ6" s="151"/>
      <c r="AK6" s="100">
        <f>设置!F22</f>
        <v>12</v>
      </c>
      <c r="AL6" s="152" t="str">
        <f>设置!F22 &amp;" - 历史记录"</f>
        <v>12 - 历史记录</v>
      </c>
      <c r="AM6" s="152"/>
      <c r="AN6" s="99">
        <f>设置!F23</f>
        <v>13</v>
      </c>
      <c r="AO6" s="151" t="str">
        <f>设置!F23 &amp;" - 历史记录"</f>
        <v>13 - 历史记录</v>
      </c>
      <c r="AP6" s="151"/>
      <c r="AQ6" s="100">
        <f>设置!F24</f>
        <v>14</v>
      </c>
      <c r="AR6" s="152" t="str">
        <f>设置!F24 &amp;" - 历史记录"</f>
        <v>14 - 历史记录</v>
      </c>
      <c r="AS6" s="152"/>
      <c r="AT6" s="99">
        <f>设置!F25</f>
        <v>15</v>
      </c>
      <c r="AU6" s="151" t="str">
        <f>设置!F25 &amp;" - 历史记录"</f>
        <v>15 - 历史记录</v>
      </c>
      <c r="AV6" s="151"/>
      <c r="AW6" s="100">
        <f>设置!F26</f>
        <v>16</v>
      </c>
      <c r="AX6" s="152" t="str">
        <f>设置!F26 &amp;" - 历史记录"</f>
        <v>16 - 历史记录</v>
      </c>
      <c r="AY6" s="152"/>
      <c r="AZ6" s="99">
        <f>设置!F27</f>
        <v>17</v>
      </c>
      <c r="BA6" s="151" t="str">
        <f>设置!F27 &amp;" - 历史记录"</f>
        <v>17 - 历史记录</v>
      </c>
      <c r="BB6" s="151"/>
      <c r="BC6" s="100">
        <f>设置!F28</f>
        <v>18</v>
      </c>
      <c r="BD6" s="152" t="str">
        <f>设置!F28 &amp;" - 历史记录"</f>
        <v>18 - 历史记录</v>
      </c>
      <c r="BE6" s="152"/>
      <c r="BF6" s="99">
        <f>设置!F29</f>
        <v>19</v>
      </c>
      <c r="BG6" s="151" t="str">
        <f>设置!F29 &amp;" - 历史记录"</f>
        <v>19 - 历史记录</v>
      </c>
      <c r="BH6" s="151"/>
      <c r="BI6" s="100">
        <f>设置!F30</f>
        <v>20</v>
      </c>
      <c r="BJ6" s="152" t="str">
        <f>设置!F30 &amp;" - 历史记录"</f>
        <v>20 - 历史记录</v>
      </c>
      <c r="BK6" s="152"/>
      <c r="BL6" s="101">
        <f>设置!F31</f>
        <v>21</v>
      </c>
      <c r="BM6" s="153" t="str">
        <f>设置!F31 &amp;" - 历史记录"</f>
        <v>21 - 历史记录</v>
      </c>
      <c r="BN6" s="153"/>
      <c r="BO6" s="100">
        <f>设置!F32</f>
        <v>22</v>
      </c>
      <c r="BP6" s="152" t="str">
        <f>设置!F32 &amp;" - 历史记录"</f>
        <v>22 - 历史记录</v>
      </c>
      <c r="BQ6" s="152"/>
      <c r="BR6" s="101">
        <f>设置!F33</f>
        <v>23</v>
      </c>
      <c r="BS6" s="153" t="str">
        <f>设置!F33 &amp;" - 历史记录"</f>
        <v>23 - 历史记录</v>
      </c>
      <c r="BT6" s="153"/>
      <c r="BU6" s="100">
        <f>设置!F34</f>
        <v>24</v>
      </c>
      <c r="BV6" s="152" t="str">
        <f>设置!F34 &amp;" - 历史记录"</f>
        <v>24 - 历史记录</v>
      </c>
      <c r="BW6" s="152"/>
      <c r="BX6" s="101">
        <f>设置!F35</f>
        <v>25</v>
      </c>
      <c r="BY6" s="153" t="str">
        <f>设置!F35 &amp;" - 历史记录"</f>
        <v>25 - 历史记录</v>
      </c>
      <c r="BZ6" s="153"/>
      <c r="CA6" s="100">
        <f>设置!F36</f>
        <v>26</v>
      </c>
      <c r="CB6" s="152" t="str">
        <f>设置!F36 &amp;" - 历史记录"</f>
        <v>26 - 历史记录</v>
      </c>
      <c r="CC6" s="152"/>
      <c r="CD6" s="101">
        <f>设置!F37</f>
        <v>27</v>
      </c>
      <c r="CE6" s="153" t="str">
        <f>设置!F37 &amp;" - 历史记录"</f>
        <v>27 - 历史记录</v>
      </c>
      <c r="CF6" s="153"/>
      <c r="CG6" s="100">
        <f>设置!F38</f>
        <v>28</v>
      </c>
      <c r="CH6" s="152" t="str">
        <f>设置!F38 &amp;" - 历史记录"</f>
        <v>28 - 历史记录</v>
      </c>
      <c r="CI6" s="152"/>
      <c r="CJ6" s="101">
        <f>设置!F39</f>
        <v>29</v>
      </c>
      <c r="CK6" s="153" t="str">
        <f>设置!F39 &amp;" - 历史记录"</f>
        <v>29 - 历史记录</v>
      </c>
      <c r="CL6" s="153"/>
      <c r="CM6" s="100">
        <f>设置!F40</f>
        <v>30</v>
      </c>
      <c r="CN6" s="152" t="str">
        <f>设置!F40 &amp;" - 历史记录"</f>
        <v>30 - 历史记录</v>
      </c>
      <c r="CO6" s="152"/>
      <c r="CP6" s="101">
        <f>设置!F41</f>
        <v>31</v>
      </c>
      <c r="CQ6" s="153" t="str">
        <f>设置!F41 &amp;" - 历史记录"</f>
        <v>31 - 历史记录</v>
      </c>
      <c r="CR6" s="153"/>
      <c r="CS6" s="100">
        <f>设置!F42</f>
        <v>32</v>
      </c>
      <c r="CT6" s="152" t="str">
        <f>设置!F42 &amp;" - 历史记录"</f>
        <v>32 - 历史记录</v>
      </c>
      <c r="CU6" s="152"/>
      <c r="CV6" s="101">
        <f>设置!F43</f>
        <v>33</v>
      </c>
      <c r="CW6" s="153" t="str">
        <f>设置!F43 &amp;" - 历史记录"</f>
        <v>33 - 历史记录</v>
      </c>
      <c r="CX6" s="153"/>
      <c r="CY6" s="100">
        <f>设置!F44</f>
        <v>34</v>
      </c>
      <c r="CZ6" s="152" t="str">
        <f>设置!F44 &amp;" - 历史记录"</f>
        <v>34 - 历史记录</v>
      </c>
      <c r="DA6" s="152"/>
      <c r="DB6" s="101">
        <f>设置!F45</f>
        <v>35</v>
      </c>
      <c r="DC6" s="153" t="str">
        <f>设置!F45 &amp;" - 历史记录"</f>
        <v>35 - 历史记录</v>
      </c>
      <c r="DD6" s="153"/>
      <c r="DE6" s="100">
        <f>设置!F46</f>
        <v>36</v>
      </c>
      <c r="DF6" s="152" t="str">
        <f>设置!F46 &amp;" - 历史记录"</f>
        <v>36 - 历史记录</v>
      </c>
      <c r="DG6" s="152"/>
      <c r="DH6" s="101">
        <f>设置!F47</f>
        <v>37</v>
      </c>
      <c r="DI6" s="153" t="str">
        <f>设置!F47 &amp;" - 历史记录"</f>
        <v>37 - 历史记录</v>
      </c>
      <c r="DJ6" s="153"/>
      <c r="DK6" s="100">
        <f>设置!F48</f>
        <v>38</v>
      </c>
      <c r="DL6" s="152" t="str">
        <f>设置!F48 &amp;" - 历史记录"</f>
        <v>38 - 历史记录</v>
      </c>
      <c r="DM6" s="152"/>
      <c r="DN6" s="101">
        <f>设置!F49</f>
        <v>39</v>
      </c>
      <c r="DO6" s="153" t="str">
        <f>设置!F49 &amp;" - 历史记录"</f>
        <v>39 - 历史记录</v>
      </c>
      <c r="DP6" s="153"/>
      <c r="DQ6" s="100">
        <f>设置!F50</f>
        <v>40</v>
      </c>
      <c r="DR6" s="152" t="str">
        <f>设置!F50 &amp;" - 历史记录"</f>
        <v>40 - 历史记录</v>
      </c>
      <c r="DS6" s="152"/>
      <c r="DT6" s="151" t="s">
        <v>72</v>
      </c>
      <c r="DU6" s="151"/>
      <c r="DV6" s="151"/>
      <c r="DW6" s="151"/>
      <c r="DX6" s="151"/>
      <c r="DY6" s="151" t="s">
        <v>88</v>
      </c>
      <c r="DZ6" s="151"/>
      <c r="EA6" s="151"/>
      <c r="EB6" s="151" t="s">
        <v>291</v>
      </c>
      <c r="EC6" s="151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306</v>
      </c>
      <c r="DZ9" s="74" t="s">
        <v>282</v>
      </c>
      <c r="EA9" s="74" t="s">
        <v>127</v>
      </c>
      <c r="EB9" s="92">
        <v>45268.505555555559</v>
      </c>
      <c r="EC9" s="113"/>
      <c r="ED9" s="140" t="s">
        <v>310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301</v>
      </c>
      <c r="DU10" s="73" t="s">
        <v>302</v>
      </c>
      <c r="DV10" s="74" t="s">
        <v>11</v>
      </c>
      <c r="DW10" s="74" t="s">
        <v>127</v>
      </c>
      <c r="DX10" s="55"/>
      <c r="DY10" s="74" t="s">
        <v>307</v>
      </c>
      <c r="DZ10" s="74"/>
      <c r="EA10" s="74"/>
      <c r="EB10" s="92">
        <v>45268.505555555559</v>
      </c>
      <c r="EC10" s="113"/>
      <c r="ED10" s="140" t="s">
        <v>310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1" t="s">
        <v>83</v>
      </c>
      <c r="AS6" s="151"/>
      <c r="AT6" s="151"/>
      <c r="AU6" s="151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309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311</v>
      </c>
    </row>
    <row r="10" spans="2:47" ht="39.950000000000003" customHeight="1" x14ac:dyDescent="0.25">
      <c r="B10" s="54" cm="1">
        <f t="array" ref="B10">SN</f>
        <v>2</v>
      </c>
      <c r="C10" s="127" t="s">
        <v>308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311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2023-12-12T18:59:44Z</cp:lastPrinted>
  <dcterms:created xsi:type="dcterms:W3CDTF">2023-11-27T09:49:08Z</dcterms:created>
  <dcterms:modified xsi:type="dcterms:W3CDTF">2023-12-12T19:00:48Z</dcterms:modified>
</cp:coreProperties>
</file>