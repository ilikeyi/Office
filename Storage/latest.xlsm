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A9EBF88-C7A1-4F62-B345-CE66E716ED34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<sst xmlns="http://schemas.openxmlformats.org/spreadsheetml/2006/main" count="382" uniqueCount="315">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</sst>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2514600</xdr:colOff>
          <xdr:row>1</xdr:row>
          <xdr:rowOff>190500</xdr:rowOff>
        </xdr:from>
        <xdr:to>
          <xdr:col>3</xdr:col>
          <xdr:colOff>3248025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1638300</xdr:colOff>
          <xdr:row>1</xdr:row>
          <xdr:rowOff>190500</xdr:rowOff>
        </xdr:from>
        <xdr:to>
          <xdr:col>3</xdr:col>
          <xdr:colOff>2371725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2514600</xdr:colOff>
          <xdr:row>1</xdr:row>
          <xdr:rowOff>190500</xdr:rowOff>
        </xdr:from>
        <xdr:to>
          <xdr:col>3</xdr:col>
          <xdr:colOff>3248025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1638300</xdr:colOff>
          <xdr:row>1</xdr:row>
          <xdr:rowOff>190500</xdr:rowOff>
        </xdr:from>
        <xdr:to>
          <xdr:col>3</xdr:col>
          <xdr:colOff>2371725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42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3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4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7" t="s">
        <v>303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7" t="s">
        <v>302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7" t="s">
        <v>304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9">
        <v>1</v>
      </c>
      <c r="D41" s="48" t="s">
        <v>305</v>
      </c>
      <c r="E41" s="129"/>
      <c r="F41" s="128"/>
      <c r="G41" s="129"/>
      <c r="H41" s="129"/>
      <c r="I41" s="129"/>
      <c r="J41" s="129"/>
      <c r="K41" s="129"/>
      <c r="L41" s="129"/>
      <c r="M41" s="129"/>
      <c r="N41" s="129"/>
      <c r="O41" s="129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46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2" t="s">
        <v>300</v>
      </c>
      <c r="H9" s="151" t="s">
        <v>226</v>
      </c>
      <c r="I9" s="151"/>
      <c r="J9" s="151"/>
      <c r="K9" s="152" t="s">
        <v>248</v>
      </c>
      <c r="L9" s="152"/>
      <c r="M9" s="152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3" t="s">
        <v>299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45">
        <v>1</v>
      </c>
      <c r="G11" s="124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45">
        <v>2</v>
      </c>
      <c r="G12" s="124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45">
        <v>3</v>
      </c>
      <c r="G13" s="124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45">
        <v>4</v>
      </c>
      <c r="G14" s="124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45">
        <v>5</v>
      </c>
      <c r="G15" s="124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45">
        <v>6</v>
      </c>
      <c r="G16" s="124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45">
        <v>7</v>
      </c>
      <c r="G17" s="124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45">
        <v>8</v>
      </c>
      <c r="G18" s="124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45">
        <v>9</v>
      </c>
      <c r="G19" s="124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45">
        <v>10</v>
      </c>
      <c r="G20" s="124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45">
        <v>11</v>
      </c>
      <c r="G21" s="124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45">
        <v>12</v>
      </c>
      <c r="G22" s="124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45">
        <v>13</v>
      </c>
      <c r="G23" s="124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45">
        <v>14</v>
      </c>
      <c r="G24" s="124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45">
        <v>15</v>
      </c>
      <c r="G25" s="124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45">
        <v>16</v>
      </c>
      <c r="G26" s="124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45">
        <v>17</v>
      </c>
      <c r="G27" s="124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45">
        <v>18</v>
      </c>
      <c r="G28" s="124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45">
        <v>19</v>
      </c>
      <c r="G29" s="124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45">
        <v>20</v>
      </c>
      <c r="G30" s="124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45">
        <v>21</v>
      </c>
      <c r="G31" s="124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45">
        <v>22</v>
      </c>
      <c r="G32" s="124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45">
        <v>23</v>
      </c>
      <c r="G33" s="124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45">
        <v>24</v>
      </c>
      <c r="G34" s="124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45">
        <v>25</v>
      </c>
      <c r="G35" s="124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45">
        <v>26</v>
      </c>
      <c r="G36" s="124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45">
        <v>27</v>
      </c>
      <c r="G37" s="124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45">
        <v>28</v>
      </c>
      <c r="G38" s="124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45">
        <v>29</v>
      </c>
      <c r="G39" s="124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45">
        <v>30</v>
      </c>
      <c r="G40" s="124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45">
        <v>31</v>
      </c>
      <c r="G41" s="124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45">
        <v>32</v>
      </c>
      <c r="G42" s="124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45">
        <v>33</v>
      </c>
      <c r="G43" s="124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45">
        <v>34</v>
      </c>
      <c r="G44" s="124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45">
        <v>35</v>
      </c>
      <c r="G45" s="124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45">
        <v>36</v>
      </c>
      <c r="G46" s="124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45">
        <v>37</v>
      </c>
      <c r="G47" s="124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45">
        <v>38</v>
      </c>
      <c r="G48" s="124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45">
        <v>39</v>
      </c>
      <c r="G49" s="124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45">
        <v>40</v>
      </c>
      <c r="G50" s="124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47" t="s">
        <v>309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48" t="s">
        <v>308</v>
      </c>
      <c r="E53" s="148" t="s">
        <v>309</v>
      </c>
      <c r="F53" s="148"/>
      <c r="G53" s="149"/>
      <c r="H53" s="149"/>
      <c r="I53" s="149"/>
      <c r="J53" s="149"/>
      <c r="K53" s="149"/>
      <c r="L53" s="149"/>
      <c r="M53" s="149"/>
    </row>
    <row r="54" spans="2:13" ht="39.950000000000003" customHeight="1" x14ac:dyDescent="0.25">
      <c r="B54" s="28"/>
      <c r="C54" s="29" t="s">
        <v>30</v>
      </c>
      <c r="D54" s="148"/>
      <c r="E54" s="148"/>
      <c r="F54" s="148"/>
      <c r="G54" s="149"/>
      <c r="H54" s="149"/>
      <c r="I54" s="149"/>
      <c r="J54" s="149"/>
      <c r="K54" s="149"/>
      <c r="L54" s="149"/>
      <c r="M54" s="149"/>
    </row>
    <row r="55" spans="2:13" ht="8.1" customHeight="1" x14ac:dyDescent="0.25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0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0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3" ht="39.950000000000003" customHeight="1" x14ac:dyDescent="0.25">
      <c r="B64" s="28" t="s">
        <v>270</v>
      </c>
      <c r="C64" s="29" t="s">
        <v>228</v>
      </c>
      <c r="D64" s="147" t="s">
        <v>229</v>
      </c>
      <c r="E64" s="147" t="s">
        <v>230</v>
      </c>
      <c r="F64" s="147" t="s">
        <v>231</v>
      </c>
      <c r="G64" s="147" t="s">
        <v>272</v>
      </c>
      <c r="H64" s="147" t="s">
        <v>273</v>
      </c>
      <c r="I64" s="147" t="s">
        <v>274</v>
      </c>
      <c r="J64" s="147" t="s">
        <v>275</v>
      </c>
      <c r="K64" s="147"/>
      <c r="L64" s="147"/>
      <c r="M64" s="147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0"/>
      <c r="D66" s="121"/>
      <c r="E66" s="121"/>
      <c r="F66" s="121"/>
      <c r="G66" s="121"/>
      <c r="H66" s="121"/>
      <c r="I66" s="121"/>
      <c r="J66" s="121"/>
      <c r="K66" s="121"/>
      <c r="L66" s="121"/>
      <c r="M66" s="121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300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301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89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87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88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0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6"/>
      <c r="E6" s="125">
        <v>-1</v>
      </c>
      <c r="F6" s="63"/>
    </row>
    <row r="7" spans="2:6" ht="35.1" customHeight="1" x14ac:dyDescent="0.25">
      <c r="C7" s="37" t="s">
        <v>0</v>
      </c>
      <c r="D7" s="34" t="str">
        <f>IFERROR(VLOOKUP(D6,Store_Setting[[唯一识别码]:[取货小计]],2,0)&amp;"","")</f>
        <v/>
      </c>
      <c r="E7" s="84"/>
      <c r="F7" s="63"/>
    </row>
    <row r="8" spans="2:6" ht="35.1" customHeight="1" x14ac:dyDescent="0.25">
      <c r="C8" s="37" t="s">
        <v>41</v>
      </c>
      <c r="D8" s="34" t="str">
        <f>IFERROR(VLOOKUP(D6,Store_Setting[[唯一识别码]:[取货小计]],3,0)&amp;"","")</f>
        <v/>
      </c>
      <c r="E8" s="84"/>
      <c r="F8" s="63"/>
    </row>
    <row r="9" spans="2:6" ht="15" customHeight="1" x14ac:dyDescent="0.25">
      <c r="E9" s="84"/>
      <c r="F9" s="63"/>
    </row>
    <row r="10" spans="2:6" ht="35.1" customHeight="1" x14ac:dyDescent="0.25">
      <c r="B10" s="1" t="s">
        <v>234</v>
      </c>
      <c r="C10" s="13" t="s">
        <v>5</v>
      </c>
      <c r="D10" s="35"/>
      <c r="E10" s="126">
        <v>-1</v>
      </c>
      <c r="F10" s="63"/>
    </row>
    <row r="11" spans="2:6" ht="35.1" customHeight="1" x14ac:dyDescent="0.25">
      <c r="C11" s="13" t="s">
        <v>223</v>
      </c>
      <c r="D11" s="70"/>
      <c r="E11" s="126">
        <v>-1</v>
      </c>
      <c r="F11" s="63"/>
    </row>
    <row r="12" spans="2:6" ht="35.1" customHeight="1" x14ac:dyDescent="0.25">
      <c r="C12" s="13" t="s">
        <v>228</v>
      </c>
      <c r="D12" s="36"/>
      <c r="E12" s="125">
        <v>-1</v>
      </c>
      <c r="F12" s="63"/>
    </row>
    <row r="13" spans="2:6" ht="15" customHeight="1" x14ac:dyDescent="0.25">
      <c r="E13" s="84"/>
      <c r="F13" s="63"/>
    </row>
    <row r="14" spans="2:6" ht="135" customHeight="1" x14ac:dyDescent="0.25">
      <c r="C14" s="13" t="s">
        <v>7</v>
      </c>
      <c r="D14" s="36"/>
      <c r="E14" s="85"/>
      <c r="F14" s="63"/>
    </row>
    <row r="15" spans="2:6" ht="15" customHeight="1" x14ac:dyDescent="0.25">
      <c r="E15" s="84"/>
      <c r="F15" s="63"/>
    </row>
    <row r="16" spans="2:6" ht="35.1" customHeight="1" x14ac:dyDescent="0.25">
      <c r="B16" s="1" t="s">
        <v>291</v>
      </c>
      <c r="C16" s="13" t="s">
        <v>6</v>
      </c>
      <c r="D16" s="35" t="s">
        <v>309</v>
      </c>
      <c r="E16" s="84"/>
      <c r="F16" s="63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3</xdr:col>
                    <xdr:colOff>2514600</xdr:colOff>
                    <xdr:row>1</xdr:row>
                    <xdr:rowOff>190500</xdr:rowOff>
                  </from>
                  <to>
                    <xdr:col>3</xdr:col>
                    <xdr:colOff>3248025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3</xdr:col>
                    <xdr:colOff>1638300</xdr:colOff>
                    <xdr:row>1</xdr:row>
                    <xdr:rowOff>190500</xdr:rowOff>
                  </from>
                  <to>
                    <xdr:col>3</xdr:col>
                    <xdr:colOff>2371725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50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96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2" t="s">
        <v>310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00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3" customWidth="1"/>
    <col min="2" max="2" width="14.7109375" style="63" customWidth="1"/>
    <col min="3" max="3" width="15.7109375" style="63" customWidth="1"/>
    <col min="4" max="4" width="50.7109375" style="63" customWidth="1"/>
    <col min="5" max="5" width="5.7109375" style="84" customWidth="1"/>
    <col min="6" max="6" width="2.7109375" style="84" customWidth="1"/>
    <col min="7" max="16384" width="9.140625" style="84" hidden="1"/>
  </cols>
  <sheetData>
    <row r="1" spans="1:5" s="82" customFormat="1" ht="6" customHeight="1" x14ac:dyDescent="0.25">
      <c r="A1" s="60"/>
      <c r="B1" s="60"/>
      <c r="C1" s="60"/>
      <c r="D1" s="60"/>
    </row>
    <row r="2" spans="1:5" s="83" customFormat="1" ht="54.95" customHeight="1" x14ac:dyDescent="0.25">
      <c r="A2" s="62"/>
      <c r="B2" s="61" t="str">
        <f>设置!D7 &amp;" - 新增会员"</f>
        <v>Yi - 新增会员</v>
      </c>
      <c r="C2" s="61"/>
      <c r="D2" s="62"/>
    </row>
    <row r="3" spans="1:5" ht="8.1" customHeight="1" x14ac:dyDescent="0.25"/>
    <row r="4" spans="1:5" ht="35.1" customHeight="1" x14ac:dyDescent="0.25">
      <c r="B4" s="64" t="s">
        <v>88</v>
      </c>
      <c r="C4" s="10"/>
      <c r="D4" s="65"/>
      <c r="E4" s="91"/>
    </row>
    <row r="5" spans="1:5" ht="15" customHeight="1" x14ac:dyDescent="0.25"/>
    <row r="6" spans="1:5" ht="35.1" customHeight="1" x14ac:dyDescent="0.25">
      <c r="B6" s="66" t="s">
        <v>3</v>
      </c>
      <c r="C6" s="67" t="str">
        <f>CONCATENATE(IF(D8="","", _xlfn.CONCAT(D8)), IF(D9="","", _xlfn.CONCAT(D9)), IF(D10="","", _xlfn.CONCAT(" | ",D10)), IF(D14="","", _xlfn.CONCAT(" | ",D14)))</f>
        <v/>
      </c>
      <c r="D6" s="68"/>
      <c r="E6" s="92"/>
    </row>
    <row r="7" spans="1:5" ht="15" customHeight="1" x14ac:dyDescent="0.25"/>
    <row r="8" spans="1:5" ht="35.1" customHeight="1" x14ac:dyDescent="0.25">
      <c r="B8" s="63" t="s">
        <v>87</v>
      </c>
      <c r="C8" s="69" t="s">
        <v>27</v>
      </c>
      <c r="D8" s="16"/>
      <c r="E8" s="125">
        <v>-1</v>
      </c>
    </row>
    <row r="9" spans="1:5" ht="35.1" customHeight="1" x14ac:dyDescent="0.25">
      <c r="C9" s="69" t="s">
        <v>28</v>
      </c>
      <c r="D9" s="9"/>
      <c r="E9" s="126">
        <v>-1</v>
      </c>
    </row>
    <row r="10" spans="1:5" ht="35.1" customHeight="1" x14ac:dyDescent="0.25">
      <c r="C10" s="69" t="s">
        <v>1</v>
      </c>
      <c r="D10" s="9"/>
      <c r="E10" s="126"/>
    </row>
    <row r="11" spans="1:5" ht="35.1" customHeight="1" x14ac:dyDescent="0.25">
      <c r="C11" s="69" t="s">
        <v>22</v>
      </c>
      <c r="D11" s="9"/>
      <c r="E11" s="126"/>
    </row>
    <row r="12" spans="1:5" ht="35.1" customHeight="1" x14ac:dyDescent="0.25">
      <c r="C12" s="69" t="s">
        <v>21</v>
      </c>
      <c r="D12" s="59"/>
      <c r="E12" s="126"/>
    </row>
    <row r="13" spans="1:5" ht="15" customHeight="1" x14ac:dyDescent="0.25"/>
    <row r="14" spans="1:5" ht="35.1" customHeight="1" x14ac:dyDescent="0.25">
      <c r="B14" s="63" t="s">
        <v>91</v>
      </c>
      <c r="C14" s="69" t="s">
        <v>2</v>
      </c>
      <c r="D14" s="9"/>
      <c r="E14" s="126">
        <v>-1</v>
      </c>
    </row>
    <row r="15" spans="1:5" ht="35.1" customHeight="1" x14ac:dyDescent="0.25">
      <c r="C15" s="69" t="s">
        <v>23</v>
      </c>
      <c r="D15" s="9"/>
      <c r="E15" s="126"/>
    </row>
    <row r="16" spans="1:5" ht="75" customHeight="1" x14ac:dyDescent="0.25">
      <c r="C16" s="69" t="s">
        <v>24</v>
      </c>
      <c r="D16" s="16"/>
      <c r="E16" s="125"/>
    </row>
    <row r="17" spans="2:5" ht="15" customHeight="1" x14ac:dyDescent="0.25"/>
    <row r="18" spans="2:5" ht="135" customHeight="1" x14ac:dyDescent="0.25">
      <c r="C18" s="69" t="s">
        <v>7</v>
      </c>
      <c r="D18" s="16"/>
      <c r="E18" s="85"/>
    </row>
    <row r="19" spans="2:5" ht="15" customHeight="1" x14ac:dyDescent="0.25"/>
    <row r="20" spans="2:5" ht="35.1" customHeight="1" x14ac:dyDescent="0.25">
      <c r="B20" s="63" t="s">
        <v>291</v>
      </c>
      <c r="C20" s="69" t="s">
        <v>6</v>
      </c>
      <c r="D20" s="9" t="s">
        <v>309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3</xdr:col>
                    <xdr:colOff>2514600</xdr:colOff>
                    <xdr:row>1</xdr:row>
                    <xdr:rowOff>190500</xdr:rowOff>
                  </from>
                  <to>
                    <xdr:col>3</xdr:col>
                    <xdr:colOff>3248025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3</xdr:col>
                    <xdr:colOff>1638300</xdr:colOff>
                    <xdr:row>1</xdr:row>
                    <xdr:rowOff>190500</xdr:rowOff>
                  </from>
                  <to>
                    <xdr:col>3</xdr:col>
                    <xdr:colOff>2371725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09" customWidth="1"/>
    <col min="125" max="125" width="14.7109375" style="99" customWidth="1"/>
    <col min="126" max="126" width="8.7109375" style="96" customWidth="1"/>
    <col min="127" max="127" width="24.7109375" style="96" customWidth="1"/>
    <col min="128" max="128" width="12.7109375" style="96" customWidth="1"/>
    <col min="129" max="129" width="18.7109375" style="110" customWidth="1"/>
    <col min="130" max="130" width="28.7109375" style="86" customWidth="1"/>
    <col min="131" max="131" width="65.7109375" style="86" customWidth="1"/>
    <col min="132" max="132" width="26.7109375" style="97" customWidth="1"/>
    <col min="133" max="133" width="18.7109375" style="86" customWidth="1"/>
    <col min="134" max="134" width="28.7109375" style="135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1"/>
      <c r="DU4" s="111"/>
      <c r="DV4" s="111"/>
      <c r="DW4" s="111"/>
      <c r="DX4" s="111"/>
      <c r="DY4" s="111"/>
      <c r="DZ4" s="115"/>
      <c r="EA4" s="115"/>
      <c r="EB4" s="111"/>
      <c r="EC4" s="115"/>
      <c r="ED4" s="115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53" t="str">
        <f>设置!F11 &amp;" - 历史记录"</f>
        <v>1 - 历史记录</v>
      </c>
      <c r="F6" s="153"/>
      <c r="G6" s="103">
        <f>设置!F12</f>
        <v>2</v>
      </c>
      <c r="H6" s="154" t="str">
        <f>设置!F12 &amp;" - 历史记录"</f>
        <v>2 - 历史记录</v>
      </c>
      <c r="I6" s="154"/>
      <c r="J6" s="102">
        <f>设置!F13</f>
        <v>3</v>
      </c>
      <c r="K6" s="153" t="str">
        <f>设置!F13 &amp;" - 历史记录"</f>
        <v>3 - 历史记录</v>
      </c>
      <c r="L6" s="153"/>
      <c r="M6" s="103">
        <f>设置!F14</f>
        <v>4</v>
      </c>
      <c r="N6" s="154" t="str">
        <f>设置!F14 &amp;" - 历史记录"</f>
        <v>4 - 历史记录</v>
      </c>
      <c r="O6" s="154"/>
      <c r="P6" s="102">
        <f>设置!F15</f>
        <v>5</v>
      </c>
      <c r="Q6" s="153" t="str">
        <f>设置!F15 &amp;" - 历史记录"</f>
        <v>5 - 历史记录</v>
      </c>
      <c r="R6" s="153"/>
      <c r="S6" s="103">
        <f>设置!F16</f>
        <v>6</v>
      </c>
      <c r="T6" s="154" t="str">
        <f>设置!F16 &amp;" - 历史记录"</f>
        <v>6 - 历史记录</v>
      </c>
      <c r="U6" s="154"/>
      <c r="V6" s="102">
        <f>设置!F17</f>
        <v>7</v>
      </c>
      <c r="W6" s="153" t="str">
        <f>设置!F17 &amp;" - 历史记录"</f>
        <v>7 - 历史记录</v>
      </c>
      <c r="X6" s="153"/>
      <c r="Y6" s="103">
        <f>设置!F18</f>
        <v>8</v>
      </c>
      <c r="Z6" s="154" t="str">
        <f>设置!F18 &amp;" - 历史记录"</f>
        <v>8 - 历史记录</v>
      </c>
      <c r="AA6" s="154"/>
      <c r="AB6" s="102">
        <f>设置!F19</f>
        <v>9</v>
      </c>
      <c r="AC6" s="153" t="str">
        <f>设置!F19 &amp;" - 历史记录"</f>
        <v>9 - 历史记录</v>
      </c>
      <c r="AD6" s="153"/>
      <c r="AE6" s="103">
        <f>设置!F20</f>
        <v>10</v>
      </c>
      <c r="AF6" s="154" t="str">
        <f>设置!F20 &amp;" - 历史记录"</f>
        <v>10 - 历史记录</v>
      </c>
      <c r="AG6" s="154"/>
      <c r="AH6" s="102">
        <f>设置!F21</f>
        <v>11</v>
      </c>
      <c r="AI6" s="153" t="str">
        <f>设置!F21 &amp;" - 历史记录"</f>
        <v>11 - 历史记录</v>
      </c>
      <c r="AJ6" s="153"/>
      <c r="AK6" s="103">
        <f>设置!F22</f>
        <v>12</v>
      </c>
      <c r="AL6" s="154" t="str">
        <f>设置!F22 &amp;" - 历史记录"</f>
        <v>12 - 历史记录</v>
      </c>
      <c r="AM6" s="154"/>
      <c r="AN6" s="102">
        <f>设置!F23</f>
        <v>13</v>
      </c>
      <c r="AO6" s="153" t="str">
        <f>设置!F23 &amp;" - 历史记录"</f>
        <v>13 - 历史记录</v>
      </c>
      <c r="AP6" s="153"/>
      <c r="AQ6" s="103">
        <f>设置!F24</f>
        <v>14</v>
      </c>
      <c r="AR6" s="154" t="str">
        <f>设置!F24 &amp;" - 历史记录"</f>
        <v>14 - 历史记录</v>
      </c>
      <c r="AS6" s="154"/>
      <c r="AT6" s="102">
        <f>设置!F25</f>
        <v>15</v>
      </c>
      <c r="AU6" s="153" t="str">
        <f>设置!F25 &amp;" - 历史记录"</f>
        <v>15 - 历史记录</v>
      </c>
      <c r="AV6" s="153"/>
      <c r="AW6" s="103">
        <f>设置!F26</f>
        <v>16</v>
      </c>
      <c r="AX6" s="154" t="str">
        <f>设置!F26 &amp;" - 历史记录"</f>
        <v>16 - 历史记录</v>
      </c>
      <c r="AY6" s="154"/>
      <c r="AZ6" s="102">
        <f>设置!F27</f>
        <v>17</v>
      </c>
      <c r="BA6" s="153" t="str">
        <f>设置!F27 &amp;" - 历史记录"</f>
        <v>17 - 历史记录</v>
      </c>
      <c r="BB6" s="153"/>
      <c r="BC6" s="103">
        <f>设置!F28</f>
        <v>18</v>
      </c>
      <c r="BD6" s="154" t="str">
        <f>设置!F28 &amp;" - 历史记录"</f>
        <v>18 - 历史记录</v>
      </c>
      <c r="BE6" s="154"/>
      <c r="BF6" s="102">
        <f>设置!F29</f>
        <v>19</v>
      </c>
      <c r="BG6" s="153" t="str">
        <f>设置!F29 &amp;" - 历史记录"</f>
        <v>19 - 历史记录</v>
      </c>
      <c r="BH6" s="153"/>
      <c r="BI6" s="103">
        <f>设置!F30</f>
        <v>20</v>
      </c>
      <c r="BJ6" s="154" t="str">
        <f>设置!F30 &amp;" - 历史记录"</f>
        <v>20 - 历史记录</v>
      </c>
      <c r="BK6" s="154"/>
      <c r="BL6" s="104">
        <f>设置!F31</f>
        <v>21</v>
      </c>
      <c r="BM6" s="155" t="str">
        <f>设置!F31 &amp;" - 历史记录"</f>
        <v>21 - 历史记录</v>
      </c>
      <c r="BN6" s="155"/>
      <c r="BO6" s="103">
        <f>设置!F32</f>
        <v>22</v>
      </c>
      <c r="BP6" s="154" t="str">
        <f>设置!F32 &amp;" - 历史记录"</f>
        <v>22 - 历史记录</v>
      </c>
      <c r="BQ6" s="154"/>
      <c r="BR6" s="104">
        <f>设置!F33</f>
        <v>23</v>
      </c>
      <c r="BS6" s="155" t="str">
        <f>设置!F33 &amp;" - 历史记录"</f>
        <v>23 - 历史记录</v>
      </c>
      <c r="BT6" s="155"/>
      <c r="BU6" s="103">
        <f>设置!F34</f>
        <v>24</v>
      </c>
      <c r="BV6" s="154" t="str">
        <f>设置!F34 &amp;" - 历史记录"</f>
        <v>24 - 历史记录</v>
      </c>
      <c r="BW6" s="154"/>
      <c r="BX6" s="104">
        <f>设置!F35</f>
        <v>25</v>
      </c>
      <c r="BY6" s="155" t="str">
        <f>设置!F35 &amp;" - 历史记录"</f>
        <v>25 - 历史记录</v>
      </c>
      <c r="BZ6" s="155"/>
      <c r="CA6" s="103">
        <f>设置!F36</f>
        <v>26</v>
      </c>
      <c r="CB6" s="154" t="str">
        <f>设置!F36 &amp;" - 历史记录"</f>
        <v>26 - 历史记录</v>
      </c>
      <c r="CC6" s="154"/>
      <c r="CD6" s="104">
        <f>设置!F37</f>
        <v>27</v>
      </c>
      <c r="CE6" s="155" t="str">
        <f>设置!F37 &amp;" - 历史记录"</f>
        <v>27 - 历史记录</v>
      </c>
      <c r="CF6" s="155"/>
      <c r="CG6" s="103">
        <f>设置!F38</f>
        <v>28</v>
      </c>
      <c r="CH6" s="154" t="str">
        <f>设置!F38 &amp;" - 历史记录"</f>
        <v>28 - 历史记录</v>
      </c>
      <c r="CI6" s="154"/>
      <c r="CJ6" s="104">
        <f>设置!F39</f>
        <v>29</v>
      </c>
      <c r="CK6" s="155" t="str">
        <f>设置!F39 &amp;" - 历史记录"</f>
        <v>29 - 历史记录</v>
      </c>
      <c r="CL6" s="155"/>
      <c r="CM6" s="103">
        <f>设置!F40</f>
        <v>30</v>
      </c>
      <c r="CN6" s="154" t="str">
        <f>设置!F40 &amp;" - 历史记录"</f>
        <v>30 - 历史记录</v>
      </c>
      <c r="CO6" s="154"/>
      <c r="CP6" s="104">
        <f>设置!F41</f>
        <v>31</v>
      </c>
      <c r="CQ6" s="155" t="str">
        <f>设置!F41 &amp;" - 历史记录"</f>
        <v>31 - 历史记录</v>
      </c>
      <c r="CR6" s="155"/>
      <c r="CS6" s="103">
        <f>设置!F42</f>
        <v>32</v>
      </c>
      <c r="CT6" s="154" t="str">
        <f>设置!F42 &amp;" - 历史记录"</f>
        <v>32 - 历史记录</v>
      </c>
      <c r="CU6" s="154"/>
      <c r="CV6" s="104">
        <f>设置!F43</f>
        <v>33</v>
      </c>
      <c r="CW6" s="155" t="str">
        <f>设置!F43 &amp;" - 历史记录"</f>
        <v>33 - 历史记录</v>
      </c>
      <c r="CX6" s="155"/>
      <c r="CY6" s="103">
        <f>设置!F44</f>
        <v>34</v>
      </c>
      <c r="CZ6" s="154" t="str">
        <f>设置!F44 &amp;" - 历史记录"</f>
        <v>34 - 历史记录</v>
      </c>
      <c r="DA6" s="154"/>
      <c r="DB6" s="104">
        <f>设置!F45</f>
        <v>35</v>
      </c>
      <c r="DC6" s="155" t="str">
        <f>设置!F45 &amp;" - 历史记录"</f>
        <v>35 - 历史记录</v>
      </c>
      <c r="DD6" s="155"/>
      <c r="DE6" s="103">
        <f>设置!F46</f>
        <v>36</v>
      </c>
      <c r="DF6" s="154" t="str">
        <f>设置!F46 &amp;" - 历史记录"</f>
        <v>36 - 历史记录</v>
      </c>
      <c r="DG6" s="154"/>
      <c r="DH6" s="104">
        <f>设置!F47</f>
        <v>37</v>
      </c>
      <c r="DI6" s="155" t="str">
        <f>设置!F47 &amp;" - 历史记录"</f>
        <v>37 - 历史记录</v>
      </c>
      <c r="DJ6" s="155"/>
      <c r="DK6" s="103">
        <f>设置!F48</f>
        <v>38</v>
      </c>
      <c r="DL6" s="154" t="str">
        <f>设置!F48 &amp;" - 历史记录"</f>
        <v>38 - 历史记录</v>
      </c>
      <c r="DM6" s="154"/>
      <c r="DN6" s="104">
        <f>设置!F49</f>
        <v>39</v>
      </c>
      <c r="DO6" s="155" t="str">
        <f>设置!F49 &amp;" - 历史记录"</f>
        <v>39 - 历史记录</v>
      </c>
      <c r="DP6" s="155"/>
      <c r="DQ6" s="103">
        <f>设置!F50</f>
        <v>40</v>
      </c>
      <c r="DR6" s="154" t="str">
        <f>设置!F50 &amp;" - 历史记录"</f>
        <v>40 - 历史记录</v>
      </c>
      <c r="DS6" s="154"/>
      <c r="DT6" s="153" t="s">
        <v>72</v>
      </c>
      <c r="DU6" s="153"/>
      <c r="DV6" s="153"/>
      <c r="DW6" s="153"/>
      <c r="DX6" s="153"/>
      <c r="DY6" s="153" t="s">
        <v>89</v>
      </c>
      <c r="DZ6" s="153"/>
      <c r="EA6" s="153"/>
      <c r="EB6" s="153" t="s">
        <v>292</v>
      </c>
      <c r="EC6" s="153"/>
      <c r="ED6" s="118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6" t="s">
        <v>23</v>
      </c>
      <c r="EA8" s="116" t="s">
        <v>24</v>
      </c>
      <c r="EB8" s="112" t="s">
        <v>73</v>
      </c>
      <c r="EC8" s="116" t="s">
        <v>74</v>
      </c>
      <c r="ED8" s="116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311</v>
      </c>
      <c r="DZ9" s="117" t="s">
        <v>283</v>
      </c>
      <c r="EA9" s="117" t="s">
        <v>128</v>
      </c>
      <c r="EB9" s="95">
        <v>45268.505555555559</v>
      </c>
      <c r="EC9" s="117"/>
      <c r="ED9" s="119" t="s">
        <v>296</v>
      </c>
      <c r="EE9" s="15"/>
    </row>
    <row r="10" spans="1:135" ht="39.950000000000003" customHeight="1" x14ac:dyDescent="0.2">
      <c r="B10" s="56" cm="1">
        <f t="array" ref="B10">SN</f>
        <v>2</v>
      </c>
      <c r="C10" s="130" t="str" cm="1">
        <f t="array" ref="C10">GUID</f>
        <v>李怡 | 女 | 7551</v>
      </c>
      <c r="D10" s="131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31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31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31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31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31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31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31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31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31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31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31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31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31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31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31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31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31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31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31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306</v>
      </c>
      <c r="DU10" s="75" t="s">
        <v>307</v>
      </c>
      <c r="DV10" s="76" t="s">
        <v>11</v>
      </c>
      <c r="DW10" s="76" t="s">
        <v>128</v>
      </c>
      <c r="DX10" s="57"/>
      <c r="DY10" s="76" t="s">
        <v>312</v>
      </c>
      <c r="DZ10" s="117"/>
      <c r="EA10" s="117"/>
      <c r="EB10" s="95">
        <v>45268.505555555559</v>
      </c>
      <c r="EC10" s="117"/>
      <c r="ED10" s="119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28.7109375" style="134" customWidth="1"/>
    <col min="48" max="48" width="8.7109375" style="140" customWidth="1"/>
    <col min="49" max="49" width="14.7109375" style="141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3" customFormat="1" ht="6" customHeight="1" x14ac:dyDescent="0.25">
      <c r="AV1" s="136"/>
      <c r="AW1" s="136"/>
      <c r="AX1" s="136"/>
      <c r="AY1" s="136"/>
    </row>
    <row r="2" spans="2:51" s="62" customFormat="1" ht="54.95" customHeight="1" x14ac:dyDescent="0.25">
      <c r="B2" s="61" t="str">
        <f>设置!D7 &amp;" - 历史记录"</f>
        <v>Yi - 历史记录</v>
      </c>
      <c r="D2" s="114"/>
      <c r="AV2" s="137"/>
      <c r="AW2" s="137"/>
      <c r="AX2" s="137"/>
      <c r="AY2" s="137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38"/>
      <c r="AW4" s="138"/>
      <c r="AX4" s="138"/>
      <c r="AY4" s="138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53" t="s">
        <v>84</v>
      </c>
      <c r="AS6" s="153"/>
      <c r="AT6" s="153"/>
      <c r="AU6" s="153"/>
      <c r="AV6" s="156" t="s">
        <v>83</v>
      </c>
      <c r="AW6" s="156"/>
      <c r="AX6" s="156"/>
      <c r="AY6" s="156"/>
    </row>
    <row r="7" spans="2:51" s="105" customFormat="1" ht="8.1" customHeight="1" x14ac:dyDescent="0.2">
      <c r="AV7" s="139"/>
      <c r="AW7" s="139"/>
      <c r="AX7" s="139"/>
      <c r="AY7" s="139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6" t="s">
        <v>27</v>
      </c>
      <c r="AW8" s="116" t="s">
        <v>28</v>
      </c>
      <c r="AX8" s="116" t="s">
        <v>1</v>
      </c>
      <c r="AY8" s="116" t="s">
        <v>2</v>
      </c>
    </row>
    <row r="9" spans="2:51" ht="39.75" customHeight="1" x14ac:dyDescent="0.25">
      <c r="B9" s="58" cm="1">
        <f t="array" ref="B9">SN</f>
        <v>1</v>
      </c>
      <c r="C9" s="77" t="s">
        <v>314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297</v>
      </c>
      <c r="AV9" s="133" t="str" cm="1">
        <f t="array" ref="AV9">Get_GUID_Surname</f>
        <v>冯</v>
      </c>
      <c r="AW9" s="131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2" t="s">
        <v>313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297</v>
      </c>
      <c r="AV10" s="133" t="str" cm="1">
        <f t="array" ref="AV10">Get_GUID_Surname</f>
        <v>李</v>
      </c>
      <c r="AW10" s="131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2023-12-12T12:40:17Z</dcterms:modified>
</cp:coreProperties>
</file>