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8FA894AA-CCD4-42A8-B9F8-BCA6672A9CAA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P10" i="6" s="1" a="1"/>
  <c r="P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DH10" i="6" s="1" a="1"/>
  <c r="DH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S10" i="6" a="1"/>
  <c r="S10" i="6" s="1"/>
  <c r="D10" i="6" a="1"/>
  <c r="D10" i="6" s="1"/>
  <c r="B7" i="8" a="1"/>
  <c r="B7" i="8" s="1"/>
  <c r="H6" i="5"/>
  <c r="I6" i="5"/>
  <c r="B2" i="9"/>
  <c r="B2" i="8"/>
  <c r="C6" i="4"/>
  <c r="AN10" i="6" l="1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<sst xmlns="http://schemas.openxmlformats.org/spreadsheetml/2006/main" count="382" uniqueCount="315">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</sst>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</cellXfs>
  <cellStyles count="2">
    <cellStyle name="Hyperlink" xfId="1" builtinId="8"/>
    <cellStyle name="Normal" xfId="0" builtinId="0"/>
  </cellStyles>
  <dxfs count="35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195139</xdr:rowOff>
    </xdr:from>
    <xdr:to>
      <xdr:col>2</xdr:col>
      <xdr:colOff>709494</xdr:colOff>
      <xdr:row>4</xdr:row>
      <xdr:rowOff>317059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0233" y="396525"/>
          <a:ext cx="660261" cy="731520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246081</xdr:colOff>
      <xdr:row>2</xdr:row>
      <xdr:rowOff>198437</xdr:rowOff>
    </xdr:from>
    <xdr:to>
      <xdr:col>1</xdr:col>
      <xdr:colOff>906342</xdr:colOff>
      <xdr:row>4</xdr:row>
      <xdr:rowOff>320357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6581" y="399823"/>
          <a:ext cx="660261" cy="731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3076575</xdr:colOff>
          <xdr:row>1</xdr:row>
          <xdr:rowOff>200025</xdr:rowOff>
        </xdr:from>
        <xdr:to>
          <xdr:col>4</xdr:col>
          <xdr:colOff>133350</xdr:colOff>
          <xdr:row>1</xdr:row>
          <xdr:rowOff>476250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2219325</xdr:colOff>
          <xdr:row>1</xdr:row>
          <xdr:rowOff>200025</xdr:rowOff>
        </xdr:from>
        <xdr:to>
          <xdr:col>3</xdr:col>
          <xdr:colOff>2857500</xdr:colOff>
          <xdr:row>1</xdr:row>
          <xdr:rowOff>476250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3076575</xdr:colOff>
          <xdr:row>1</xdr:row>
          <xdr:rowOff>200025</xdr:rowOff>
        </xdr:from>
        <xdr:to>
          <xdr:col>4</xdr:col>
          <xdr:colOff>133350</xdr:colOff>
          <xdr:row>1</xdr:row>
          <xdr:rowOff>476250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2219325</xdr:colOff>
          <xdr:row>1</xdr:row>
          <xdr:rowOff>200025</xdr:rowOff>
        </xdr:from>
        <xdr:to>
          <xdr:col>3</xdr:col>
          <xdr:colOff>2857500</xdr:colOff>
          <xdr:row>1</xdr:row>
          <xdr:rowOff>476250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5"/>
    <tableColumn id="2" xr3:uid="{C28244F3-482D-4CFC-B629-A29496B98C0B}" name="商品名称" dataDxfId="3"/>
    <tableColumn id="11" xr3:uid="{71958388-9C14-426E-8457-DCEA92BC0E87}" name="负差" dataDxfId="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4">
      <calculatedColumnFormula>SUM(UserInfo[1 - 剩余])</calculatedColumnFormula>
    </tableColumn>
    <tableColumn id="7" xr3:uid="{75829BDD-5513-4744-8184-35AE3788771C}" name="已存入" dataDxfId="343">
      <calculatedColumnFormula>SUM(UserInfo[1 - 存入])</calculatedColumnFormula>
    </tableColumn>
    <tableColumn id="6" xr3:uid="{B71F91EB-0024-4EC1-8035-3636C31B3740}" name="已支取" dataDxfId="342">
      <calculatedColumnFormula>SUM(UserInfo[1 - 支取])</calculatedColumnFormula>
    </tableColumn>
    <tableColumn id="5" xr3:uid="{6E4E3255-2204-43C6-A50C-EEAF08580A14}" name="库存负差" dataDxfId="341">
      <calculatedColumnFormula>Store_Setting[[#This Row],[入库小计]]-Store_Setting[[#This Row],[取货小计]]</calculatedColumnFormula>
    </tableColumn>
    <tableColumn id="9" xr3:uid="{7DA9A308-8441-49E3-B1B4-6AF7A14784F7}" name="入库小计" dataDxfId="340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9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6" dataDxfId="335">
  <autoFilter ref="B6:K7" xr:uid="{B82E5E9F-8725-4EAF-B9F2-1889C4CE31C6}"/>
  <tableColumns count="10">
    <tableColumn id="1" xr3:uid="{CCD5A4A0-03A2-44F4-8FB0-E2743E043E7C}" name="序号" dataDxfId="2">
      <calculatedColumnFormula array="1">SNGKI</calculatedColumnFormula>
    </tableColumn>
    <tableColumn id="2" xr3:uid="{BE286F67-B0FA-40D9-BDA1-B2CFCEBCEB36}" name="唯一识别码" dataDxfId="0"/>
    <tableColumn id="6" xr3:uid="{148867ED-CDB5-4DC9-923C-601F80EB1640}" name="商品序号" dataDxfId="1">
      <calculatedColumnFormula array="1">Get_Store_SN</calculatedColumnFormula>
    </tableColumn>
    <tableColumn id="5" xr3:uid="{1911F1F5-D5AD-4950-85F5-813E0E394FE9}" name="商品名称" dataDxfId="334">
      <calculatedColumnFormula array="1">Get_Store_Name</calculatedColumnFormula>
    </tableColumn>
    <tableColumn id="4" xr3:uid="{9CF218BF-31BE-437E-9285-7CE338B0180C}" name="类型" dataDxfId="333"/>
    <tableColumn id="38" xr3:uid="{BE6B60B8-5A23-4085-9CC5-0D91831F16B6}" name="数量" dataDxfId="332"/>
    <tableColumn id="9" xr3:uid="{BCC80DB2-EF55-4BCC-9A8B-636F5A0886E8}" name="单位" dataDxfId="331"/>
    <tableColumn id="3" xr3:uid="{CCD860BE-34B0-4F57-8823-4D2C9F7985B4}" name="时间" dataDxfId="330"/>
    <tableColumn id="7" xr3:uid="{38DADDD1-29F3-4A23-B844-9D021C0D5F68}" name="工号" dataDxfId="329"/>
    <tableColumn id="8" xr3:uid="{945E147D-AEC8-4CD6-9889-CC8A2ADA4657}" name="备注" dataDxfId="32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25" dataDxfId="324" totalsRowDxfId="323">
  <autoFilter ref="B8:ED10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7" dataDxfId="56">
  <autoFilter ref="B8:AY10" xr:uid="{B82E5E9F-8725-4EAF-B9F2-1889C4CE31C6}"/>
  <tableColumns count="50">
    <tableColumn id="1" xr3:uid="{B2E2102C-8F4D-4C47-9CD3-463EA2BB39CA}" name="序号" dataDxfId="55">
      <calculatedColumnFormula array="1">SN</calculatedColumnFormula>
    </tableColumn>
    <tableColumn id="2" xr3:uid="{B2493920-5E1A-4FDC-9855-B9542A099E48}" name="唯一识别码" dataDxfId="54"/>
    <tableColumn id="5" xr3:uid="{5B86D5AB-C839-4645-A1C3-6DB8BE627282}" name="1" dataDxfId="53"/>
    <tableColumn id="6" xr3:uid="{D0DA84C9-F1D2-46E3-B7CE-A8366D8983EB}" name="2" dataDxfId="52"/>
    <tableColumn id="18" xr3:uid="{9E40E7FF-8010-4EF5-8D65-05F090D03F3E}" name="3" dataDxfId="51"/>
    <tableColumn id="21" xr3:uid="{5F083938-0DC4-423F-A299-44247D468027}" name="4" dataDxfId="50"/>
    <tableColumn id="22" xr3:uid="{24908B7A-CF9B-4D63-9022-D399C13A94C1}" name="5" dataDxfId="49"/>
    <tableColumn id="19" xr3:uid="{BEB80215-8B61-4914-86E2-724F4F55059E}" name="6" dataDxfId="48"/>
    <tableColumn id="20" xr3:uid="{E54DF6BD-FDB6-4958-9792-37D84186C5F8}" name="7" dataDxfId="47"/>
    <tableColumn id="17" xr3:uid="{3C5E9469-24AB-4CCF-9097-5413D53FE08B}" name="8" dataDxfId="46"/>
    <tableColumn id="25" xr3:uid="{DF31ADD6-D425-448A-84D6-24EA4C755749}" name="9" dataDxfId="45"/>
    <tableColumn id="24" xr3:uid="{C42F8972-B742-4D35-A952-3D872596299B}" name="10" dataDxfId="44"/>
    <tableColumn id="23" xr3:uid="{B41C44E2-038E-439D-88E8-97ACB7CC434D}" name="11" dataDxfId="43"/>
    <tableColumn id="16" xr3:uid="{6BD74C15-D3CF-47C3-AFCC-D562BF1584D8}" name="12" dataDxfId="42"/>
    <tableColumn id="26" xr3:uid="{3AA81C31-DC87-4EC0-8317-62466BCA688D}" name="13" dataDxfId="41"/>
    <tableColumn id="29" xr3:uid="{C0462957-AD6C-4B5C-8DE8-98D81D3496D1}" name="14" dataDxfId="40"/>
    <tableColumn id="30" xr3:uid="{91E73BB4-A5D3-4098-ADFA-7676E1DD74AC}" name="15" dataDxfId="39"/>
    <tableColumn id="27" xr3:uid="{7188DC63-0EDC-479C-8DF8-171846E035A9}" name="16" dataDxfId="38"/>
    <tableColumn id="28" xr3:uid="{902017B5-4692-492C-9165-FFBAA7A9EFA2}" name="17" dataDxfId="37"/>
    <tableColumn id="15" xr3:uid="{3A772841-0990-4D32-BD79-3A55F182D58A}" name="18" dataDxfId="36"/>
    <tableColumn id="13" xr3:uid="{5994AF1F-2C09-49F7-BEAE-5244545BE579}" name="19" dataDxfId="35"/>
    <tableColumn id="12" xr3:uid="{52D6369B-5841-4774-8BDE-05C74F09EAC1}" name="20" dataDxfId="34"/>
    <tableColumn id="31" xr3:uid="{C83E34E8-13E7-40AC-9737-31D4F44EA5C0}" name="21" dataDxfId="33"/>
    <tableColumn id="33" xr3:uid="{20040D15-F787-4792-8F8C-D184E466DD4A}" name="22" dataDxfId="32"/>
    <tableColumn id="39" xr3:uid="{874A0112-6044-4784-9336-AC836F681062}" name="23" dataDxfId="31"/>
    <tableColumn id="40" xr3:uid="{A335E465-437A-4DCA-AE73-6DBF20019402}" name="24" dataDxfId="30"/>
    <tableColumn id="41" xr3:uid="{723CE42E-61DF-4AF1-B805-025AD3796144}" name="25" dataDxfId="29"/>
    <tableColumn id="47" xr3:uid="{AC0C5112-91DB-476F-9326-03A00C1CC4D7}" name="26" dataDxfId="28"/>
    <tableColumn id="48" xr3:uid="{0CCD12DC-90CB-4A7B-B37F-0CDFD12C9E26}" name="27" dataDxfId="27"/>
    <tableColumn id="49" xr3:uid="{32093088-A6B1-4E81-8060-8081572AEB3C}" name="28" dataDxfId="26"/>
    <tableColumn id="50" xr3:uid="{E73E4046-D91C-4103-8FF5-CE3DABE5943E}" name="29" dataDxfId="25"/>
    <tableColumn id="42" xr3:uid="{7535B89E-1BDE-4FCD-8270-64B6BD553E66}" name="30" dataDxfId="24"/>
    <tableColumn id="43" xr3:uid="{0EF5131B-2964-41D8-8B4F-5CE8425A8E17}" name="31" dataDxfId="23"/>
    <tableColumn id="44" xr3:uid="{07794504-345E-44DA-BFFD-0FC011CA8C0C}" name="32" dataDxfId="22"/>
    <tableColumn id="45" xr3:uid="{742F74DB-184C-47F9-BC8D-88717E4EAAE9}" name="33" dataDxfId="21"/>
    <tableColumn id="46" xr3:uid="{6C4ACE81-DC94-4085-8445-2A590B8AC004}" name="34" dataDxfId="20"/>
    <tableColumn id="36" xr3:uid="{B8E7051A-604E-4DED-90C9-55AFE95C1751}" name="35" dataDxfId="19"/>
    <tableColumn id="37" xr3:uid="{D0A1BB8D-7A59-4F4C-9F61-A39E97785CEF}" name="36" dataDxfId="18"/>
    <tableColumn id="38" xr3:uid="{16A3E285-8C93-4999-A0E2-03857615F7A9}" name="37" dataDxfId="17"/>
    <tableColumn id="34" xr3:uid="{8FFD9156-81BC-4797-9171-05EBE094577A}" name="38" dataDxfId="16"/>
    <tableColumn id="35" xr3:uid="{399AED98-1FD4-4BCA-BA5E-1AF3891EC865}" name="39" dataDxfId="15"/>
    <tableColumn id="32" xr3:uid="{A8DF16A5-4D2C-4246-8D26-BA66F2E409B7}" name="40" dataDxfId="14"/>
    <tableColumn id="4" xr3:uid="{702BF576-18B9-4757-B976-A4C2C46CD578}" name="类型" dataDxfId="13"/>
    <tableColumn id="3" xr3:uid="{2DB9E3FB-FAB2-4AAE-92D3-3923415905C1}" name="时间" dataDxfId="12"/>
    <tableColumn id="7" xr3:uid="{09F84C56-CC9A-4AF7-B58F-B7114DD50367}" name="工号" dataDxfId="11"/>
    <tableColumn id="8" xr3:uid="{56756BBB-4B3E-40A7-A199-808B905113E1}" name="备注" dataDxfId="10"/>
    <tableColumn id="9" xr3:uid="{BCE20F30-9475-46D1-BEB1-DF495963EC10}" name="姓氏" dataDxfId="9">
      <calculatedColumnFormula array="1">Get_GUID_Surname</calculatedColumnFormula>
    </tableColumn>
    <tableColumn id="14" xr3:uid="{10D88850-369F-44DB-B01C-39765423DC2D}" name="名字" dataDxfId="8">
      <calculatedColumnFormula array="1">Get_GUID_FirstName</calculatedColumnFormula>
    </tableColumn>
    <tableColumn id="11" xr3:uid="{A2574277-30B9-48C6-9CD0-6FB63841CC2C}" name="性别" dataDxfId="7">
      <calculatedColumnFormula array="1">Get_GUID_Sex</calculatedColumnFormula>
    </tableColumn>
    <tableColumn id="10" xr3:uid="{0F3F93DF-DD01-4264-8F73-28B0327E8641}" name="电话" dataDxfId="6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9" customWidth="1"/>
    <col min="3" max="3" width="12" style="19" customWidth="1"/>
    <col min="4" max="4" width="12.7109375" style="19" customWidth="1"/>
    <col min="5" max="15" width="9.140625" style="19" customWidth="1"/>
    <col min="16" max="17" width="2.7109375" style="19" customWidth="1"/>
    <col min="18" max="16384" width="9.140625" style="19" hidden="1"/>
  </cols>
  <sheetData>
    <row r="1" spans="1:17" s="4" customFormat="1" ht="6" customHeight="1" x14ac:dyDescent="0.25"/>
    <row r="2" spans="1:17" s="24" customFormat="1" ht="9.9499999999999993" customHeight="1" x14ac:dyDescent="0.25"/>
    <row r="3" spans="1:17" s="1" customFormat="1" ht="39.950000000000003" customHeight="1" x14ac:dyDescent="0.25">
      <c r="A3" s="81"/>
      <c r="B3" s="81"/>
      <c r="C3" s="81"/>
      <c r="D3" s="142" t="s">
        <v>136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</row>
    <row r="4" spans="1:17" s="1" customFormat="1" ht="8.1" customHeight="1" x14ac:dyDescent="0.25">
      <c r="A4" s="81"/>
      <c r="B4" s="81"/>
      <c r="C4" s="81"/>
      <c r="D4" s="143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</row>
    <row r="5" spans="1:17" s="1" customFormat="1" ht="39.950000000000003" customHeight="1" x14ac:dyDescent="0.25">
      <c r="A5" s="81"/>
      <c r="B5" s="81"/>
      <c r="C5" s="81"/>
      <c r="D5" s="144" t="s">
        <v>285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4" t="s">
        <v>250</v>
      </c>
      <c r="D8" s="52"/>
      <c r="E8" s="52"/>
      <c r="F8" s="54"/>
      <c r="G8" s="52"/>
      <c r="H8" s="52"/>
      <c r="I8" s="52"/>
      <c r="J8" s="52"/>
      <c r="K8" s="52"/>
      <c r="L8" s="52"/>
      <c r="M8" s="52"/>
      <c r="N8" s="52"/>
      <c r="O8" s="52"/>
      <c r="P8" s="1"/>
    </row>
    <row r="9" spans="1:17" ht="39.950000000000003" customHeight="1" thickTop="1" x14ac:dyDescent="0.25">
      <c r="B9" s="1"/>
      <c r="C9" s="1">
        <v>1</v>
      </c>
      <c r="D9" s="48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8" t="s">
        <v>286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8" t="s">
        <v>287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8" t="s">
        <v>269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8" t="s">
        <v>277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41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4" t="s">
        <v>135</v>
      </c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1"/>
    </row>
    <row r="16" spans="1:17" ht="39.950000000000003" customHeight="1" thickTop="1" x14ac:dyDescent="0.25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3" t="s">
        <v>264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3" t="s">
        <v>265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124</v>
      </c>
      <c r="E22" s="23" t="s">
        <v>278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3" t="s">
        <v>263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3" t="s">
        <v>262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3" t="s">
        <v>279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3" t="s">
        <v>298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139</v>
      </c>
      <c r="E30" s="23" t="s">
        <v>280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239</v>
      </c>
      <c r="E31" s="23" t="s">
        <v>282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240</v>
      </c>
      <c r="E32" s="23" t="s">
        <v>281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90</v>
      </c>
      <c r="E34" s="93">
        <v>1</v>
      </c>
      <c r="F34" s="94" t="s">
        <v>246</v>
      </c>
      <c r="G34" s="1"/>
      <c r="H34" s="93">
        <v>1</v>
      </c>
      <c r="I34" s="127" t="s">
        <v>303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3">
        <v>0</v>
      </c>
      <c r="F35" s="94" t="s">
        <v>85</v>
      </c>
      <c r="G35" s="1"/>
      <c r="H35" s="93">
        <v>0</v>
      </c>
      <c r="I35" s="127" t="s">
        <v>302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3">
        <v>-0.01</v>
      </c>
      <c r="F36" s="94" t="s">
        <v>86</v>
      </c>
      <c r="G36" s="1"/>
      <c r="H36" s="93">
        <v>-0.01</v>
      </c>
      <c r="I36" s="127" t="s">
        <v>304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260</v>
      </c>
      <c r="E37" s="23" t="s">
        <v>261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293</v>
      </c>
      <c r="E38" s="23" t="s">
        <v>294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4" t="s">
        <v>252</v>
      </c>
      <c r="D40" s="53"/>
      <c r="E40" s="52"/>
      <c r="F40" s="54"/>
      <c r="G40" s="52"/>
      <c r="H40" s="52"/>
      <c r="I40" s="52"/>
      <c r="J40" s="52"/>
      <c r="K40" s="52"/>
      <c r="L40" s="52"/>
      <c r="M40" s="52"/>
      <c r="N40" s="52"/>
      <c r="O40" s="52"/>
      <c r="P40" s="1"/>
    </row>
    <row r="41" spans="2:16" ht="39.75" customHeight="1" thickTop="1" x14ac:dyDescent="0.25">
      <c r="B41" s="1"/>
      <c r="C41" s="129">
        <v>1</v>
      </c>
      <c r="D41" s="48" t="s">
        <v>305</v>
      </c>
      <c r="E41" s="129"/>
      <c r="F41" s="128"/>
      <c r="G41" s="129"/>
      <c r="H41" s="129"/>
      <c r="I41" s="129"/>
      <c r="J41" s="129"/>
      <c r="K41" s="129"/>
      <c r="L41" s="129"/>
      <c r="M41" s="129"/>
      <c r="N41" s="129"/>
      <c r="O41" s="129"/>
      <c r="P41" s="1"/>
    </row>
    <row r="42" spans="2:16" ht="39.950000000000003" customHeight="1" x14ac:dyDescent="0.25">
      <c r="B42" s="1"/>
      <c r="C42" s="1">
        <v>0</v>
      </c>
      <c r="D42" s="48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5" t="s">
        <v>253</v>
      </c>
      <c r="E43" s="51"/>
      <c r="F43" s="51"/>
      <c r="G43" s="50"/>
      <c r="H43" s="50"/>
      <c r="I43" s="50"/>
      <c r="J43" s="50"/>
      <c r="K43" s="50"/>
      <c r="L43" s="50"/>
      <c r="M43" s="50"/>
      <c r="N43" s="50"/>
      <c r="O43" s="50"/>
      <c r="P43" s="1"/>
    </row>
    <row r="44" spans="2:16" ht="158.25" customHeight="1" x14ac:dyDescent="0.25">
      <c r="B44" s="1"/>
      <c r="C44" s="1"/>
      <c r="D44" s="41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41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5" t="s">
        <v>257</v>
      </c>
      <c r="E46" s="50"/>
      <c r="F46" s="51"/>
      <c r="G46" s="50"/>
      <c r="H46" s="50"/>
      <c r="I46" s="50"/>
      <c r="J46" s="50"/>
      <c r="K46" s="50"/>
      <c r="L46" s="50"/>
      <c r="M46" s="50"/>
      <c r="N46" s="50"/>
      <c r="O46" s="50"/>
      <c r="P46" s="1"/>
    </row>
    <row r="47" spans="2:16" ht="80.25" customHeight="1" x14ac:dyDescent="0.25">
      <c r="B47" s="1"/>
      <c r="C47" s="1"/>
      <c r="D47" s="41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41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5" t="s">
        <v>258</v>
      </c>
      <c r="E49" s="50"/>
      <c r="F49" s="51"/>
      <c r="G49" s="50"/>
      <c r="H49" s="50"/>
      <c r="I49" s="50"/>
      <c r="J49" s="50"/>
      <c r="K49" s="50"/>
      <c r="L49" s="50"/>
      <c r="M49" s="50"/>
      <c r="N49" s="50"/>
      <c r="O49" s="50"/>
      <c r="P49" s="1"/>
    </row>
    <row r="50" spans="2:16" ht="82.5" customHeight="1" x14ac:dyDescent="0.25">
      <c r="B50" s="1"/>
      <c r="C50" s="1"/>
      <c r="D50" s="41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41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5" t="s">
        <v>254</v>
      </c>
      <c r="E52" s="50"/>
      <c r="F52" s="51"/>
      <c r="G52" s="50"/>
      <c r="H52" s="50"/>
      <c r="I52" s="50"/>
      <c r="J52" s="50"/>
      <c r="K52" s="50"/>
      <c r="L52" s="50"/>
      <c r="M52" s="50"/>
      <c r="N52" s="50"/>
      <c r="O52" s="50"/>
      <c r="P52" s="1"/>
    </row>
    <row r="53" spans="2:16" ht="39.950000000000003" customHeight="1" x14ac:dyDescent="0.25">
      <c r="B53" s="1"/>
      <c r="C53" s="1"/>
      <c r="D53" s="49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49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41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41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24" customFormat="1" ht="9.9499999999999993" customHeight="1" x14ac:dyDescent="0.25"/>
    <row r="3" spans="2:13" s="24" customFormat="1" ht="39.950000000000003" customHeight="1" x14ac:dyDescent="0.25">
      <c r="B3" s="25"/>
      <c r="C3" s="43" t="s">
        <v>82</v>
      </c>
    </row>
    <row r="4" spans="2:13" s="24" customFormat="1" ht="8.1" customHeight="1" x14ac:dyDescent="0.25">
      <c r="B4" s="25"/>
      <c r="C4" s="26"/>
    </row>
    <row r="5" spans="2:13" s="24" customFormat="1" ht="39.950000000000003" customHeight="1" x14ac:dyDescent="0.25">
      <c r="B5" s="25"/>
      <c r="C5" s="44" t="s">
        <v>259</v>
      </c>
    </row>
    <row r="6" spans="2:13" ht="16.5" customHeight="1" x14ac:dyDescent="0.25">
      <c r="G6" s="27"/>
      <c r="H6" s="27"/>
      <c r="I6" s="27"/>
      <c r="J6" s="27"/>
      <c r="K6" s="27"/>
    </row>
    <row r="7" spans="2:13" ht="39.950000000000003" customHeight="1" x14ac:dyDescent="0.25">
      <c r="B7" s="28" t="s">
        <v>13</v>
      </c>
      <c r="C7" s="29" t="s">
        <v>12</v>
      </c>
      <c r="D7" s="152" t="s">
        <v>18</v>
      </c>
      <c r="E7" s="39"/>
      <c r="F7" s="39"/>
      <c r="G7" s="39"/>
      <c r="H7" s="39"/>
      <c r="I7" s="39"/>
      <c r="J7" s="39"/>
      <c r="K7" s="39"/>
      <c r="L7" s="39"/>
      <c r="M7" s="39"/>
    </row>
    <row r="8" spans="2:13" ht="8.1" customHeight="1" x14ac:dyDescent="0.25"/>
    <row r="9" spans="2:13" ht="39.950000000000003" customHeight="1" x14ac:dyDescent="0.25">
      <c r="B9" s="28" t="s">
        <v>14</v>
      </c>
      <c r="C9" s="29" t="s">
        <v>220</v>
      </c>
      <c r="D9" s="29"/>
      <c r="E9" s="29"/>
      <c r="F9" s="29"/>
      <c r="G9" s="122" t="s">
        <v>300</v>
      </c>
      <c r="H9" s="145" t="s">
        <v>226</v>
      </c>
      <c r="I9" s="145"/>
      <c r="J9" s="145"/>
      <c r="K9" s="146" t="s">
        <v>248</v>
      </c>
      <c r="L9" s="146"/>
      <c r="M9" s="146"/>
    </row>
    <row r="10" spans="2:13" ht="39.950000000000003" customHeight="1" x14ac:dyDescent="0.25">
      <c r="B10" s="28"/>
      <c r="C10" s="29"/>
      <c r="D10" s="30" t="s">
        <v>3</v>
      </c>
      <c r="E10" s="30" t="s">
        <v>225</v>
      </c>
      <c r="F10" s="30" t="s">
        <v>41</v>
      </c>
      <c r="G10" s="123" t="s">
        <v>299</v>
      </c>
      <c r="H10" s="30" t="s">
        <v>235</v>
      </c>
      <c r="I10" s="30" t="s">
        <v>267</v>
      </c>
      <c r="J10" s="30" t="s">
        <v>268</v>
      </c>
      <c r="K10" s="30" t="s">
        <v>224</v>
      </c>
      <c r="L10" s="30" t="s">
        <v>249</v>
      </c>
      <c r="M10" s="30" t="s">
        <v>227</v>
      </c>
    </row>
    <row r="11" spans="2:13" ht="39.950000000000003" customHeight="1" x14ac:dyDescent="0.25">
      <c r="B11" s="28"/>
      <c r="C11" s="29"/>
      <c r="D11" s="40" t="str">
        <f>CONCATENATE(Store_Setting[[#This Row],[商品序号]], " | ", Store_Setting[[#This Row],[商品名称]])</f>
        <v>1 | 1</v>
      </c>
      <c r="E11" s="19">
        <v>1</v>
      </c>
      <c r="F11" s="151">
        <v>1</v>
      </c>
      <c r="G11" s="124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8"/>
      <c r="C12" s="29"/>
      <c r="D12" s="40" t="str">
        <f>CONCATENATE(Store_Setting[[#This Row],[商品序号]], " | ", Store_Setting[[#This Row],[商品名称]])</f>
        <v>2 | 2</v>
      </c>
      <c r="E12" s="19">
        <v>2</v>
      </c>
      <c r="F12" s="151">
        <v>2</v>
      </c>
      <c r="G12" s="124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8"/>
      <c r="C13" s="29"/>
      <c r="D13" s="40" t="str">
        <f>CONCATENATE(Store_Setting[[#This Row],[商品序号]], " | ", Store_Setting[[#This Row],[商品名称]])</f>
        <v>3 | 3</v>
      </c>
      <c r="E13" s="19">
        <v>3</v>
      </c>
      <c r="F13" s="151">
        <v>3</v>
      </c>
      <c r="G13" s="124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8"/>
      <c r="C14" s="29"/>
      <c r="D14" s="40" t="str">
        <f>CONCATENATE(Store_Setting[[#This Row],[商品序号]], " | ", Store_Setting[[#This Row],[商品名称]])</f>
        <v>4 | 4</v>
      </c>
      <c r="E14" s="19">
        <v>4</v>
      </c>
      <c r="F14" s="151">
        <v>4</v>
      </c>
      <c r="G14" s="124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8"/>
      <c r="C15" s="29"/>
      <c r="D15" s="40" t="str">
        <f>CONCATENATE(Store_Setting[[#This Row],[商品序号]], " | ", Store_Setting[[#This Row],[商品名称]])</f>
        <v>5 | 5</v>
      </c>
      <c r="E15" s="19">
        <v>5</v>
      </c>
      <c r="F15" s="151">
        <v>5</v>
      </c>
      <c r="G15" s="124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8"/>
      <c r="C16" s="29"/>
      <c r="D16" s="40" t="str">
        <f>CONCATENATE(Store_Setting[[#This Row],[商品序号]], " | ", Store_Setting[[#This Row],[商品名称]])</f>
        <v>6 | 6</v>
      </c>
      <c r="E16" s="19">
        <v>6</v>
      </c>
      <c r="F16" s="151">
        <v>6</v>
      </c>
      <c r="G16" s="124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8"/>
      <c r="C17" s="29"/>
      <c r="D17" s="40" t="str">
        <f>CONCATENATE(Store_Setting[[#This Row],[商品序号]], " | ", Store_Setting[[#This Row],[商品名称]])</f>
        <v>7 | 7</v>
      </c>
      <c r="E17" s="19">
        <v>7</v>
      </c>
      <c r="F17" s="151">
        <v>7</v>
      </c>
      <c r="G17" s="124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8"/>
      <c r="C18" s="29"/>
      <c r="D18" s="40" t="str">
        <f>CONCATENATE(Store_Setting[[#This Row],[商品序号]], " | ", Store_Setting[[#This Row],[商品名称]])</f>
        <v>8 | 8</v>
      </c>
      <c r="E18" s="19">
        <v>8</v>
      </c>
      <c r="F18" s="151">
        <v>8</v>
      </c>
      <c r="G18" s="124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8"/>
      <c r="C19" s="29"/>
      <c r="D19" s="40" t="str">
        <f>CONCATENATE(Store_Setting[[#This Row],[商品序号]], " | ", Store_Setting[[#This Row],[商品名称]])</f>
        <v>9 | 9</v>
      </c>
      <c r="E19" s="19">
        <v>9</v>
      </c>
      <c r="F19" s="151">
        <v>9</v>
      </c>
      <c r="G19" s="124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8"/>
      <c r="C20" s="29"/>
      <c r="D20" s="40" t="str">
        <f>CONCATENATE(Store_Setting[[#This Row],[商品序号]], " | ", Store_Setting[[#This Row],[商品名称]])</f>
        <v>10 | 10</v>
      </c>
      <c r="E20" s="19">
        <v>10</v>
      </c>
      <c r="F20" s="151">
        <v>10</v>
      </c>
      <c r="G20" s="124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8"/>
      <c r="C21" s="29"/>
      <c r="D21" s="40" t="str">
        <f>CONCATENATE(Store_Setting[[#This Row],[商品序号]], " | ", Store_Setting[[#This Row],[商品名称]])</f>
        <v>11 | 11</v>
      </c>
      <c r="E21" s="19">
        <v>11</v>
      </c>
      <c r="F21" s="151">
        <v>11</v>
      </c>
      <c r="G21" s="124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8"/>
      <c r="C22" s="29"/>
      <c r="D22" s="40" t="str">
        <f>CONCATENATE(Store_Setting[[#This Row],[商品序号]], " | ", Store_Setting[[#This Row],[商品名称]])</f>
        <v>12 | 12</v>
      </c>
      <c r="E22" s="19">
        <v>12</v>
      </c>
      <c r="F22" s="151">
        <v>12</v>
      </c>
      <c r="G22" s="124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8"/>
      <c r="C23" s="29"/>
      <c r="D23" s="40" t="str">
        <f>CONCATENATE(Store_Setting[[#This Row],[商品序号]], " | ", Store_Setting[[#This Row],[商品名称]])</f>
        <v>13 | 13</v>
      </c>
      <c r="E23" s="19">
        <v>13</v>
      </c>
      <c r="F23" s="151">
        <v>13</v>
      </c>
      <c r="G23" s="124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8"/>
      <c r="C24" s="29"/>
      <c r="D24" s="40" t="str">
        <f>CONCATENATE(Store_Setting[[#This Row],[商品序号]], " | ", Store_Setting[[#This Row],[商品名称]])</f>
        <v>14 | 14</v>
      </c>
      <c r="E24" s="19">
        <v>14</v>
      </c>
      <c r="F24" s="151">
        <v>14</v>
      </c>
      <c r="G24" s="124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8"/>
      <c r="C25" s="29"/>
      <c r="D25" s="40" t="str">
        <f>CONCATENATE(Store_Setting[[#This Row],[商品序号]], " | ", Store_Setting[[#This Row],[商品名称]])</f>
        <v>15 | 15</v>
      </c>
      <c r="E25" s="19">
        <v>15</v>
      </c>
      <c r="F25" s="151">
        <v>15</v>
      </c>
      <c r="G25" s="124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8"/>
      <c r="C26" s="29"/>
      <c r="D26" s="40" t="str">
        <f>CONCATENATE(Store_Setting[[#This Row],[商品序号]], " | ", Store_Setting[[#This Row],[商品名称]])</f>
        <v>16 | 16</v>
      </c>
      <c r="E26" s="19">
        <v>16</v>
      </c>
      <c r="F26" s="151">
        <v>16</v>
      </c>
      <c r="G26" s="124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8"/>
      <c r="C27" s="29"/>
      <c r="D27" s="40" t="str">
        <f>CONCATENATE(Store_Setting[[#This Row],[商品序号]], " | ", Store_Setting[[#This Row],[商品名称]])</f>
        <v>17 | 17</v>
      </c>
      <c r="E27" s="19">
        <v>17</v>
      </c>
      <c r="F27" s="151">
        <v>17</v>
      </c>
      <c r="G27" s="124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8"/>
      <c r="C28" s="29"/>
      <c r="D28" s="40" t="str">
        <f>CONCATENATE(Store_Setting[[#This Row],[商品序号]], " | ", Store_Setting[[#This Row],[商品名称]])</f>
        <v>18 | 18</v>
      </c>
      <c r="E28" s="19">
        <v>18</v>
      </c>
      <c r="F28" s="151">
        <v>18</v>
      </c>
      <c r="G28" s="124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8"/>
      <c r="C29" s="29"/>
      <c r="D29" s="40" t="str">
        <f>CONCATENATE(Store_Setting[[#This Row],[商品序号]], " | ", Store_Setting[[#This Row],[商品名称]])</f>
        <v>19 | 19</v>
      </c>
      <c r="E29" s="19">
        <v>19</v>
      </c>
      <c r="F29" s="151">
        <v>19</v>
      </c>
      <c r="G29" s="124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8"/>
      <c r="C30" s="29"/>
      <c r="D30" s="40" t="str">
        <f>CONCATENATE(Store_Setting[[#This Row],[商品序号]], " | ", Store_Setting[[#This Row],[商品名称]])</f>
        <v>20 | 20</v>
      </c>
      <c r="E30" s="19">
        <v>20</v>
      </c>
      <c r="F30" s="151">
        <v>20</v>
      </c>
      <c r="G30" s="124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8"/>
      <c r="C31" s="29"/>
      <c r="D31" s="40" t="str">
        <f>CONCATENATE(Store_Setting[[#This Row],[商品序号]], " | ", Store_Setting[[#This Row],[商品名称]])</f>
        <v>21 | 21</v>
      </c>
      <c r="E31" s="19">
        <v>21</v>
      </c>
      <c r="F31" s="151">
        <v>21</v>
      </c>
      <c r="G31" s="124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8"/>
      <c r="C32" s="29"/>
      <c r="D32" s="40" t="str">
        <f>CONCATENATE(Store_Setting[[#This Row],[商品序号]], " | ", Store_Setting[[#This Row],[商品名称]])</f>
        <v>22 | 22</v>
      </c>
      <c r="E32" s="19">
        <v>22</v>
      </c>
      <c r="F32" s="151">
        <v>22</v>
      </c>
      <c r="G32" s="124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8"/>
      <c r="C33" s="29"/>
      <c r="D33" s="40" t="str">
        <f>CONCATENATE(Store_Setting[[#This Row],[商品序号]], " | ", Store_Setting[[#This Row],[商品名称]])</f>
        <v>23 | 23</v>
      </c>
      <c r="E33" s="19">
        <v>23</v>
      </c>
      <c r="F33" s="151">
        <v>23</v>
      </c>
      <c r="G33" s="124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8"/>
      <c r="C34" s="29"/>
      <c r="D34" s="40" t="str">
        <f>CONCATENATE(Store_Setting[[#This Row],[商品序号]], " | ", Store_Setting[[#This Row],[商品名称]])</f>
        <v>24 | 24</v>
      </c>
      <c r="E34" s="19">
        <v>24</v>
      </c>
      <c r="F34" s="151">
        <v>24</v>
      </c>
      <c r="G34" s="124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8"/>
      <c r="C35" s="29"/>
      <c r="D35" s="40" t="str">
        <f>CONCATENATE(Store_Setting[[#This Row],[商品序号]], " | ", Store_Setting[[#This Row],[商品名称]])</f>
        <v>25 | 25</v>
      </c>
      <c r="E35" s="19">
        <v>25</v>
      </c>
      <c r="F35" s="151">
        <v>25</v>
      </c>
      <c r="G35" s="124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8"/>
      <c r="C36" s="29"/>
      <c r="D36" s="40" t="str">
        <f>CONCATENATE(Store_Setting[[#This Row],[商品序号]], " | ", Store_Setting[[#This Row],[商品名称]])</f>
        <v>26 | 26</v>
      </c>
      <c r="E36" s="19">
        <v>26</v>
      </c>
      <c r="F36" s="151">
        <v>26</v>
      </c>
      <c r="G36" s="124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8"/>
      <c r="C37" s="29"/>
      <c r="D37" s="40" t="str">
        <f>CONCATENATE(Store_Setting[[#This Row],[商品序号]], " | ", Store_Setting[[#This Row],[商品名称]])</f>
        <v>27 | 27</v>
      </c>
      <c r="E37" s="19">
        <v>27</v>
      </c>
      <c r="F37" s="151">
        <v>27</v>
      </c>
      <c r="G37" s="124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8"/>
      <c r="C38" s="29"/>
      <c r="D38" s="40" t="str">
        <f>CONCATENATE(Store_Setting[[#This Row],[商品序号]], " | ", Store_Setting[[#This Row],[商品名称]])</f>
        <v>28 | 28</v>
      </c>
      <c r="E38" s="19">
        <v>28</v>
      </c>
      <c r="F38" s="151">
        <v>28</v>
      </c>
      <c r="G38" s="124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8"/>
      <c r="C39" s="29"/>
      <c r="D39" s="40" t="str">
        <f>CONCATENATE(Store_Setting[[#This Row],[商品序号]], " | ", Store_Setting[[#This Row],[商品名称]])</f>
        <v>29 | 29</v>
      </c>
      <c r="E39" s="19">
        <v>29</v>
      </c>
      <c r="F39" s="151">
        <v>29</v>
      </c>
      <c r="G39" s="124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8"/>
      <c r="C40" s="29"/>
      <c r="D40" s="40" t="str">
        <f>CONCATENATE(Store_Setting[[#This Row],[商品序号]], " | ", Store_Setting[[#This Row],[商品名称]])</f>
        <v>30 | 30</v>
      </c>
      <c r="E40" s="19">
        <v>30</v>
      </c>
      <c r="F40" s="151">
        <v>30</v>
      </c>
      <c r="G40" s="124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8"/>
      <c r="C41" s="29"/>
      <c r="D41" s="40" t="str">
        <f>CONCATENATE(Store_Setting[[#This Row],[商品序号]], " | ", Store_Setting[[#This Row],[商品名称]])</f>
        <v>31 | 31</v>
      </c>
      <c r="E41" s="19">
        <v>31</v>
      </c>
      <c r="F41" s="151">
        <v>31</v>
      </c>
      <c r="G41" s="124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8"/>
      <c r="C42" s="29"/>
      <c r="D42" s="40" t="str">
        <f>CONCATENATE(Store_Setting[[#This Row],[商品序号]], " | ", Store_Setting[[#This Row],[商品名称]])</f>
        <v>32 | 32</v>
      </c>
      <c r="E42" s="19">
        <v>32</v>
      </c>
      <c r="F42" s="151">
        <v>32</v>
      </c>
      <c r="G42" s="124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8"/>
      <c r="C43" s="29"/>
      <c r="D43" s="40" t="str">
        <f>CONCATENATE(Store_Setting[[#This Row],[商品序号]], " | ", Store_Setting[[#This Row],[商品名称]])</f>
        <v>33 | 33</v>
      </c>
      <c r="E43" s="19">
        <v>33</v>
      </c>
      <c r="F43" s="151">
        <v>33</v>
      </c>
      <c r="G43" s="124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8"/>
      <c r="C44" s="29"/>
      <c r="D44" s="40" t="str">
        <f>CONCATENATE(Store_Setting[[#This Row],[商品序号]], " | ", Store_Setting[[#This Row],[商品名称]])</f>
        <v>34 | 34</v>
      </c>
      <c r="E44" s="19">
        <v>34</v>
      </c>
      <c r="F44" s="151">
        <v>34</v>
      </c>
      <c r="G44" s="124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8"/>
      <c r="C45" s="29"/>
      <c r="D45" s="40" t="str">
        <f>CONCATENATE(Store_Setting[[#This Row],[商品序号]], " | ", Store_Setting[[#This Row],[商品名称]])</f>
        <v>35 | 35</v>
      </c>
      <c r="E45" s="19">
        <v>35</v>
      </c>
      <c r="F45" s="151">
        <v>35</v>
      </c>
      <c r="G45" s="124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8"/>
      <c r="C46" s="29"/>
      <c r="D46" s="40" t="str">
        <f>CONCATENATE(Store_Setting[[#This Row],[商品序号]], " | ", Store_Setting[[#This Row],[商品名称]])</f>
        <v>36 | 36</v>
      </c>
      <c r="E46" s="19">
        <v>36</v>
      </c>
      <c r="F46" s="151">
        <v>36</v>
      </c>
      <c r="G46" s="124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8"/>
      <c r="C47" s="29"/>
      <c r="D47" s="40" t="str">
        <f>CONCATENATE(Store_Setting[[#This Row],[商品序号]], " | ", Store_Setting[[#This Row],[商品名称]])</f>
        <v>37 | 37</v>
      </c>
      <c r="E47" s="19">
        <v>37</v>
      </c>
      <c r="F47" s="151">
        <v>37</v>
      </c>
      <c r="G47" s="124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8"/>
      <c r="C48" s="29"/>
      <c r="D48" s="40" t="str">
        <f>CONCATENATE(Store_Setting[[#This Row],[商品序号]], " | ", Store_Setting[[#This Row],[商品名称]])</f>
        <v>38 | 38</v>
      </c>
      <c r="E48" s="19">
        <v>38</v>
      </c>
      <c r="F48" s="151">
        <v>38</v>
      </c>
      <c r="G48" s="124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8"/>
      <c r="C49" s="29"/>
      <c r="D49" s="40" t="str">
        <f>CONCATENATE(Store_Setting[[#This Row],[商品序号]], " | ", Store_Setting[[#This Row],[商品名称]])</f>
        <v>39 | 39</v>
      </c>
      <c r="E49" s="19">
        <v>39</v>
      </c>
      <c r="F49" s="151">
        <v>39</v>
      </c>
      <c r="G49" s="124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8"/>
      <c r="C50" s="29"/>
      <c r="D50" s="40" t="str">
        <f>CONCATENATE(Store_Setting[[#This Row],[商品序号]], " | ", Store_Setting[[#This Row],[商品名称]])</f>
        <v>40 | 40</v>
      </c>
      <c r="E50" s="19">
        <v>40</v>
      </c>
      <c r="F50" s="151">
        <v>40</v>
      </c>
      <c r="G50" s="124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3"/>
    </row>
    <row r="52" spans="2:13" ht="39.950000000000003" customHeight="1" x14ac:dyDescent="0.25">
      <c r="B52" s="28" t="s">
        <v>15</v>
      </c>
      <c r="C52" s="29" t="s">
        <v>127</v>
      </c>
      <c r="D52" s="153" t="s">
        <v>309</v>
      </c>
      <c r="E52" s="31"/>
      <c r="F52" s="31"/>
      <c r="G52" s="31"/>
      <c r="H52" s="31"/>
      <c r="I52" s="31"/>
      <c r="J52" s="31"/>
      <c r="K52" s="31"/>
      <c r="L52" s="31"/>
      <c r="M52" s="31"/>
    </row>
    <row r="53" spans="2:13" ht="39.950000000000003" customHeight="1" x14ac:dyDescent="0.25">
      <c r="B53" s="28"/>
      <c r="C53" s="29" t="s">
        <v>29</v>
      </c>
      <c r="D53" s="154" t="s">
        <v>308</v>
      </c>
      <c r="E53" s="154" t="s">
        <v>309</v>
      </c>
      <c r="F53" s="154"/>
      <c r="G53" s="155"/>
      <c r="H53" s="155"/>
      <c r="I53" s="155"/>
      <c r="J53" s="155"/>
      <c r="K53" s="155"/>
      <c r="L53" s="155"/>
      <c r="M53" s="155"/>
    </row>
    <row r="54" spans="2:13" ht="39.950000000000003" customHeight="1" x14ac:dyDescent="0.25">
      <c r="B54" s="28"/>
      <c r="C54" s="29" t="s">
        <v>30</v>
      </c>
      <c r="D54" s="154"/>
      <c r="E54" s="154"/>
      <c r="F54" s="154"/>
      <c r="G54" s="155"/>
      <c r="H54" s="155"/>
      <c r="I54" s="155"/>
      <c r="J54" s="155"/>
      <c r="K54" s="155"/>
      <c r="L54" s="155"/>
      <c r="M54" s="155"/>
    </row>
    <row r="55" spans="2:13" ht="8.1" customHeight="1" x14ac:dyDescent="0.25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3" ht="39.950000000000003" customHeight="1" x14ac:dyDescent="0.25">
      <c r="B56" s="28" t="s">
        <v>16</v>
      </c>
      <c r="C56" s="29" t="s">
        <v>129</v>
      </c>
      <c r="D56" s="31" t="s">
        <v>28</v>
      </c>
      <c r="E56" s="14" t="s">
        <v>1</v>
      </c>
      <c r="F56" s="14" t="s">
        <v>22</v>
      </c>
      <c r="G56" s="32" t="s">
        <v>21</v>
      </c>
      <c r="H56" s="32" t="s">
        <v>23</v>
      </c>
      <c r="I56" s="32" t="s">
        <v>24</v>
      </c>
      <c r="J56" s="32"/>
      <c r="K56" s="32"/>
      <c r="L56" s="32"/>
      <c r="M56" s="32"/>
    </row>
    <row r="57" spans="2:13" ht="39.950000000000003" customHeight="1" x14ac:dyDescent="0.25">
      <c r="B57" s="28"/>
      <c r="C57" s="29"/>
      <c r="D57" s="71" t="s">
        <v>130</v>
      </c>
      <c r="E57" s="71" t="s">
        <v>131</v>
      </c>
      <c r="F57" s="71" t="s">
        <v>131</v>
      </c>
      <c r="G57" s="71" t="s">
        <v>131</v>
      </c>
      <c r="H57" s="71" t="s">
        <v>131</v>
      </c>
      <c r="I57" s="71" t="s">
        <v>131</v>
      </c>
      <c r="J57" s="32"/>
      <c r="K57" s="32"/>
      <c r="L57" s="32"/>
      <c r="M57" s="32"/>
    </row>
    <row r="58" spans="2:13" ht="39.950000000000003" customHeight="1" x14ac:dyDescent="0.25">
      <c r="B58" s="28"/>
      <c r="C58" s="79" t="s">
        <v>271</v>
      </c>
      <c r="D58" s="71" t="s">
        <v>131</v>
      </c>
      <c r="E58" s="80" t="s">
        <v>276</v>
      </c>
      <c r="F58" s="32"/>
      <c r="G58" s="32"/>
      <c r="H58" s="32"/>
      <c r="I58" s="32"/>
      <c r="J58" s="32"/>
      <c r="K58" s="32"/>
      <c r="L58" s="32"/>
      <c r="M58" s="32"/>
    </row>
    <row r="59" spans="2:13" ht="8.1" customHeight="1" x14ac:dyDescent="0.25"/>
    <row r="60" spans="2:13" ht="39.950000000000003" customHeight="1" x14ac:dyDescent="0.25">
      <c r="B60" s="28" t="s">
        <v>25</v>
      </c>
      <c r="C60" s="29" t="s">
        <v>5</v>
      </c>
      <c r="D60" s="32" t="s">
        <v>8</v>
      </c>
      <c r="E60" s="32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1" customHeight="1" x14ac:dyDescent="0.25">
      <c r="B61" s="120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3" ht="39.950000000000003" customHeight="1" x14ac:dyDescent="0.25">
      <c r="B62" s="28" t="s">
        <v>221</v>
      </c>
      <c r="C62" s="29" t="s">
        <v>288</v>
      </c>
      <c r="D62" s="32" t="s">
        <v>236</v>
      </c>
      <c r="E62" s="32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1" customHeight="1" x14ac:dyDescent="0.25">
      <c r="B63" s="120"/>
      <c r="D63" s="121"/>
      <c r="E63" s="121"/>
      <c r="F63" s="121"/>
      <c r="G63" s="121"/>
      <c r="H63" s="121"/>
      <c r="I63" s="121"/>
      <c r="J63" s="121"/>
      <c r="K63" s="121"/>
      <c r="L63" s="121"/>
      <c r="M63" s="121"/>
    </row>
    <row r="64" spans="2:13" ht="39.950000000000003" customHeight="1" x14ac:dyDescent="0.25">
      <c r="B64" s="28" t="s">
        <v>270</v>
      </c>
      <c r="C64" s="29" t="s">
        <v>228</v>
      </c>
      <c r="D64" s="153" t="s">
        <v>229</v>
      </c>
      <c r="E64" s="153" t="s">
        <v>230</v>
      </c>
      <c r="F64" s="153" t="s">
        <v>231</v>
      </c>
      <c r="G64" s="153" t="s">
        <v>272</v>
      </c>
      <c r="H64" s="153" t="s">
        <v>273</v>
      </c>
      <c r="I64" s="153" t="s">
        <v>274</v>
      </c>
      <c r="J64" s="153" t="s">
        <v>275</v>
      </c>
      <c r="K64" s="153"/>
      <c r="L64" s="153"/>
      <c r="M64" s="153"/>
    </row>
    <row r="65" spans="2:13" ht="39.950000000000003" customHeight="1" x14ac:dyDescent="0.25">
      <c r="B65" s="28"/>
      <c r="C65" s="29" t="s">
        <v>289</v>
      </c>
      <c r="D65" s="71" t="s">
        <v>130</v>
      </c>
      <c r="E65" s="80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1" customHeight="1" x14ac:dyDescent="0.25">
      <c r="B66" s="120"/>
      <c r="D66" s="121"/>
      <c r="E66" s="121"/>
      <c r="F66" s="121"/>
      <c r="G66" s="121"/>
      <c r="H66" s="121"/>
      <c r="I66" s="121"/>
      <c r="J66" s="121"/>
      <c r="K66" s="121"/>
      <c r="L66" s="121"/>
      <c r="M66" s="121"/>
    </row>
    <row r="67" spans="2:13" ht="39.950000000000003" customHeight="1" x14ac:dyDescent="0.25">
      <c r="B67" s="28" t="s">
        <v>284</v>
      </c>
      <c r="C67" s="29" t="s">
        <v>1</v>
      </c>
      <c r="D67" s="32" t="s">
        <v>10</v>
      </c>
      <c r="E67" s="32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39.950000000000003" customHeight="1" x14ac:dyDescent="0.25">
      <c r="B68" s="28"/>
      <c r="C68" s="29" t="s">
        <v>300</v>
      </c>
      <c r="D68" s="32" t="str">
        <f>_xlfn.CONCAT("男性有 ", COUNTIF(UserInfo[性别],"男")," 个")</f>
        <v>男性有 1 个</v>
      </c>
      <c r="E68" s="32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5.95" customHeight="1" x14ac:dyDescent="0.25"/>
    <row r="70" spans="2:13" ht="39.950000000000003" customHeight="1" x14ac:dyDescent="0.25">
      <c r="B70" s="46" t="s">
        <v>17</v>
      </c>
      <c r="C70" s="46"/>
      <c r="D70" s="46"/>
      <c r="E70" s="46"/>
    </row>
    <row r="71" spans="2:13" ht="39.950000000000003" customHeight="1" x14ac:dyDescent="0.25">
      <c r="B71" s="33" t="s">
        <v>19</v>
      </c>
      <c r="C71" s="38" t="s">
        <v>134</v>
      </c>
      <c r="D71" s="47"/>
      <c r="E71" s="47"/>
    </row>
    <row r="72" spans="2:13" ht="39.950000000000003" customHeight="1" x14ac:dyDescent="0.25">
      <c r="B72" s="33" t="s">
        <v>20</v>
      </c>
      <c r="C72" s="42" t="s">
        <v>18</v>
      </c>
      <c r="D72" s="45"/>
      <c r="E72" s="45"/>
    </row>
    <row r="73" spans="2:13" ht="39.950000000000003" customHeight="1" x14ac:dyDescent="0.25">
      <c r="B73" s="33" t="s">
        <v>132</v>
      </c>
      <c r="C73" s="38" t="s">
        <v>133</v>
      </c>
      <c r="D73" s="47"/>
      <c r="E73" s="47"/>
    </row>
    <row r="74" spans="2:13" ht="39.950000000000003" customHeight="1" x14ac:dyDescent="0.25">
      <c r="B74" s="33" t="s">
        <v>125</v>
      </c>
      <c r="C74" s="38" t="s">
        <v>301</v>
      </c>
      <c r="D74" s="38"/>
      <c r="E74" s="38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0.7109375" style="1" customWidth="1"/>
    <col min="5" max="5" width="5.7109375" style="89" customWidth="1"/>
    <col min="6" max="6" width="2.7109375" style="1" customWidth="1"/>
    <col min="7" max="16384" width="9.140625" style="1" hidden="1"/>
  </cols>
  <sheetData>
    <row r="1" spans="2:6" s="2" customFormat="1" ht="6" customHeight="1" x14ac:dyDescent="0.25">
      <c r="E1" s="87"/>
    </row>
    <row r="2" spans="2:6" s="3" customFormat="1" ht="54.95" customHeight="1" x14ac:dyDescent="0.25">
      <c r="B2" s="5" t="str">
        <f>设置!D7 &amp;" - 新增入库取货"</f>
        <v>Yi - 新增入库取货</v>
      </c>
      <c r="C2" s="5"/>
      <c r="E2" s="88"/>
    </row>
    <row r="3" spans="2:6" ht="8.1" customHeight="1" x14ac:dyDescent="0.25"/>
    <row r="4" spans="2:6" ht="35.1" customHeight="1" x14ac:dyDescent="0.25">
      <c r="B4" s="11" t="s">
        <v>88</v>
      </c>
      <c r="C4" s="10"/>
      <c r="D4" s="12"/>
      <c r="E4" s="90"/>
    </row>
    <row r="5" spans="2:6" ht="15" customHeight="1" x14ac:dyDescent="0.25"/>
    <row r="6" spans="2:6" ht="35.1" customHeight="1" x14ac:dyDescent="0.25">
      <c r="B6" s="1" t="s">
        <v>220</v>
      </c>
      <c r="C6" s="13" t="s">
        <v>3</v>
      </c>
      <c r="D6" s="36"/>
      <c r="E6" s="125">
        <v>-1</v>
      </c>
      <c r="F6" s="63"/>
    </row>
    <row r="7" spans="2:6" ht="35.1" customHeight="1" x14ac:dyDescent="0.25">
      <c r="C7" s="37" t="s">
        <v>0</v>
      </c>
      <c r="D7" s="34" t="str">
        <f>IFERROR(VLOOKUP(D6,Store_Setting[[唯一识别码]:[取货小计]],2,0)&amp;"","")</f>
        <v/>
      </c>
      <c r="E7" s="84"/>
      <c r="F7" s="63"/>
    </row>
    <row r="8" spans="2:6" ht="35.1" customHeight="1" x14ac:dyDescent="0.25">
      <c r="C8" s="37" t="s">
        <v>41</v>
      </c>
      <c r="D8" s="34" t="str">
        <f>IFERROR(VLOOKUP(D6,Store_Setting[[唯一识别码]:[取货小计]],3,0)&amp;"","")</f>
        <v/>
      </c>
      <c r="E8" s="84"/>
      <c r="F8" s="63"/>
    </row>
    <row r="9" spans="2:6" ht="15" customHeight="1" x14ac:dyDescent="0.25">
      <c r="E9" s="84"/>
      <c r="F9" s="63"/>
    </row>
    <row r="10" spans="2:6" ht="35.1" customHeight="1" x14ac:dyDescent="0.25">
      <c r="B10" s="1" t="s">
        <v>234</v>
      </c>
      <c r="C10" s="13" t="s">
        <v>5</v>
      </c>
      <c r="D10" s="35"/>
      <c r="E10" s="126">
        <v>-1</v>
      </c>
      <c r="F10" s="63"/>
    </row>
    <row r="11" spans="2:6" ht="35.1" customHeight="1" x14ac:dyDescent="0.25">
      <c r="C11" s="13" t="s">
        <v>223</v>
      </c>
      <c r="D11" s="70"/>
      <c r="E11" s="126">
        <v>-1</v>
      </c>
      <c r="F11" s="63"/>
    </row>
    <row r="12" spans="2:6" ht="35.1" customHeight="1" x14ac:dyDescent="0.25">
      <c r="C12" s="13" t="s">
        <v>228</v>
      </c>
      <c r="D12" s="36"/>
      <c r="E12" s="125">
        <v>-1</v>
      </c>
      <c r="F12" s="63"/>
    </row>
    <row r="13" spans="2:6" ht="15" customHeight="1" x14ac:dyDescent="0.25">
      <c r="E13" s="84"/>
      <c r="F13" s="63"/>
    </row>
    <row r="14" spans="2:6" ht="135" customHeight="1" x14ac:dyDescent="0.25">
      <c r="C14" s="13" t="s">
        <v>7</v>
      </c>
      <c r="D14" s="36"/>
      <c r="E14" s="85"/>
      <c r="F14" s="63"/>
    </row>
    <row r="15" spans="2:6" ht="15" customHeight="1" x14ac:dyDescent="0.25">
      <c r="E15" s="84"/>
      <c r="F15" s="63"/>
    </row>
    <row r="16" spans="2:6" ht="35.1" customHeight="1" x14ac:dyDescent="0.25">
      <c r="B16" s="1" t="s">
        <v>291</v>
      </c>
      <c r="C16" s="13" t="s">
        <v>6</v>
      </c>
      <c r="D16" s="35" t="s">
        <v>309</v>
      </c>
      <c r="E16" s="84"/>
      <c r="F16" s="63"/>
    </row>
    <row r="17" spans="11:11" ht="15" customHeight="1" x14ac:dyDescent="0.25"/>
    <row r="19" spans="11:11" ht="39.950000000000003" hidden="1" customHeight="1" x14ac:dyDescent="0.25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3076575</xdr:colOff>
                    <xdr:row>1</xdr:row>
                    <xdr:rowOff>200025</xdr:rowOff>
                  </from>
                  <to>
                    <xdr:col>4</xdr:col>
                    <xdr:colOff>133350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2219325</xdr:colOff>
                    <xdr:row>1</xdr:row>
                    <xdr:rowOff>200025</xdr:rowOff>
                  </from>
                  <to>
                    <xdr:col>3</xdr:col>
                    <xdr:colOff>2857500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56" customWidth="1"/>
    <col min="4" max="4" width="12.7109375" style="1" customWidth="1"/>
    <col min="5" max="5" width="20.7109375" style="1" customWidth="1"/>
    <col min="6" max="6" width="12.7109375" style="96" customWidth="1"/>
    <col min="7" max="7" width="12.7109375" style="99" customWidth="1"/>
    <col min="8" max="8" width="12.7109375" style="96" customWidth="1"/>
    <col min="9" max="9" width="26.7109375" style="97" customWidth="1"/>
    <col min="10" max="10" width="18.7109375" style="96" customWidth="1"/>
    <col min="11" max="11" width="28.7109375" style="96" customWidth="1"/>
    <col min="12" max="12" width="2.7109375" style="1" customWidth="1"/>
    <col min="13" max="16384" width="9.140625" style="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56" cm="1">
        <f t="array" ref="B7">SNGKI</f>
        <v>1</v>
      </c>
      <c r="C7" s="132" t="s">
        <v>310</v>
      </c>
      <c r="D7" s="58" t="str" cm="1">
        <f t="array" ref="D7">Get_Store_SN</f>
        <v>1</v>
      </c>
      <c r="E7" s="58" t="str" cm="1">
        <f t="array" ref="E7">Get_Store_Name</f>
        <v>1</v>
      </c>
      <c r="F7" s="57" t="s">
        <v>236</v>
      </c>
      <c r="G7" s="18"/>
      <c r="H7" s="21"/>
      <c r="I7" s="95">
        <v>45268.505555555559</v>
      </c>
      <c r="J7" s="57"/>
      <c r="K7" s="100" t="s">
        <v>295</v>
      </c>
    </row>
  </sheetData>
  <sheetProtection deleteRows="0" selectLockedCells="1"/>
  <conditionalFormatting sqref="C7 F7:K7">
    <cfRule type="expression" dxfId="338" priority="21">
      <formula>MOD(ROW(),2)=0</formula>
    </cfRule>
    <cfRule type="expression" dxfId="337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63" customWidth="1"/>
    <col min="2" max="2" width="14.7109375" style="63" customWidth="1"/>
    <col min="3" max="3" width="15.7109375" style="63" customWidth="1"/>
    <col min="4" max="4" width="50.7109375" style="63" customWidth="1"/>
    <col min="5" max="5" width="5.7109375" style="84" customWidth="1"/>
    <col min="6" max="6" width="2.7109375" style="84" customWidth="1"/>
    <col min="7" max="16384" width="9.140625" style="84" hidden="1"/>
  </cols>
  <sheetData>
    <row r="1" spans="1:5" s="82" customFormat="1" ht="6" customHeight="1" x14ac:dyDescent="0.25">
      <c r="A1" s="60"/>
      <c r="B1" s="60"/>
      <c r="C1" s="60"/>
      <c r="D1" s="60"/>
    </row>
    <row r="2" spans="1:5" s="83" customFormat="1" ht="54.95" customHeight="1" x14ac:dyDescent="0.25">
      <c r="A2" s="62"/>
      <c r="B2" s="61" t="str">
        <f>设置!D7 &amp;" - 新增会员"</f>
        <v>Yi - 新增会员</v>
      </c>
      <c r="C2" s="61"/>
      <c r="D2" s="62"/>
    </row>
    <row r="3" spans="1:5" ht="8.1" customHeight="1" x14ac:dyDescent="0.25"/>
    <row r="4" spans="1:5" ht="35.1" customHeight="1" x14ac:dyDescent="0.25">
      <c r="B4" s="64" t="s">
        <v>88</v>
      </c>
      <c r="C4" s="10"/>
      <c r="D4" s="65"/>
      <c r="E4" s="91"/>
    </row>
    <row r="5" spans="1:5" ht="15" customHeight="1" x14ac:dyDescent="0.25"/>
    <row r="6" spans="1:5" ht="35.1" customHeight="1" x14ac:dyDescent="0.25">
      <c r="B6" s="66" t="s">
        <v>3</v>
      </c>
      <c r="C6" s="67" t="str">
        <f>CONCATENATE(IF(D8="","", _xlfn.CONCAT(D8)), IF(D9="","", _xlfn.CONCAT(D9)), IF(D10="","", _xlfn.CONCAT(" | ",D10)), IF(D14="","", _xlfn.CONCAT(" | ",D14)))</f>
        <v/>
      </c>
      <c r="D6" s="68"/>
      <c r="E6" s="92"/>
    </row>
    <row r="7" spans="1:5" ht="15" customHeight="1" x14ac:dyDescent="0.25"/>
    <row r="8" spans="1:5" ht="35.1" customHeight="1" x14ac:dyDescent="0.25">
      <c r="B8" s="63" t="s">
        <v>87</v>
      </c>
      <c r="C8" s="69" t="s">
        <v>27</v>
      </c>
      <c r="D8" s="16"/>
      <c r="E8" s="125">
        <v>-1</v>
      </c>
    </row>
    <row r="9" spans="1:5" ht="35.1" customHeight="1" x14ac:dyDescent="0.25">
      <c r="C9" s="69" t="s">
        <v>28</v>
      </c>
      <c r="D9" s="9"/>
      <c r="E9" s="126">
        <v>-1</v>
      </c>
    </row>
    <row r="10" spans="1:5" ht="35.1" customHeight="1" x14ac:dyDescent="0.25">
      <c r="C10" s="69" t="s">
        <v>1</v>
      </c>
      <c r="D10" s="9"/>
      <c r="E10" s="126"/>
    </row>
    <row r="11" spans="1:5" ht="35.1" customHeight="1" x14ac:dyDescent="0.25">
      <c r="C11" s="69" t="s">
        <v>22</v>
      </c>
      <c r="D11" s="9"/>
      <c r="E11" s="126"/>
    </row>
    <row r="12" spans="1:5" ht="35.1" customHeight="1" x14ac:dyDescent="0.25">
      <c r="C12" s="69" t="s">
        <v>21</v>
      </c>
      <c r="D12" s="59"/>
      <c r="E12" s="126"/>
    </row>
    <row r="13" spans="1:5" ht="15" customHeight="1" x14ac:dyDescent="0.25"/>
    <row r="14" spans="1:5" ht="35.1" customHeight="1" x14ac:dyDescent="0.25">
      <c r="B14" s="63" t="s">
        <v>91</v>
      </c>
      <c r="C14" s="69" t="s">
        <v>2</v>
      </c>
      <c r="D14" s="9"/>
      <c r="E14" s="126">
        <v>-1</v>
      </c>
    </row>
    <row r="15" spans="1:5" ht="35.1" customHeight="1" x14ac:dyDescent="0.25">
      <c r="C15" s="69" t="s">
        <v>23</v>
      </c>
      <c r="D15" s="9"/>
      <c r="E15" s="126"/>
    </row>
    <row r="16" spans="1:5" ht="75" customHeight="1" x14ac:dyDescent="0.25">
      <c r="C16" s="69" t="s">
        <v>24</v>
      </c>
      <c r="D16" s="16"/>
      <c r="E16" s="125"/>
    </row>
    <row r="17" spans="2:5" ht="15" customHeight="1" x14ac:dyDescent="0.25"/>
    <row r="18" spans="2:5" ht="135" customHeight="1" x14ac:dyDescent="0.25">
      <c r="C18" s="69" t="s">
        <v>7</v>
      </c>
      <c r="D18" s="16"/>
      <c r="E18" s="85"/>
    </row>
    <row r="19" spans="2:5" ht="15" customHeight="1" x14ac:dyDescent="0.25"/>
    <row r="20" spans="2:5" ht="35.1" customHeight="1" x14ac:dyDescent="0.25">
      <c r="B20" s="63" t="s">
        <v>291</v>
      </c>
      <c r="C20" s="69" t="s">
        <v>6</v>
      </c>
      <c r="D20" s="9" t="s">
        <v>309</v>
      </c>
    </row>
    <row r="21" spans="2:5" ht="15" customHeight="1" x14ac:dyDescent="0.25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3076575</xdr:colOff>
                    <xdr:row>1</xdr:row>
                    <xdr:rowOff>200025</xdr:rowOff>
                  </from>
                  <to>
                    <xdr:col>4</xdr:col>
                    <xdr:colOff>133350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2219325</xdr:colOff>
                    <xdr:row>1</xdr:row>
                    <xdr:rowOff>200025</xdr:rowOff>
                  </from>
                  <to>
                    <xdr:col>3</xdr:col>
                    <xdr:colOff>2857500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3" customWidth="1"/>
    <col min="2" max="2" width="8.7109375" style="63" customWidth="1"/>
    <col min="3" max="3" width="30.7109375" style="63" customWidth="1"/>
    <col min="4" max="123" width="12.7109375" style="63" customWidth="1"/>
    <col min="124" max="124" width="8.7109375" style="109" customWidth="1"/>
    <col min="125" max="125" width="14.7109375" style="99" customWidth="1"/>
    <col min="126" max="126" width="8.7109375" style="96" customWidth="1"/>
    <col min="127" max="127" width="24.7109375" style="96" customWidth="1"/>
    <col min="128" max="128" width="12.7109375" style="96" customWidth="1"/>
    <col min="129" max="129" width="18.7109375" style="110" customWidth="1"/>
    <col min="130" max="130" width="28.7109375" style="86" customWidth="1"/>
    <col min="131" max="131" width="65.7109375" style="86" customWidth="1"/>
    <col min="132" max="132" width="26.7109375" style="97" customWidth="1"/>
    <col min="133" max="133" width="18.7109375" style="86" customWidth="1"/>
    <col min="134" max="134" width="28.7109375" style="135" customWidth="1"/>
    <col min="135" max="135" width="2.7109375" style="1" customWidth="1"/>
    <col min="136" max="16384" width="9.140625" style="15" hidden="1"/>
  </cols>
  <sheetData>
    <row r="1" spans="1:135" s="73" customFormat="1" ht="6" customHeight="1" x14ac:dyDescent="0.2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82"/>
      <c r="EA1" s="82"/>
      <c r="EB1" s="60"/>
      <c r="EC1" s="82"/>
      <c r="ED1" s="82"/>
      <c r="EE1" s="60"/>
    </row>
    <row r="2" spans="1:135" s="72" customFormat="1" ht="54.95" customHeight="1" x14ac:dyDescent="0.2">
      <c r="A2" s="62"/>
      <c r="B2" s="61" t="str">
        <f>设置!D7 &amp;" - 会员详细信息"</f>
        <v>Yi - 会员详细信息</v>
      </c>
      <c r="C2" s="62"/>
      <c r="D2" s="17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83"/>
      <c r="EA2" s="83"/>
      <c r="EB2" s="62"/>
      <c r="EC2" s="83"/>
      <c r="ED2" s="83"/>
      <c r="EE2" s="62"/>
    </row>
    <row r="3" spans="1:135" ht="8.1" customHeight="1" x14ac:dyDescent="0.2">
      <c r="DT3" s="63"/>
      <c r="DU3" s="63"/>
      <c r="DV3" s="63"/>
      <c r="DW3" s="63"/>
      <c r="DX3" s="63"/>
      <c r="DY3" s="63"/>
      <c r="DZ3" s="84"/>
      <c r="EA3" s="84"/>
      <c r="EB3" s="63"/>
      <c r="EC3" s="84"/>
      <c r="ED3" s="84"/>
      <c r="EE3" s="105"/>
    </row>
    <row r="4" spans="1:135" ht="6" customHeight="1" x14ac:dyDescent="0.2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101"/>
      <c r="BC4" s="101"/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101"/>
      <c r="BP4" s="101"/>
      <c r="BQ4" s="101"/>
      <c r="BR4" s="101"/>
      <c r="BS4" s="101"/>
      <c r="BT4" s="101"/>
      <c r="BU4" s="101"/>
      <c r="BV4" s="101"/>
      <c r="BW4" s="101"/>
      <c r="BX4" s="101"/>
      <c r="BY4" s="101"/>
      <c r="BZ4" s="101"/>
      <c r="CA4" s="101"/>
      <c r="CB4" s="101"/>
      <c r="CC4" s="101"/>
      <c r="CD4" s="101"/>
      <c r="CE4" s="101"/>
      <c r="CF4" s="101"/>
      <c r="CG4" s="101"/>
      <c r="CH4" s="101"/>
      <c r="CI4" s="101"/>
      <c r="CJ4" s="101"/>
      <c r="CK4" s="101"/>
      <c r="CL4" s="101"/>
      <c r="CM4" s="101"/>
      <c r="CN4" s="101"/>
      <c r="CO4" s="101"/>
      <c r="CP4" s="101"/>
      <c r="CQ4" s="101"/>
      <c r="CR4" s="101"/>
      <c r="CS4" s="101"/>
      <c r="CT4" s="101"/>
      <c r="CU4" s="101"/>
      <c r="CV4" s="101"/>
      <c r="CW4" s="101"/>
      <c r="CX4" s="101"/>
      <c r="CY4" s="101"/>
      <c r="CZ4" s="101"/>
      <c r="DA4" s="101"/>
      <c r="DB4" s="101"/>
      <c r="DC4" s="101"/>
      <c r="DD4" s="101"/>
      <c r="DE4" s="101"/>
      <c r="DF4" s="101"/>
      <c r="DG4" s="101"/>
      <c r="DH4" s="101"/>
      <c r="DI4" s="101"/>
      <c r="DJ4" s="101"/>
      <c r="DK4" s="101"/>
      <c r="DL4" s="101"/>
      <c r="DM4" s="101"/>
      <c r="DN4" s="101"/>
      <c r="DO4" s="101"/>
      <c r="DP4" s="101"/>
      <c r="DQ4" s="101"/>
      <c r="DR4" s="101"/>
      <c r="DS4" s="101"/>
      <c r="DT4" s="111"/>
      <c r="DU4" s="111"/>
      <c r="DV4" s="111"/>
      <c r="DW4" s="111"/>
      <c r="DX4" s="111"/>
      <c r="DY4" s="111"/>
      <c r="DZ4" s="115"/>
      <c r="EA4" s="115"/>
      <c r="EB4" s="111"/>
      <c r="EC4" s="115"/>
      <c r="ED4" s="115"/>
      <c r="EE4" s="105"/>
    </row>
    <row r="5" spans="1:135" ht="8.1" customHeight="1" x14ac:dyDescent="0.2">
      <c r="DT5" s="63"/>
      <c r="DU5" s="63"/>
      <c r="DV5" s="63"/>
      <c r="DW5" s="63"/>
      <c r="DX5" s="63"/>
      <c r="DY5" s="63"/>
      <c r="DZ5" s="84"/>
      <c r="EA5" s="84"/>
      <c r="EB5" s="63"/>
      <c r="EC5" s="84"/>
      <c r="ED5" s="84"/>
      <c r="EE5" s="105"/>
    </row>
    <row r="6" spans="1:135" ht="39.950000000000003" customHeight="1" x14ac:dyDescent="0.2">
      <c r="D6" s="102">
        <f>设置!F11</f>
        <v>1</v>
      </c>
      <c r="E6" s="149" t="str">
        <f>设置!F11 &amp;" - 历史记录"</f>
        <v>1 - 历史记录</v>
      </c>
      <c r="F6" s="149"/>
      <c r="G6" s="103">
        <f>设置!F12</f>
        <v>2</v>
      </c>
      <c r="H6" s="147" t="str">
        <f>设置!F12 &amp;" - 历史记录"</f>
        <v>2 - 历史记录</v>
      </c>
      <c r="I6" s="147"/>
      <c r="J6" s="102">
        <f>设置!F13</f>
        <v>3</v>
      </c>
      <c r="K6" s="149" t="str">
        <f>设置!F13 &amp;" - 历史记录"</f>
        <v>3 - 历史记录</v>
      </c>
      <c r="L6" s="149"/>
      <c r="M6" s="103">
        <f>设置!F14</f>
        <v>4</v>
      </c>
      <c r="N6" s="147" t="str">
        <f>设置!F14 &amp;" - 历史记录"</f>
        <v>4 - 历史记录</v>
      </c>
      <c r="O6" s="147"/>
      <c r="P6" s="102">
        <f>设置!F15</f>
        <v>5</v>
      </c>
      <c r="Q6" s="149" t="str">
        <f>设置!F15 &amp;" - 历史记录"</f>
        <v>5 - 历史记录</v>
      </c>
      <c r="R6" s="149"/>
      <c r="S6" s="103">
        <f>设置!F16</f>
        <v>6</v>
      </c>
      <c r="T6" s="147" t="str">
        <f>设置!F16 &amp;" - 历史记录"</f>
        <v>6 - 历史记录</v>
      </c>
      <c r="U6" s="147"/>
      <c r="V6" s="102">
        <f>设置!F17</f>
        <v>7</v>
      </c>
      <c r="W6" s="149" t="str">
        <f>设置!F17 &amp;" - 历史记录"</f>
        <v>7 - 历史记录</v>
      </c>
      <c r="X6" s="149"/>
      <c r="Y6" s="103">
        <f>设置!F18</f>
        <v>8</v>
      </c>
      <c r="Z6" s="147" t="str">
        <f>设置!F18 &amp;" - 历史记录"</f>
        <v>8 - 历史记录</v>
      </c>
      <c r="AA6" s="147"/>
      <c r="AB6" s="102">
        <f>设置!F19</f>
        <v>9</v>
      </c>
      <c r="AC6" s="149" t="str">
        <f>设置!F19 &amp;" - 历史记录"</f>
        <v>9 - 历史记录</v>
      </c>
      <c r="AD6" s="149"/>
      <c r="AE6" s="103">
        <f>设置!F20</f>
        <v>10</v>
      </c>
      <c r="AF6" s="147" t="str">
        <f>设置!F20 &amp;" - 历史记录"</f>
        <v>10 - 历史记录</v>
      </c>
      <c r="AG6" s="147"/>
      <c r="AH6" s="102">
        <f>设置!F21</f>
        <v>11</v>
      </c>
      <c r="AI6" s="149" t="str">
        <f>设置!F21 &amp;" - 历史记录"</f>
        <v>11 - 历史记录</v>
      </c>
      <c r="AJ6" s="149"/>
      <c r="AK6" s="103">
        <f>设置!F22</f>
        <v>12</v>
      </c>
      <c r="AL6" s="147" t="str">
        <f>设置!F22 &amp;" - 历史记录"</f>
        <v>12 - 历史记录</v>
      </c>
      <c r="AM6" s="147"/>
      <c r="AN6" s="102">
        <f>设置!F23</f>
        <v>13</v>
      </c>
      <c r="AO6" s="149" t="str">
        <f>设置!F23 &amp;" - 历史记录"</f>
        <v>13 - 历史记录</v>
      </c>
      <c r="AP6" s="149"/>
      <c r="AQ6" s="103">
        <f>设置!F24</f>
        <v>14</v>
      </c>
      <c r="AR6" s="147" t="str">
        <f>设置!F24 &amp;" - 历史记录"</f>
        <v>14 - 历史记录</v>
      </c>
      <c r="AS6" s="147"/>
      <c r="AT6" s="102">
        <f>设置!F25</f>
        <v>15</v>
      </c>
      <c r="AU6" s="149" t="str">
        <f>设置!F25 &amp;" - 历史记录"</f>
        <v>15 - 历史记录</v>
      </c>
      <c r="AV6" s="149"/>
      <c r="AW6" s="103">
        <f>设置!F26</f>
        <v>16</v>
      </c>
      <c r="AX6" s="147" t="str">
        <f>设置!F26 &amp;" - 历史记录"</f>
        <v>16 - 历史记录</v>
      </c>
      <c r="AY6" s="147"/>
      <c r="AZ6" s="102">
        <f>设置!F27</f>
        <v>17</v>
      </c>
      <c r="BA6" s="149" t="str">
        <f>设置!F27 &amp;" - 历史记录"</f>
        <v>17 - 历史记录</v>
      </c>
      <c r="BB6" s="149"/>
      <c r="BC6" s="103">
        <f>设置!F28</f>
        <v>18</v>
      </c>
      <c r="BD6" s="147" t="str">
        <f>设置!F28 &amp;" - 历史记录"</f>
        <v>18 - 历史记录</v>
      </c>
      <c r="BE6" s="147"/>
      <c r="BF6" s="102">
        <f>设置!F29</f>
        <v>19</v>
      </c>
      <c r="BG6" s="149" t="str">
        <f>设置!F29 &amp;" - 历史记录"</f>
        <v>19 - 历史记录</v>
      </c>
      <c r="BH6" s="149"/>
      <c r="BI6" s="103">
        <f>设置!F30</f>
        <v>20</v>
      </c>
      <c r="BJ6" s="147" t="str">
        <f>设置!F30 &amp;" - 历史记录"</f>
        <v>20 - 历史记录</v>
      </c>
      <c r="BK6" s="147"/>
      <c r="BL6" s="104">
        <f>设置!F31</f>
        <v>21</v>
      </c>
      <c r="BM6" s="148" t="str">
        <f>设置!F31 &amp;" - 历史记录"</f>
        <v>21 - 历史记录</v>
      </c>
      <c r="BN6" s="148"/>
      <c r="BO6" s="103">
        <f>设置!F32</f>
        <v>22</v>
      </c>
      <c r="BP6" s="147" t="str">
        <f>设置!F32 &amp;" - 历史记录"</f>
        <v>22 - 历史记录</v>
      </c>
      <c r="BQ6" s="147"/>
      <c r="BR6" s="104">
        <f>设置!F33</f>
        <v>23</v>
      </c>
      <c r="BS6" s="148" t="str">
        <f>设置!F33 &amp;" - 历史记录"</f>
        <v>23 - 历史记录</v>
      </c>
      <c r="BT6" s="148"/>
      <c r="BU6" s="103">
        <f>设置!F34</f>
        <v>24</v>
      </c>
      <c r="BV6" s="147" t="str">
        <f>设置!F34 &amp;" - 历史记录"</f>
        <v>24 - 历史记录</v>
      </c>
      <c r="BW6" s="147"/>
      <c r="BX6" s="104">
        <f>设置!F35</f>
        <v>25</v>
      </c>
      <c r="BY6" s="148" t="str">
        <f>设置!F35 &amp;" - 历史记录"</f>
        <v>25 - 历史记录</v>
      </c>
      <c r="BZ6" s="148"/>
      <c r="CA6" s="103">
        <f>设置!F36</f>
        <v>26</v>
      </c>
      <c r="CB6" s="147" t="str">
        <f>设置!F36 &amp;" - 历史记录"</f>
        <v>26 - 历史记录</v>
      </c>
      <c r="CC6" s="147"/>
      <c r="CD6" s="104">
        <f>设置!F37</f>
        <v>27</v>
      </c>
      <c r="CE6" s="148" t="str">
        <f>设置!F37 &amp;" - 历史记录"</f>
        <v>27 - 历史记录</v>
      </c>
      <c r="CF6" s="148"/>
      <c r="CG6" s="103">
        <f>设置!F38</f>
        <v>28</v>
      </c>
      <c r="CH6" s="147" t="str">
        <f>设置!F38 &amp;" - 历史记录"</f>
        <v>28 - 历史记录</v>
      </c>
      <c r="CI6" s="147"/>
      <c r="CJ6" s="104">
        <f>设置!F39</f>
        <v>29</v>
      </c>
      <c r="CK6" s="148" t="str">
        <f>设置!F39 &amp;" - 历史记录"</f>
        <v>29 - 历史记录</v>
      </c>
      <c r="CL6" s="148"/>
      <c r="CM6" s="103">
        <f>设置!F40</f>
        <v>30</v>
      </c>
      <c r="CN6" s="147" t="str">
        <f>设置!F40 &amp;" - 历史记录"</f>
        <v>30 - 历史记录</v>
      </c>
      <c r="CO6" s="147"/>
      <c r="CP6" s="104">
        <f>设置!F41</f>
        <v>31</v>
      </c>
      <c r="CQ6" s="148" t="str">
        <f>设置!F41 &amp;" - 历史记录"</f>
        <v>31 - 历史记录</v>
      </c>
      <c r="CR6" s="148"/>
      <c r="CS6" s="103">
        <f>设置!F42</f>
        <v>32</v>
      </c>
      <c r="CT6" s="147" t="str">
        <f>设置!F42 &amp;" - 历史记录"</f>
        <v>32 - 历史记录</v>
      </c>
      <c r="CU6" s="147"/>
      <c r="CV6" s="104">
        <f>设置!F43</f>
        <v>33</v>
      </c>
      <c r="CW6" s="148" t="str">
        <f>设置!F43 &amp;" - 历史记录"</f>
        <v>33 - 历史记录</v>
      </c>
      <c r="CX6" s="148"/>
      <c r="CY6" s="103">
        <f>设置!F44</f>
        <v>34</v>
      </c>
      <c r="CZ6" s="147" t="str">
        <f>设置!F44 &amp;" - 历史记录"</f>
        <v>34 - 历史记录</v>
      </c>
      <c r="DA6" s="147"/>
      <c r="DB6" s="104">
        <f>设置!F45</f>
        <v>35</v>
      </c>
      <c r="DC6" s="148" t="str">
        <f>设置!F45 &amp;" - 历史记录"</f>
        <v>35 - 历史记录</v>
      </c>
      <c r="DD6" s="148"/>
      <c r="DE6" s="103">
        <f>设置!F46</f>
        <v>36</v>
      </c>
      <c r="DF6" s="147" t="str">
        <f>设置!F46 &amp;" - 历史记录"</f>
        <v>36 - 历史记录</v>
      </c>
      <c r="DG6" s="147"/>
      <c r="DH6" s="104">
        <f>设置!F47</f>
        <v>37</v>
      </c>
      <c r="DI6" s="148" t="str">
        <f>设置!F47 &amp;" - 历史记录"</f>
        <v>37 - 历史记录</v>
      </c>
      <c r="DJ6" s="148"/>
      <c r="DK6" s="103">
        <f>设置!F48</f>
        <v>38</v>
      </c>
      <c r="DL6" s="147" t="str">
        <f>设置!F48 &amp;" - 历史记录"</f>
        <v>38 - 历史记录</v>
      </c>
      <c r="DM6" s="147"/>
      <c r="DN6" s="104">
        <f>设置!F49</f>
        <v>39</v>
      </c>
      <c r="DO6" s="148" t="str">
        <f>设置!F49 &amp;" - 历史记录"</f>
        <v>39 - 历史记录</v>
      </c>
      <c r="DP6" s="148"/>
      <c r="DQ6" s="103">
        <f>设置!F50</f>
        <v>40</v>
      </c>
      <c r="DR6" s="147" t="str">
        <f>设置!F50 &amp;" - 历史记录"</f>
        <v>40 - 历史记录</v>
      </c>
      <c r="DS6" s="147"/>
      <c r="DT6" s="149" t="s">
        <v>72</v>
      </c>
      <c r="DU6" s="149"/>
      <c r="DV6" s="149"/>
      <c r="DW6" s="149"/>
      <c r="DX6" s="149"/>
      <c r="DY6" s="149" t="s">
        <v>89</v>
      </c>
      <c r="DZ6" s="149"/>
      <c r="EA6" s="149"/>
      <c r="EB6" s="149" t="s">
        <v>292</v>
      </c>
      <c r="EC6" s="149"/>
      <c r="ED6" s="118"/>
      <c r="EE6" s="105"/>
    </row>
    <row r="7" spans="1:135" ht="8.1" customHeight="1" x14ac:dyDescent="0.2">
      <c r="DT7" s="63"/>
      <c r="DU7" s="63"/>
      <c r="DV7" s="63"/>
      <c r="DW7" s="63"/>
      <c r="DX7" s="63"/>
      <c r="DY7" s="63"/>
      <c r="DZ7" s="84"/>
      <c r="EA7" s="84"/>
      <c r="EB7" s="63"/>
      <c r="EC7" s="84"/>
      <c r="ED7" s="84"/>
      <c r="EE7" s="105"/>
    </row>
    <row r="8" spans="1:135" ht="39.950000000000003" customHeight="1" x14ac:dyDescent="0.2">
      <c r="A8" s="105"/>
      <c r="B8" s="106" t="s">
        <v>0</v>
      </c>
      <c r="C8" s="106" t="s">
        <v>3</v>
      </c>
      <c r="D8" s="106" t="s">
        <v>126</v>
      </c>
      <c r="E8" s="106" t="s">
        <v>81</v>
      </c>
      <c r="F8" s="106" t="s">
        <v>80</v>
      </c>
      <c r="G8" s="106" t="s">
        <v>71</v>
      </c>
      <c r="H8" s="106" t="s">
        <v>79</v>
      </c>
      <c r="I8" s="106" t="s">
        <v>78</v>
      </c>
      <c r="J8" s="106" t="s">
        <v>58</v>
      </c>
      <c r="K8" s="106" t="s">
        <v>42</v>
      </c>
      <c r="L8" s="106" t="s">
        <v>77</v>
      </c>
      <c r="M8" s="106" t="s">
        <v>59</v>
      </c>
      <c r="N8" s="106" t="s">
        <v>43</v>
      </c>
      <c r="O8" s="106" t="s">
        <v>76</v>
      </c>
      <c r="P8" s="106" t="s">
        <v>60</v>
      </c>
      <c r="Q8" s="106" t="s">
        <v>44</v>
      </c>
      <c r="R8" s="106" t="s">
        <v>75</v>
      </c>
      <c r="S8" s="106" t="s">
        <v>61</v>
      </c>
      <c r="T8" s="106" t="s">
        <v>45</v>
      </c>
      <c r="U8" s="106" t="s">
        <v>68</v>
      </c>
      <c r="V8" s="106" t="s">
        <v>62</v>
      </c>
      <c r="W8" s="106" t="s">
        <v>46</v>
      </c>
      <c r="X8" s="106" t="s">
        <v>51</v>
      </c>
      <c r="Y8" s="106" t="s">
        <v>63</v>
      </c>
      <c r="Z8" s="106" t="s">
        <v>47</v>
      </c>
      <c r="AA8" s="106" t="s">
        <v>52</v>
      </c>
      <c r="AB8" s="106" t="s">
        <v>64</v>
      </c>
      <c r="AC8" s="106" t="s">
        <v>48</v>
      </c>
      <c r="AD8" s="106" t="s">
        <v>53</v>
      </c>
      <c r="AE8" s="106" t="s">
        <v>65</v>
      </c>
      <c r="AF8" s="106" t="s">
        <v>49</v>
      </c>
      <c r="AG8" s="106" t="s">
        <v>54</v>
      </c>
      <c r="AH8" s="106" t="s">
        <v>66</v>
      </c>
      <c r="AI8" s="106" t="s">
        <v>50</v>
      </c>
      <c r="AJ8" s="106" t="s">
        <v>55</v>
      </c>
      <c r="AK8" s="106" t="s">
        <v>67</v>
      </c>
      <c r="AL8" s="106" t="s">
        <v>56</v>
      </c>
      <c r="AM8" s="106" t="s">
        <v>57</v>
      </c>
      <c r="AN8" s="106" t="s">
        <v>101</v>
      </c>
      <c r="AO8" s="106" t="s">
        <v>102</v>
      </c>
      <c r="AP8" s="106" t="s">
        <v>100</v>
      </c>
      <c r="AQ8" s="106" t="s">
        <v>105</v>
      </c>
      <c r="AR8" s="106" t="s">
        <v>104</v>
      </c>
      <c r="AS8" s="106" t="s">
        <v>103</v>
      </c>
      <c r="AT8" s="106" t="s">
        <v>111</v>
      </c>
      <c r="AU8" s="106" t="s">
        <v>110</v>
      </c>
      <c r="AV8" s="106" t="s">
        <v>108</v>
      </c>
      <c r="AW8" s="106" t="s">
        <v>107</v>
      </c>
      <c r="AX8" s="106" t="s">
        <v>106</v>
      </c>
      <c r="AY8" s="106" t="s">
        <v>109</v>
      </c>
      <c r="AZ8" s="106" t="s">
        <v>114</v>
      </c>
      <c r="BA8" s="106" t="s">
        <v>113</v>
      </c>
      <c r="BB8" s="106" t="s">
        <v>112</v>
      </c>
      <c r="BC8" s="106" t="s">
        <v>115</v>
      </c>
      <c r="BD8" s="106" t="s">
        <v>116</v>
      </c>
      <c r="BE8" s="106" t="s">
        <v>117</v>
      </c>
      <c r="BF8" s="106" t="s">
        <v>118</v>
      </c>
      <c r="BG8" s="106" t="s">
        <v>119</v>
      </c>
      <c r="BH8" s="106" t="s">
        <v>120</v>
      </c>
      <c r="BI8" s="106" t="s">
        <v>121</v>
      </c>
      <c r="BJ8" s="106" t="s">
        <v>122</v>
      </c>
      <c r="BK8" s="106" t="s">
        <v>123</v>
      </c>
      <c r="BL8" s="106" t="s">
        <v>161</v>
      </c>
      <c r="BM8" s="106" t="s">
        <v>162</v>
      </c>
      <c r="BN8" s="106" t="s">
        <v>160</v>
      </c>
      <c r="BO8" s="106" t="s">
        <v>163</v>
      </c>
      <c r="BP8" s="106" t="s">
        <v>164</v>
      </c>
      <c r="BQ8" s="106" t="s">
        <v>165</v>
      </c>
      <c r="BR8" s="106" t="s">
        <v>166</v>
      </c>
      <c r="BS8" s="106" t="s">
        <v>167</v>
      </c>
      <c r="BT8" s="106" t="s">
        <v>168</v>
      </c>
      <c r="BU8" s="106" t="s">
        <v>169</v>
      </c>
      <c r="BV8" s="106" t="s">
        <v>170</v>
      </c>
      <c r="BW8" s="106" t="s">
        <v>171</v>
      </c>
      <c r="BX8" s="106" t="s">
        <v>172</v>
      </c>
      <c r="BY8" s="106" t="s">
        <v>173</v>
      </c>
      <c r="BZ8" s="106" t="s">
        <v>174</v>
      </c>
      <c r="CA8" s="106" t="s">
        <v>175</v>
      </c>
      <c r="CB8" s="106" t="s">
        <v>176</v>
      </c>
      <c r="CC8" s="106" t="s">
        <v>177</v>
      </c>
      <c r="CD8" s="106" t="s">
        <v>178</v>
      </c>
      <c r="CE8" s="106" t="s">
        <v>179</v>
      </c>
      <c r="CF8" s="106" t="s">
        <v>180</v>
      </c>
      <c r="CG8" s="106" t="s">
        <v>181</v>
      </c>
      <c r="CH8" s="106" t="s">
        <v>182</v>
      </c>
      <c r="CI8" s="106" t="s">
        <v>183</v>
      </c>
      <c r="CJ8" s="106" t="s">
        <v>184</v>
      </c>
      <c r="CK8" s="106" t="s">
        <v>185</v>
      </c>
      <c r="CL8" s="106" t="s">
        <v>186</v>
      </c>
      <c r="CM8" s="106" t="s">
        <v>187</v>
      </c>
      <c r="CN8" s="106" t="s">
        <v>188</v>
      </c>
      <c r="CO8" s="106" t="s">
        <v>189</v>
      </c>
      <c r="CP8" s="106" t="s">
        <v>190</v>
      </c>
      <c r="CQ8" s="106" t="s">
        <v>191</v>
      </c>
      <c r="CR8" s="106" t="s">
        <v>192</v>
      </c>
      <c r="CS8" s="106" t="s">
        <v>193</v>
      </c>
      <c r="CT8" s="106" t="s">
        <v>194</v>
      </c>
      <c r="CU8" s="106" t="s">
        <v>195</v>
      </c>
      <c r="CV8" s="106" t="s">
        <v>196</v>
      </c>
      <c r="CW8" s="106" t="s">
        <v>197</v>
      </c>
      <c r="CX8" s="106" t="s">
        <v>198</v>
      </c>
      <c r="CY8" s="106" t="s">
        <v>199</v>
      </c>
      <c r="CZ8" s="106" t="s">
        <v>200</v>
      </c>
      <c r="DA8" s="106" t="s">
        <v>201</v>
      </c>
      <c r="DB8" s="106" t="s">
        <v>202</v>
      </c>
      <c r="DC8" s="106" t="s">
        <v>203</v>
      </c>
      <c r="DD8" s="106" t="s">
        <v>204</v>
      </c>
      <c r="DE8" s="106" t="s">
        <v>205</v>
      </c>
      <c r="DF8" s="106" t="s">
        <v>206</v>
      </c>
      <c r="DG8" s="106" t="s">
        <v>207</v>
      </c>
      <c r="DH8" s="106" t="s">
        <v>209</v>
      </c>
      <c r="DI8" s="106" t="s">
        <v>210</v>
      </c>
      <c r="DJ8" s="106" t="s">
        <v>208</v>
      </c>
      <c r="DK8" s="106" t="s">
        <v>211</v>
      </c>
      <c r="DL8" s="106" t="s">
        <v>212</v>
      </c>
      <c r="DM8" s="106" t="s">
        <v>213</v>
      </c>
      <c r="DN8" s="106" t="s">
        <v>214</v>
      </c>
      <c r="DO8" s="106" t="s">
        <v>215</v>
      </c>
      <c r="DP8" s="106" t="s">
        <v>216</v>
      </c>
      <c r="DQ8" s="106" t="s">
        <v>217</v>
      </c>
      <c r="DR8" s="106" t="s">
        <v>218</v>
      </c>
      <c r="DS8" s="106" t="s">
        <v>219</v>
      </c>
      <c r="DT8" s="106" t="s">
        <v>27</v>
      </c>
      <c r="DU8" s="106" t="s">
        <v>28</v>
      </c>
      <c r="DV8" s="106" t="s">
        <v>1</v>
      </c>
      <c r="DW8" s="106" t="s">
        <v>22</v>
      </c>
      <c r="DX8" s="106" t="s">
        <v>21</v>
      </c>
      <c r="DY8" s="106" t="s">
        <v>2</v>
      </c>
      <c r="DZ8" s="116" t="s">
        <v>23</v>
      </c>
      <c r="EA8" s="116" t="s">
        <v>24</v>
      </c>
      <c r="EB8" s="112" t="s">
        <v>73</v>
      </c>
      <c r="EC8" s="116" t="s">
        <v>74</v>
      </c>
      <c r="ED8" s="116" t="s">
        <v>7</v>
      </c>
      <c r="EE8" s="105"/>
    </row>
    <row r="9" spans="1:135" ht="39.950000000000003" customHeight="1" x14ac:dyDescent="0.2">
      <c r="B9" s="58" cm="1">
        <f t="array" ref="B9">SN</f>
        <v>1</v>
      </c>
      <c r="C9" s="107" t="str" cm="1">
        <f t="array" ref="C9">GUID</f>
        <v>冯毅 | 男 | 9955</v>
      </c>
      <c r="D9" s="108" cm="1">
        <f t="array" ref="D9">Get_1_Calc</f>
        <v>0</v>
      </c>
      <c r="E9" s="58" cm="1">
        <f t="array" ref="E9">Get_1_Add</f>
        <v>0</v>
      </c>
      <c r="F9" s="58" cm="1">
        <f t="array" ref="F9">Get_1_Del</f>
        <v>0</v>
      </c>
      <c r="G9" s="108" cm="1">
        <f t="array" ref="G9">Get_2_Calc</f>
        <v>0</v>
      </c>
      <c r="H9" s="58" cm="1">
        <f t="array" ref="H9">Get_2_Add</f>
        <v>0</v>
      </c>
      <c r="I9" s="58" cm="1">
        <f t="array" ref="I9">Get_2_Del</f>
        <v>0</v>
      </c>
      <c r="J9" s="108" cm="1">
        <f t="array" ref="J9">Get_3_Calc</f>
        <v>0</v>
      </c>
      <c r="K9" s="58" cm="1">
        <f t="array" ref="K9">Get_3_Add</f>
        <v>0</v>
      </c>
      <c r="L9" s="58" cm="1">
        <f t="array" ref="L9">Get_3_Del</f>
        <v>0</v>
      </c>
      <c r="M9" s="108" cm="1">
        <f t="array" ref="M9">Get_4_Calc</f>
        <v>0</v>
      </c>
      <c r="N9" s="58" cm="1">
        <f t="array" ref="N9">Get_4_Add</f>
        <v>0</v>
      </c>
      <c r="O9" s="58" cm="1">
        <f t="array" ref="O9">Get_4_Del</f>
        <v>0</v>
      </c>
      <c r="P9" s="108" cm="1">
        <f t="array" ref="P9">Get_5_Calc</f>
        <v>0</v>
      </c>
      <c r="Q9" s="58" cm="1">
        <f t="array" ref="Q9">Get_5_Add</f>
        <v>0</v>
      </c>
      <c r="R9" s="58" cm="1">
        <f t="array" ref="R9">Get_5_Del</f>
        <v>0</v>
      </c>
      <c r="S9" s="108" cm="1">
        <f t="array" ref="S9">Get_6_Calc</f>
        <v>0</v>
      </c>
      <c r="T9" s="58" cm="1">
        <f t="array" ref="T9">Get_6_Add</f>
        <v>0</v>
      </c>
      <c r="U9" s="58" cm="1">
        <f t="array" ref="U9">Get_6_Del</f>
        <v>0</v>
      </c>
      <c r="V9" s="108" cm="1">
        <f t="array" ref="V9">Get_7_Calc</f>
        <v>0</v>
      </c>
      <c r="W9" s="58" cm="1">
        <f t="array" ref="W9">Get_7_Add</f>
        <v>0</v>
      </c>
      <c r="X9" s="58" cm="1">
        <f t="array" ref="X9">Get_7_Del</f>
        <v>0</v>
      </c>
      <c r="Y9" s="108" cm="1">
        <f t="array" ref="Y9">Get_8_Calc</f>
        <v>0</v>
      </c>
      <c r="Z9" s="58" cm="1">
        <f t="array" ref="Z9">Get_8_Add</f>
        <v>0</v>
      </c>
      <c r="AA9" s="58" cm="1">
        <f t="array" ref="AA9">Get_8_Del</f>
        <v>0</v>
      </c>
      <c r="AB9" s="108" cm="1">
        <f t="array" ref="AB9">Get_9_Calc</f>
        <v>0</v>
      </c>
      <c r="AC9" s="58" cm="1">
        <f t="array" ref="AC9">Get_9_Add</f>
        <v>0</v>
      </c>
      <c r="AD9" s="58" cm="1">
        <f t="array" ref="AD9">Get_9_Del</f>
        <v>0</v>
      </c>
      <c r="AE9" s="108" cm="1">
        <f t="array" ref="AE9">Get_10_Calc</f>
        <v>0</v>
      </c>
      <c r="AF9" s="58" cm="1">
        <f t="array" ref="AF9">Get_10_Add</f>
        <v>0</v>
      </c>
      <c r="AG9" s="58" cm="1">
        <f t="array" ref="AG9">Get_10_Del</f>
        <v>0</v>
      </c>
      <c r="AH9" s="108" cm="1">
        <f t="array" ref="AH9">Get_11_Calc</f>
        <v>0</v>
      </c>
      <c r="AI9" s="58" cm="1">
        <f t="array" ref="AI9">Get_11_Add</f>
        <v>0</v>
      </c>
      <c r="AJ9" s="58" cm="1">
        <f t="array" ref="AJ9">Get_11_Del</f>
        <v>0</v>
      </c>
      <c r="AK9" s="108" cm="1">
        <f t="array" ref="AK9">Get_12_Calc</f>
        <v>0</v>
      </c>
      <c r="AL9" s="58" cm="1">
        <f t="array" ref="AL9">Get_12_Add</f>
        <v>0</v>
      </c>
      <c r="AM9" s="58" cm="1">
        <f t="array" ref="AM9">Get_12_Del</f>
        <v>0</v>
      </c>
      <c r="AN9" s="108" cm="1">
        <f t="array" ref="AN9">Get_13_Calc</f>
        <v>0</v>
      </c>
      <c r="AO9" s="58" cm="1">
        <f t="array" ref="AO9">Get_13_Add</f>
        <v>0</v>
      </c>
      <c r="AP9" s="58" cm="1">
        <f t="array" ref="AP9">Get_13_Del</f>
        <v>0</v>
      </c>
      <c r="AQ9" s="108" cm="1">
        <f t="array" ref="AQ9">Get_14_Calc</f>
        <v>0</v>
      </c>
      <c r="AR9" s="58" cm="1">
        <f t="array" ref="AR9">Get_14_Add</f>
        <v>0</v>
      </c>
      <c r="AS9" s="58" cm="1">
        <f t="array" ref="AS9">Get_14_Del</f>
        <v>0</v>
      </c>
      <c r="AT9" s="108" cm="1">
        <f t="array" ref="AT9">Get_15_Calc</f>
        <v>0</v>
      </c>
      <c r="AU9" s="58" cm="1">
        <f t="array" ref="AU9">Get_15_Add</f>
        <v>0</v>
      </c>
      <c r="AV9" s="58" cm="1">
        <f t="array" ref="AV9">Get_15_Del</f>
        <v>0</v>
      </c>
      <c r="AW9" s="108" cm="1">
        <f t="array" ref="AW9">Get_16_Calc</f>
        <v>0</v>
      </c>
      <c r="AX9" s="58" cm="1">
        <f t="array" ref="AX9">Get_16_Add</f>
        <v>0</v>
      </c>
      <c r="AY9" s="58" cm="1">
        <f t="array" ref="AY9">Get_16_Del</f>
        <v>0</v>
      </c>
      <c r="AZ9" s="108" cm="1">
        <f t="array" ref="AZ9">Get_17_Calc</f>
        <v>0</v>
      </c>
      <c r="BA9" s="58" cm="1">
        <f t="array" ref="BA9">Get_17_Add</f>
        <v>0</v>
      </c>
      <c r="BB9" s="58" cm="1">
        <f t="array" ref="BB9">Get_17_Del</f>
        <v>0</v>
      </c>
      <c r="BC9" s="108" cm="1">
        <f t="array" ref="BC9">Get_18_Calc</f>
        <v>0</v>
      </c>
      <c r="BD9" s="58" cm="1">
        <f t="array" ref="BD9">Get_18_Add</f>
        <v>0</v>
      </c>
      <c r="BE9" s="58" cm="1">
        <f t="array" ref="BE9">Get_18_Del</f>
        <v>0</v>
      </c>
      <c r="BF9" s="108" cm="1">
        <f t="array" ref="BF9">Get_19_Calc</f>
        <v>0</v>
      </c>
      <c r="BG9" s="58" cm="1">
        <f t="array" ref="BG9">Get_19_Add</f>
        <v>0</v>
      </c>
      <c r="BH9" s="58" cm="1">
        <f t="array" ref="BH9">Get_19_Del</f>
        <v>0</v>
      </c>
      <c r="BI9" s="108" cm="1">
        <f t="array" ref="BI9">Get_20_Calc</f>
        <v>0</v>
      </c>
      <c r="BJ9" s="58" cm="1">
        <f t="array" ref="BJ9">Get_20_Add</f>
        <v>0</v>
      </c>
      <c r="BK9" s="58" cm="1">
        <f t="array" ref="BK9">Get_20_Del</f>
        <v>0</v>
      </c>
      <c r="BL9" s="58" cm="1">
        <f t="array" ref="BL9">Get_21_Calc</f>
        <v>0</v>
      </c>
      <c r="BM9" s="58" cm="1">
        <f t="array" ref="BM9">Get_21_Add</f>
        <v>0</v>
      </c>
      <c r="BN9" s="58" cm="1">
        <f t="array" ref="BN9">Get_21_Del</f>
        <v>0</v>
      </c>
      <c r="BO9" s="58" cm="1">
        <f t="array" ref="BO9">Get_22_Calc</f>
        <v>0</v>
      </c>
      <c r="BP9" s="58" cm="1">
        <f t="array" ref="BP9">Get_22_Add</f>
        <v>0</v>
      </c>
      <c r="BQ9" s="58" cm="1">
        <f t="array" ref="BQ9">Get_22_Del</f>
        <v>0</v>
      </c>
      <c r="BR9" s="58" cm="1">
        <f t="array" ref="BR9">Get_23_Calc</f>
        <v>0</v>
      </c>
      <c r="BS9" s="58" cm="1">
        <f t="array" ref="BS9">Get_23_Add</f>
        <v>0</v>
      </c>
      <c r="BT9" s="58" cm="1">
        <f t="array" ref="BT9">Get_23_Del</f>
        <v>0</v>
      </c>
      <c r="BU9" s="58" cm="1">
        <f t="array" ref="BU9">Get_24_Calc</f>
        <v>0</v>
      </c>
      <c r="BV9" s="58" cm="1">
        <f t="array" ref="BV9">Get_24_Add</f>
        <v>0</v>
      </c>
      <c r="BW9" s="58" cm="1">
        <f t="array" ref="BW9">Get_24_Del</f>
        <v>0</v>
      </c>
      <c r="BX9" s="58" cm="1">
        <f t="array" ref="BX9">Get_25_Calc</f>
        <v>0</v>
      </c>
      <c r="BY9" s="58" cm="1">
        <f t="array" ref="BY9">Get_25_Add</f>
        <v>0</v>
      </c>
      <c r="BZ9" s="58" cm="1">
        <f t="array" ref="BZ9">Get_25_Del</f>
        <v>0</v>
      </c>
      <c r="CA9" s="58" cm="1">
        <f t="array" ref="CA9">Get_26_Calc</f>
        <v>0</v>
      </c>
      <c r="CB9" s="58" cm="1">
        <f t="array" ref="CB9">Get_26_Add</f>
        <v>0</v>
      </c>
      <c r="CC9" s="58" cm="1">
        <f t="array" ref="CC9">Get_26_Del</f>
        <v>0</v>
      </c>
      <c r="CD9" s="58" cm="1">
        <f t="array" ref="CD9">Get_27_Calc</f>
        <v>0</v>
      </c>
      <c r="CE9" s="58" cm="1">
        <f t="array" ref="CE9">Get_27_Add</f>
        <v>0</v>
      </c>
      <c r="CF9" s="58" cm="1">
        <f t="array" ref="CF9">Get_27_Del</f>
        <v>0</v>
      </c>
      <c r="CG9" s="58" cm="1">
        <f t="array" ref="CG9">Get_28_Calc</f>
        <v>0</v>
      </c>
      <c r="CH9" s="58" cm="1">
        <f t="array" ref="CH9">Get_28_Add</f>
        <v>0</v>
      </c>
      <c r="CI9" s="58" cm="1">
        <f t="array" ref="CI9">Get_28_Del</f>
        <v>0</v>
      </c>
      <c r="CJ9" s="58" cm="1">
        <f t="array" ref="CJ9">Get_29_Calc</f>
        <v>0</v>
      </c>
      <c r="CK9" s="58" cm="1">
        <f t="array" ref="CK9">Get_29_Add</f>
        <v>0</v>
      </c>
      <c r="CL9" s="58" cm="1">
        <f t="array" ref="CL9">Get_29_Del</f>
        <v>0</v>
      </c>
      <c r="CM9" s="58" cm="1">
        <f t="array" ref="CM9">Get_30_Calc</f>
        <v>0</v>
      </c>
      <c r="CN9" s="58" cm="1">
        <f t="array" ref="CN9">Get_30_Add</f>
        <v>0</v>
      </c>
      <c r="CO9" s="58" cm="1">
        <f t="array" ref="CO9">Get_30_Del</f>
        <v>0</v>
      </c>
      <c r="CP9" s="58" cm="1">
        <f t="array" ref="CP9">Get_31_Calc</f>
        <v>0</v>
      </c>
      <c r="CQ9" s="58" cm="1">
        <f t="array" ref="CQ9">Get_31_Add</f>
        <v>0</v>
      </c>
      <c r="CR9" s="58" cm="1">
        <f t="array" ref="CR9">Get_31_Del</f>
        <v>0</v>
      </c>
      <c r="CS9" s="58" cm="1">
        <f t="array" ref="CS9">Get_32_Calc</f>
        <v>0</v>
      </c>
      <c r="CT9" s="58" cm="1">
        <f t="array" ref="CT9">Get_32_Add</f>
        <v>0</v>
      </c>
      <c r="CU9" s="58" cm="1">
        <f t="array" ref="CU9">Get_32_Del</f>
        <v>0</v>
      </c>
      <c r="CV9" s="58" cm="1">
        <f t="array" ref="CV9">Get_33_Calc</f>
        <v>0</v>
      </c>
      <c r="CW9" s="58" cm="1">
        <f t="array" ref="CW9">Get_33_Add</f>
        <v>0</v>
      </c>
      <c r="CX9" s="58" cm="1">
        <f t="array" ref="CX9">Get_33_Del</f>
        <v>0</v>
      </c>
      <c r="CY9" s="58" cm="1">
        <f t="array" ref="CY9">Get_34_Calc</f>
        <v>0</v>
      </c>
      <c r="CZ9" s="58" cm="1">
        <f t="array" ref="CZ9">Get_34_Add</f>
        <v>0</v>
      </c>
      <c r="DA9" s="58" cm="1">
        <f t="array" ref="DA9">Get_34_Del</f>
        <v>0</v>
      </c>
      <c r="DB9" s="58" cm="1">
        <f t="array" ref="DB9">Get_35_Calc</f>
        <v>0</v>
      </c>
      <c r="DC9" s="58" cm="1">
        <f t="array" ref="DC9">Get_35_Add</f>
        <v>0</v>
      </c>
      <c r="DD9" s="58" cm="1">
        <f t="array" ref="DD9">Get_35_Del</f>
        <v>0</v>
      </c>
      <c r="DE9" s="58" cm="1">
        <f t="array" ref="DE9">Get_36_Calc</f>
        <v>0</v>
      </c>
      <c r="DF9" s="58" cm="1">
        <f t="array" ref="DF9">Get_36_Add</f>
        <v>0</v>
      </c>
      <c r="DG9" s="58" cm="1">
        <f t="array" ref="DG9">Get_36_Del</f>
        <v>0</v>
      </c>
      <c r="DH9" s="58" cm="1">
        <f t="array" ref="DH9">Get_37_Calc</f>
        <v>0</v>
      </c>
      <c r="DI9" s="58" cm="1">
        <f t="array" ref="DI9">Get_37_Add</f>
        <v>0</v>
      </c>
      <c r="DJ9" s="58" cm="1">
        <f t="array" ref="DJ9">Get_37_Del</f>
        <v>0</v>
      </c>
      <c r="DK9" s="58" cm="1">
        <f t="array" ref="DK9">Get_38_Calc</f>
        <v>0</v>
      </c>
      <c r="DL9" s="58" cm="1">
        <f t="array" ref="DL9">Get_38_Add</f>
        <v>0</v>
      </c>
      <c r="DM9" s="58" cm="1">
        <f t="array" ref="DM9">Get_38_Del</f>
        <v>0</v>
      </c>
      <c r="DN9" s="58" cm="1">
        <f t="array" ref="DN9">Get_39_Calc</f>
        <v>0</v>
      </c>
      <c r="DO9" s="58" cm="1">
        <f t="array" ref="DO9">Get_39_Add</f>
        <v>0</v>
      </c>
      <c r="DP9" s="58" cm="1">
        <f t="array" ref="DP9">Get_39_Del</f>
        <v>0</v>
      </c>
      <c r="DQ9" s="58" cm="1">
        <f t="array" ref="DQ9">Get_40_Calc</f>
        <v>0</v>
      </c>
      <c r="DR9" s="58" cm="1">
        <f t="array" ref="DR9">Get_40_Add</f>
        <v>0</v>
      </c>
      <c r="DS9" s="58" cm="1">
        <f t="array" ref="DS9">Get_40_Del</f>
        <v>0</v>
      </c>
      <c r="DT9" s="74" t="s">
        <v>232</v>
      </c>
      <c r="DU9" s="75" t="s">
        <v>233</v>
      </c>
      <c r="DV9" s="76" t="s">
        <v>10</v>
      </c>
      <c r="DW9" s="76" t="s">
        <v>128</v>
      </c>
      <c r="DX9" s="57"/>
      <c r="DY9" s="76" t="s">
        <v>311</v>
      </c>
      <c r="DZ9" s="117" t="s">
        <v>283</v>
      </c>
      <c r="EA9" s="117" t="s">
        <v>128</v>
      </c>
      <c r="EB9" s="95">
        <v>45268.505555555559</v>
      </c>
      <c r="EC9" s="117"/>
      <c r="ED9" s="119" t="s">
        <v>296</v>
      </c>
      <c r="EE9" s="15"/>
    </row>
    <row r="10" spans="1:135" ht="39.950000000000003" customHeight="1" x14ac:dyDescent="0.2">
      <c r="B10" s="56" cm="1">
        <f t="array" ref="B10">SN</f>
        <v>2</v>
      </c>
      <c r="C10" s="130" t="str" cm="1">
        <f t="array" ref="C10">GUID</f>
        <v>李怡 | 女 | 7551</v>
      </c>
      <c r="D10" s="131" cm="1">
        <f t="array" ref="D10">Get_1_Calc</f>
        <v>0</v>
      </c>
      <c r="E10" s="56" cm="1">
        <f t="array" ref="E10">Get_1_Add</f>
        <v>0</v>
      </c>
      <c r="F10" s="56" cm="1">
        <f t="array" ref="F10">Get_1_Del</f>
        <v>0</v>
      </c>
      <c r="G10" s="131" cm="1">
        <f t="array" ref="G10">Get_2_Calc</f>
        <v>0</v>
      </c>
      <c r="H10" s="56" cm="1">
        <f t="array" ref="H10">Get_2_Add</f>
        <v>0</v>
      </c>
      <c r="I10" s="56" cm="1">
        <f t="array" ref="I10">Get_2_Del</f>
        <v>0</v>
      </c>
      <c r="J10" s="131" cm="1">
        <f t="array" ref="J10">Get_3_Calc</f>
        <v>0</v>
      </c>
      <c r="K10" s="56" cm="1">
        <f t="array" ref="K10">Get_3_Add</f>
        <v>0</v>
      </c>
      <c r="L10" s="56" cm="1">
        <f t="array" ref="L10">Get_3_Del</f>
        <v>0</v>
      </c>
      <c r="M10" s="131" cm="1">
        <f t="array" ref="M10">Get_4_Calc</f>
        <v>0</v>
      </c>
      <c r="N10" s="56" cm="1">
        <f t="array" ref="N10">Get_4_Add</f>
        <v>0</v>
      </c>
      <c r="O10" s="56" cm="1">
        <f t="array" ref="O10">Get_4_Del</f>
        <v>0</v>
      </c>
      <c r="P10" s="131" cm="1">
        <f t="array" ref="P10">Get_5_Calc</f>
        <v>0</v>
      </c>
      <c r="Q10" s="56" cm="1">
        <f t="array" ref="Q10">Get_5_Add</f>
        <v>0</v>
      </c>
      <c r="R10" s="56" cm="1">
        <f t="array" ref="R10">Get_5_Del</f>
        <v>0</v>
      </c>
      <c r="S10" s="131" cm="1">
        <f t="array" ref="S10">Get_6_Calc</f>
        <v>0</v>
      </c>
      <c r="T10" s="56" cm="1">
        <f t="array" ref="T10">Get_6_Add</f>
        <v>0</v>
      </c>
      <c r="U10" s="56" cm="1">
        <f t="array" ref="U10">Get_6_Del</f>
        <v>0</v>
      </c>
      <c r="V10" s="131" cm="1">
        <f t="array" ref="V10">Get_7_Calc</f>
        <v>0</v>
      </c>
      <c r="W10" s="56" cm="1">
        <f t="array" ref="W10">Get_7_Add</f>
        <v>0</v>
      </c>
      <c r="X10" s="56" cm="1">
        <f t="array" ref="X10">Get_7_Del</f>
        <v>0</v>
      </c>
      <c r="Y10" s="131" cm="1">
        <f t="array" ref="Y10">Get_8_Calc</f>
        <v>0</v>
      </c>
      <c r="Z10" s="56" cm="1">
        <f t="array" ref="Z10">Get_8_Add</f>
        <v>0</v>
      </c>
      <c r="AA10" s="56" cm="1">
        <f t="array" ref="AA10">Get_8_Del</f>
        <v>0</v>
      </c>
      <c r="AB10" s="131" cm="1">
        <f t="array" ref="AB10">Get_9_Calc</f>
        <v>0</v>
      </c>
      <c r="AC10" s="56" cm="1">
        <f t="array" ref="AC10">Get_9_Add</f>
        <v>0</v>
      </c>
      <c r="AD10" s="56" cm="1">
        <f t="array" ref="AD10">Get_9_Del</f>
        <v>0</v>
      </c>
      <c r="AE10" s="131" cm="1">
        <f t="array" ref="AE10">Get_10_Calc</f>
        <v>0</v>
      </c>
      <c r="AF10" s="56" cm="1">
        <f t="array" ref="AF10">Get_10_Add</f>
        <v>0</v>
      </c>
      <c r="AG10" s="56" cm="1">
        <f t="array" ref="AG10">Get_10_Del</f>
        <v>0</v>
      </c>
      <c r="AH10" s="131" cm="1">
        <f t="array" ref="AH10">Get_11_Calc</f>
        <v>0</v>
      </c>
      <c r="AI10" s="56" cm="1">
        <f t="array" ref="AI10">Get_11_Add</f>
        <v>0</v>
      </c>
      <c r="AJ10" s="56" cm="1">
        <f t="array" ref="AJ10">Get_11_Del</f>
        <v>0</v>
      </c>
      <c r="AK10" s="131" cm="1">
        <f t="array" ref="AK10">Get_12_Calc</f>
        <v>0</v>
      </c>
      <c r="AL10" s="56" cm="1">
        <f t="array" ref="AL10">Get_12_Add</f>
        <v>0</v>
      </c>
      <c r="AM10" s="56" cm="1">
        <f t="array" ref="AM10">Get_12_Del</f>
        <v>0</v>
      </c>
      <c r="AN10" s="131" cm="1">
        <f t="array" ref="AN10">Get_13_Calc</f>
        <v>0</v>
      </c>
      <c r="AO10" s="56" cm="1">
        <f t="array" ref="AO10">Get_13_Add</f>
        <v>0</v>
      </c>
      <c r="AP10" s="56" cm="1">
        <f t="array" ref="AP10">Get_13_Del</f>
        <v>0</v>
      </c>
      <c r="AQ10" s="131" cm="1">
        <f t="array" ref="AQ10">Get_14_Calc</f>
        <v>0</v>
      </c>
      <c r="AR10" s="56" cm="1">
        <f t="array" ref="AR10">Get_14_Add</f>
        <v>0</v>
      </c>
      <c r="AS10" s="56" cm="1">
        <f t="array" ref="AS10">Get_14_Del</f>
        <v>0</v>
      </c>
      <c r="AT10" s="131" cm="1">
        <f t="array" ref="AT10">Get_15_Calc</f>
        <v>0</v>
      </c>
      <c r="AU10" s="56" cm="1">
        <f t="array" ref="AU10">Get_15_Add</f>
        <v>0</v>
      </c>
      <c r="AV10" s="56" cm="1">
        <f t="array" ref="AV10">Get_15_Del</f>
        <v>0</v>
      </c>
      <c r="AW10" s="131" cm="1">
        <f t="array" ref="AW10">Get_16_Calc</f>
        <v>0</v>
      </c>
      <c r="AX10" s="56" cm="1">
        <f t="array" ref="AX10">Get_16_Add</f>
        <v>0</v>
      </c>
      <c r="AY10" s="56" cm="1">
        <f t="array" ref="AY10">Get_16_Del</f>
        <v>0</v>
      </c>
      <c r="AZ10" s="131" cm="1">
        <f t="array" ref="AZ10">Get_17_Calc</f>
        <v>0</v>
      </c>
      <c r="BA10" s="56" cm="1">
        <f t="array" ref="BA10">Get_17_Add</f>
        <v>0</v>
      </c>
      <c r="BB10" s="56" cm="1">
        <f t="array" ref="BB10">Get_17_Del</f>
        <v>0</v>
      </c>
      <c r="BC10" s="131" cm="1">
        <f t="array" ref="BC10">Get_18_Calc</f>
        <v>0</v>
      </c>
      <c r="BD10" s="56" cm="1">
        <f t="array" ref="BD10">Get_18_Add</f>
        <v>0</v>
      </c>
      <c r="BE10" s="56" cm="1">
        <f t="array" ref="BE10">Get_18_Del</f>
        <v>0</v>
      </c>
      <c r="BF10" s="131" cm="1">
        <f t="array" ref="BF10">Get_19_Calc</f>
        <v>0</v>
      </c>
      <c r="BG10" s="56" cm="1">
        <f t="array" ref="BG10">Get_19_Add</f>
        <v>0</v>
      </c>
      <c r="BH10" s="56" cm="1">
        <f t="array" ref="BH10">Get_19_Del</f>
        <v>0</v>
      </c>
      <c r="BI10" s="131" cm="1">
        <f t="array" ref="BI10">Get_20_Calc</f>
        <v>0</v>
      </c>
      <c r="BJ10" s="56" cm="1">
        <f t="array" ref="BJ10">Get_20_Add</f>
        <v>0</v>
      </c>
      <c r="BK10" s="56" cm="1">
        <f t="array" ref="BK10">Get_20_Del</f>
        <v>0</v>
      </c>
      <c r="BL10" s="58" cm="1">
        <f t="array" ref="BL10">Get_21_Calc</f>
        <v>0</v>
      </c>
      <c r="BM10" s="58" cm="1">
        <f t="array" ref="BM10">Get_21_Add</f>
        <v>0</v>
      </c>
      <c r="BN10" s="58" cm="1">
        <f t="array" ref="BN10">Get_21_Del</f>
        <v>0</v>
      </c>
      <c r="BO10" s="56" cm="1">
        <f t="array" ref="BO10">Get_22_Calc</f>
        <v>0</v>
      </c>
      <c r="BP10" s="56" cm="1">
        <f t="array" ref="BP10">Get_22_Add</f>
        <v>0</v>
      </c>
      <c r="BQ10" s="56" cm="1">
        <f t="array" ref="BQ10">Get_22_Del</f>
        <v>0</v>
      </c>
      <c r="BR10" s="56" cm="1">
        <f t="array" ref="BR10">Get_23_Calc</f>
        <v>0</v>
      </c>
      <c r="BS10" s="56" cm="1">
        <f t="array" ref="BS10">Get_23_Add</f>
        <v>0</v>
      </c>
      <c r="BT10" s="56" cm="1">
        <f t="array" ref="BT10">Get_23_Del</f>
        <v>0</v>
      </c>
      <c r="BU10" s="56" cm="1">
        <f t="array" ref="BU10">Get_24_Calc</f>
        <v>0</v>
      </c>
      <c r="BV10" s="56" cm="1">
        <f t="array" ref="BV10">Get_24_Add</f>
        <v>0</v>
      </c>
      <c r="BW10" s="56" cm="1">
        <f t="array" ref="BW10">Get_24_Del</f>
        <v>0</v>
      </c>
      <c r="BX10" s="56" cm="1">
        <f t="array" ref="BX10">Get_25_Calc</f>
        <v>0</v>
      </c>
      <c r="BY10" s="56" cm="1">
        <f t="array" ref="BY10">Get_25_Add</f>
        <v>0</v>
      </c>
      <c r="BZ10" s="56" cm="1">
        <f t="array" ref="BZ10">Get_25_Del</f>
        <v>0</v>
      </c>
      <c r="CA10" s="56" cm="1">
        <f t="array" ref="CA10">Get_26_Calc</f>
        <v>0</v>
      </c>
      <c r="CB10" s="56" cm="1">
        <f t="array" ref="CB10">Get_26_Add</f>
        <v>0</v>
      </c>
      <c r="CC10" s="56" cm="1">
        <f t="array" ref="CC10">Get_26_Del</f>
        <v>0</v>
      </c>
      <c r="CD10" s="56" cm="1">
        <f t="array" ref="CD10">Get_27_Calc</f>
        <v>0</v>
      </c>
      <c r="CE10" s="56" cm="1">
        <f t="array" ref="CE10">Get_27_Add</f>
        <v>0</v>
      </c>
      <c r="CF10" s="56" cm="1">
        <f t="array" ref="CF10">Get_27_Del</f>
        <v>0</v>
      </c>
      <c r="CG10" s="56" cm="1">
        <f t="array" ref="CG10">Get_28_Calc</f>
        <v>0</v>
      </c>
      <c r="CH10" s="56" cm="1">
        <f t="array" ref="CH10">Get_28_Add</f>
        <v>0</v>
      </c>
      <c r="CI10" s="56" cm="1">
        <f t="array" ref="CI10">Get_28_Del</f>
        <v>0</v>
      </c>
      <c r="CJ10" s="56" cm="1">
        <f t="array" ref="CJ10">Get_29_Calc</f>
        <v>0</v>
      </c>
      <c r="CK10" s="56" cm="1">
        <f t="array" ref="CK10">Get_29_Add</f>
        <v>0</v>
      </c>
      <c r="CL10" s="56" cm="1">
        <f t="array" ref="CL10">Get_29_Del</f>
        <v>0</v>
      </c>
      <c r="CM10" s="56" cm="1">
        <f t="array" ref="CM10">Get_30_Calc</f>
        <v>0</v>
      </c>
      <c r="CN10" s="56" cm="1">
        <f t="array" ref="CN10">Get_30_Add</f>
        <v>0</v>
      </c>
      <c r="CO10" s="56" cm="1">
        <f t="array" ref="CO10">Get_30_Del</f>
        <v>0</v>
      </c>
      <c r="CP10" s="56" cm="1">
        <f t="array" ref="CP10">Get_31_Calc</f>
        <v>0</v>
      </c>
      <c r="CQ10" s="56" cm="1">
        <f t="array" ref="CQ10">Get_31_Add</f>
        <v>0</v>
      </c>
      <c r="CR10" s="56" cm="1">
        <f t="array" ref="CR10">Get_31_Del</f>
        <v>0</v>
      </c>
      <c r="CS10" s="56" cm="1">
        <f t="array" ref="CS10">Get_32_Calc</f>
        <v>0</v>
      </c>
      <c r="CT10" s="56" cm="1">
        <f t="array" ref="CT10">Get_32_Add</f>
        <v>0</v>
      </c>
      <c r="CU10" s="56" cm="1">
        <f t="array" ref="CU10">Get_32_Del</f>
        <v>0</v>
      </c>
      <c r="CV10" s="56" cm="1">
        <f t="array" ref="CV10">Get_33_Calc</f>
        <v>0</v>
      </c>
      <c r="CW10" s="56" cm="1">
        <f t="array" ref="CW10">Get_33_Add</f>
        <v>0</v>
      </c>
      <c r="CX10" s="56" cm="1">
        <f t="array" ref="CX10">Get_33_Del</f>
        <v>0</v>
      </c>
      <c r="CY10" s="56" cm="1">
        <f t="array" ref="CY10">Get_34_Calc</f>
        <v>0</v>
      </c>
      <c r="CZ10" s="56" cm="1">
        <f t="array" ref="CZ10">Get_34_Add</f>
        <v>0</v>
      </c>
      <c r="DA10" s="56" cm="1">
        <f t="array" ref="DA10">Get_34_Del</f>
        <v>0</v>
      </c>
      <c r="DB10" s="56" cm="1">
        <f t="array" ref="DB10">Get_35_Calc</f>
        <v>0</v>
      </c>
      <c r="DC10" s="56" cm="1">
        <f t="array" ref="DC10">Get_35_Add</f>
        <v>0</v>
      </c>
      <c r="DD10" s="56" cm="1">
        <f t="array" ref="DD10">Get_35_Del</f>
        <v>0</v>
      </c>
      <c r="DE10" s="56" cm="1">
        <f t="array" ref="DE10">Get_36_Calc</f>
        <v>0</v>
      </c>
      <c r="DF10" s="56" cm="1">
        <f t="array" ref="DF10">Get_36_Add</f>
        <v>0</v>
      </c>
      <c r="DG10" s="56" cm="1">
        <f t="array" ref="DG10">Get_36_Del</f>
        <v>0</v>
      </c>
      <c r="DH10" s="56" cm="1">
        <f t="array" ref="DH10">Get_37_Calc</f>
        <v>0</v>
      </c>
      <c r="DI10" s="56" cm="1">
        <f t="array" ref="DI10">Get_37_Add</f>
        <v>0</v>
      </c>
      <c r="DJ10" s="56" cm="1">
        <f t="array" ref="DJ10">Get_37_Del</f>
        <v>0</v>
      </c>
      <c r="DK10" s="56" cm="1">
        <f t="array" ref="DK10">Get_38_Calc</f>
        <v>0</v>
      </c>
      <c r="DL10" s="56" cm="1">
        <f t="array" ref="DL10">Get_38_Add</f>
        <v>0</v>
      </c>
      <c r="DM10" s="56" cm="1">
        <f t="array" ref="DM10">Get_38_Del</f>
        <v>0</v>
      </c>
      <c r="DN10" s="56" cm="1">
        <f t="array" ref="DN10">Get_39_Calc</f>
        <v>0</v>
      </c>
      <c r="DO10" s="56" cm="1">
        <f t="array" ref="DO10">Get_39_Add</f>
        <v>0</v>
      </c>
      <c r="DP10" s="56" cm="1">
        <f t="array" ref="DP10">Get_39_Del</f>
        <v>0</v>
      </c>
      <c r="DQ10" s="56" cm="1">
        <f t="array" ref="DQ10">Get_40_Calc</f>
        <v>0</v>
      </c>
      <c r="DR10" s="56" cm="1">
        <f t="array" ref="DR10">Get_40_Add</f>
        <v>0</v>
      </c>
      <c r="DS10" s="56" cm="1">
        <f t="array" ref="DS10">Get_40_Del</f>
        <v>0</v>
      </c>
      <c r="DT10" s="74" t="s">
        <v>306</v>
      </c>
      <c r="DU10" s="75" t="s">
        <v>307</v>
      </c>
      <c r="DV10" s="76" t="s">
        <v>11</v>
      </c>
      <c r="DW10" s="76" t="s">
        <v>128</v>
      </c>
      <c r="DX10" s="57"/>
      <c r="DY10" s="76" t="s">
        <v>312</v>
      </c>
      <c r="DZ10" s="117"/>
      <c r="EA10" s="117"/>
      <c r="EB10" s="95">
        <v>45268.505555555559</v>
      </c>
      <c r="EC10" s="117"/>
      <c r="ED10" s="119" t="s">
        <v>296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27" priority="25">
      <formula>MOD(ROW(),2)=0</formula>
    </cfRule>
    <cfRule type="expression" dxfId="326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3" customWidth="1"/>
    <col min="2" max="2" width="8.7109375" style="63" customWidth="1"/>
    <col min="3" max="3" width="30.7109375" style="98" customWidth="1"/>
    <col min="4" max="43" width="12.7109375" style="99" customWidth="1"/>
    <col min="44" max="44" width="12.7109375" style="96" customWidth="1"/>
    <col min="45" max="45" width="26.7109375" style="97" customWidth="1"/>
    <col min="46" max="46" width="18.7109375" style="96" customWidth="1"/>
    <col min="47" max="47" width="28.7109375" style="134" customWidth="1"/>
    <col min="48" max="48" width="8.7109375" style="140" customWidth="1"/>
    <col min="49" max="49" width="14.7109375" style="141" customWidth="1"/>
    <col min="50" max="50" width="8.7109375" style="84" customWidth="1"/>
    <col min="51" max="51" width="20.7109375" style="84" customWidth="1"/>
    <col min="52" max="52" width="2.7109375" style="63" customWidth="1"/>
    <col min="53" max="53" width="9.140625" style="63" hidden="1" customWidth="1"/>
    <col min="54" max="16384" width="9.140625" style="63" hidden="1"/>
  </cols>
  <sheetData>
    <row r="1" spans="2:51" s="113" customFormat="1" ht="6" customHeight="1" x14ac:dyDescent="0.25">
      <c r="AV1" s="136"/>
      <c r="AW1" s="136"/>
      <c r="AX1" s="136"/>
      <c r="AY1" s="136"/>
    </row>
    <row r="2" spans="2:51" s="62" customFormat="1" ht="54.95" customHeight="1" x14ac:dyDescent="0.25">
      <c r="B2" s="61" t="str">
        <f>设置!D7 &amp;" - 历史记录"</f>
        <v>Yi - 历史记录</v>
      </c>
      <c r="D2" s="114"/>
      <c r="AV2" s="137"/>
      <c r="AW2" s="137"/>
      <c r="AX2" s="137"/>
      <c r="AY2" s="137"/>
    </row>
    <row r="3" spans="2:51" ht="8.1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84"/>
      <c r="AW3" s="84"/>
    </row>
    <row r="4" spans="2:51" s="105" customFormat="1" ht="6" customHeight="1" x14ac:dyDescent="0.2">
      <c r="B4" s="10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38"/>
      <c r="AW4" s="138"/>
      <c r="AX4" s="138"/>
      <c r="AY4" s="138"/>
    </row>
    <row r="5" spans="2:51" ht="8.1" customHeight="1" x14ac:dyDescent="0.25"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84"/>
      <c r="AW5" s="84"/>
    </row>
    <row r="6" spans="2:51" s="105" customFormat="1" ht="39.950000000000003" customHeight="1" x14ac:dyDescent="0.2">
      <c r="D6" s="102">
        <f>设置!F11</f>
        <v>1</v>
      </c>
      <c r="E6" s="103">
        <f>设置!F12</f>
        <v>2</v>
      </c>
      <c r="F6" s="102">
        <f>设置!F13</f>
        <v>3</v>
      </c>
      <c r="G6" s="103">
        <f>设置!F14</f>
        <v>4</v>
      </c>
      <c r="H6" s="102">
        <f>设置!F15</f>
        <v>5</v>
      </c>
      <c r="I6" s="103">
        <f>设置!F16</f>
        <v>6</v>
      </c>
      <c r="J6" s="102">
        <f>设置!F17</f>
        <v>7</v>
      </c>
      <c r="K6" s="103">
        <f>设置!F18</f>
        <v>8</v>
      </c>
      <c r="L6" s="102">
        <f>设置!F19</f>
        <v>9</v>
      </c>
      <c r="M6" s="103">
        <f>设置!F20</f>
        <v>10</v>
      </c>
      <c r="N6" s="102">
        <f>设置!F21</f>
        <v>11</v>
      </c>
      <c r="O6" s="103">
        <f>设置!F22</f>
        <v>12</v>
      </c>
      <c r="P6" s="102">
        <f>设置!F23</f>
        <v>13</v>
      </c>
      <c r="Q6" s="103">
        <f>设置!F24</f>
        <v>14</v>
      </c>
      <c r="R6" s="102">
        <f>设置!F25</f>
        <v>15</v>
      </c>
      <c r="S6" s="103">
        <f>设置!F26</f>
        <v>16</v>
      </c>
      <c r="T6" s="102">
        <f>设置!F27</f>
        <v>17</v>
      </c>
      <c r="U6" s="103">
        <f>设置!F28</f>
        <v>18</v>
      </c>
      <c r="V6" s="102">
        <f>设置!F29</f>
        <v>19</v>
      </c>
      <c r="W6" s="103">
        <f>设置!F30</f>
        <v>20</v>
      </c>
      <c r="X6" s="102">
        <f>设置!F31</f>
        <v>21</v>
      </c>
      <c r="Y6" s="103">
        <f>设置!F32</f>
        <v>22</v>
      </c>
      <c r="Z6" s="102">
        <f>设置!F33</f>
        <v>23</v>
      </c>
      <c r="AA6" s="103">
        <f>设置!F34</f>
        <v>24</v>
      </c>
      <c r="AB6" s="102">
        <f>设置!F35</f>
        <v>25</v>
      </c>
      <c r="AC6" s="103">
        <f>设置!F36</f>
        <v>26</v>
      </c>
      <c r="AD6" s="102">
        <f>设置!F37</f>
        <v>27</v>
      </c>
      <c r="AE6" s="103">
        <f>设置!F38</f>
        <v>28</v>
      </c>
      <c r="AF6" s="102">
        <f>设置!F39</f>
        <v>29</v>
      </c>
      <c r="AG6" s="103">
        <f>设置!F40</f>
        <v>30</v>
      </c>
      <c r="AH6" s="102">
        <f>设置!F41</f>
        <v>31</v>
      </c>
      <c r="AI6" s="103">
        <f>设置!F42</f>
        <v>32</v>
      </c>
      <c r="AJ6" s="102">
        <f>设置!F43</f>
        <v>33</v>
      </c>
      <c r="AK6" s="103">
        <f>设置!F44</f>
        <v>34</v>
      </c>
      <c r="AL6" s="102">
        <f>设置!F45</f>
        <v>35</v>
      </c>
      <c r="AM6" s="103">
        <f>设置!F46</f>
        <v>36</v>
      </c>
      <c r="AN6" s="102">
        <f>设置!F47</f>
        <v>37</v>
      </c>
      <c r="AO6" s="103">
        <f>设置!F48</f>
        <v>38</v>
      </c>
      <c r="AP6" s="102">
        <f>设置!F49</f>
        <v>39</v>
      </c>
      <c r="AQ6" s="103">
        <f>设置!F50</f>
        <v>40</v>
      </c>
      <c r="AR6" s="149" t="s">
        <v>84</v>
      </c>
      <c r="AS6" s="149"/>
      <c r="AT6" s="149"/>
      <c r="AU6" s="149"/>
      <c r="AV6" s="150" t="s">
        <v>83</v>
      </c>
      <c r="AW6" s="150"/>
      <c r="AX6" s="150"/>
      <c r="AY6" s="150"/>
    </row>
    <row r="7" spans="2:51" s="105" customFormat="1" ht="8.1" customHeight="1" x14ac:dyDescent="0.2">
      <c r="AV7" s="139"/>
      <c r="AW7" s="139"/>
      <c r="AX7" s="139"/>
      <c r="AY7" s="139"/>
    </row>
    <row r="8" spans="2:51" ht="39.950000000000003" customHeight="1" x14ac:dyDescent="0.25">
      <c r="B8" s="106" t="s">
        <v>0</v>
      </c>
      <c r="C8" s="106" t="s">
        <v>3</v>
      </c>
      <c r="D8" s="106" t="s">
        <v>69</v>
      </c>
      <c r="E8" s="106" t="s">
        <v>70</v>
      </c>
      <c r="F8" s="106" t="s">
        <v>31</v>
      </c>
      <c r="G8" s="106" t="s">
        <v>32</v>
      </c>
      <c r="H8" s="106" t="s">
        <v>33</v>
      </c>
      <c r="I8" s="106" t="s">
        <v>34</v>
      </c>
      <c r="J8" s="106" t="s">
        <v>35</v>
      </c>
      <c r="K8" s="106" t="s">
        <v>36</v>
      </c>
      <c r="L8" s="106" t="s">
        <v>37</v>
      </c>
      <c r="M8" s="106" t="s">
        <v>39</v>
      </c>
      <c r="N8" s="106" t="s">
        <v>38</v>
      </c>
      <c r="O8" s="106" t="s">
        <v>40</v>
      </c>
      <c r="P8" s="106" t="s">
        <v>92</v>
      </c>
      <c r="Q8" s="106" t="s">
        <v>93</v>
      </c>
      <c r="R8" s="106" t="s">
        <v>94</v>
      </c>
      <c r="S8" s="106" t="s">
        <v>95</v>
      </c>
      <c r="T8" s="106" t="s">
        <v>96</v>
      </c>
      <c r="U8" s="106" t="s">
        <v>97</v>
      </c>
      <c r="V8" s="106" t="s">
        <v>98</v>
      </c>
      <c r="W8" s="106" t="s">
        <v>99</v>
      </c>
      <c r="X8" s="106" t="s">
        <v>141</v>
      </c>
      <c r="Y8" s="106" t="s">
        <v>142</v>
      </c>
      <c r="Z8" s="106" t="s">
        <v>143</v>
      </c>
      <c r="AA8" s="106" t="s">
        <v>144</v>
      </c>
      <c r="AB8" s="106" t="s">
        <v>145</v>
      </c>
      <c r="AC8" s="106" t="s">
        <v>146</v>
      </c>
      <c r="AD8" s="106" t="s">
        <v>147</v>
      </c>
      <c r="AE8" s="106" t="s">
        <v>148</v>
      </c>
      <c r="AF8" s="106" t="s">
        <v>149</v>
      </c>
      <c r="AG8" s="106" t="s">
        <v>150</v>
      </c>
      <c r="AH8" s="106" t="s">
        <v>140</v>
      </c>
      <c r="AI8" s="106" t="s">
        <v>151</v>
      </c>
      <c r="AJ8" s="106" t="s">
        <v>152</v>
      </c>
      <c r="AK8" s="106" t="s">
        <v>153</v>
      </c>
      <c r="AL8" s="106" t="s">
        <v>154</v>
      </c>
      <c r="AM8" s="106" t="s">
        <v>155</v>
      </c>
      <c r="AN8" s="106" t="s">
        <v>156</v>
      </c>
      <c r="AO8" s="106" t="s">
        <v>157</v>
      </c>
      <c r="AP8" s="106" t="s">
        <v>158</v>
      </c>
      <c r="AQ8" s="106" t="s">
        <v>159</v>
      </c>
      <c r="AR8" s="106" t="s">
        <v>5</v>
      </c>
      <c r="AS8" s="106" t="s">
        <v>4</v>
      </c>
      <c r="AT8" s="106" t="s">
        <v>6</v>
      </c>
      <c r="AU8" s="106" t="s">
        <v>7</v>
      </c>
      <c r="AV8" s="116" t="s">
        <v>27</v>
      </c>
      <c r="AW8" s="116" t="s">
        <v>28</v>
      </c>
      <c r="AX8" s="116" t="s">
        <v>1</v>
      </c>
      <c r="AY8" s="116" t="s">
        <v>2</v>
      </c>
    </row>
    <row r="9" spans="2:51" ht="39.75" customHeight="1" x14ac:dyDescent="0.25">
      <c r="B9" s="58" cm="1">
        <f t="array" ref="B9">SN</f>
        <v>1</v>
      </c>
      <c r="C9" s="77" t="s">
        <v>314</v>
      </c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57" t="s">
        <v>9</v>
      </c>
      <c r="AS9" s="95">
        <v>45268.505555555559</v>
      </c>
      <c r="AT9" s="57"/>
      <c r="AU9" s="100" t="s">
        <v>297</v>
      </c>
      <c r="AV9" s="133" t="str" cm="1">
        <f t="array" ref="AV9">Get_GUID_Surname</f>
        <v>冯</v>
      </c>
      <c r="AW9" s="131" t="str" cm="1">
        <f t="array" ref="AW9">Get_GUID_FirstName</f>
        <v>毅</v>
      </c>
      <c r="AX9" s="56" t="str" cm="1">
        <f t="array" ref="AX9">Get_GUID_Sex</f>
        <v>男</v>
      </c>
      <c r="AY9" s="56" t="str" cm="1">
        <f t="array" ref="AY9">Get_GUID_Tel</f>
        <v>9955</v>
      </c>
    </row>
    <row r="10" spans="2:51" ht="39.950000000000003" customHeight="1" x14ac:dyDescent="0.25">
      <c r="B10" s="56" cm="1">
        <f t="array" ref="B10">SN</f>
        <v>2</v>
      </c>
      <c r="C10" s="132" t="s">
        <v>313</v>
      </c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57" t="s">
        <v>9</v>
      </c>
      <c r="AS10" s="95">
        <v>45268.505555555559</v>
      </c>
      <c r="AT10" s="57"/>
      <c r="AU10" s="100" t="s">
        <v>297</v>
      </c>
      <c r="AV10" s="133" t="str" cm="1">
        <f t="array" ref="AV10">Get_GUID_Surname</f>
        <v>李</v>
      </c>
      <c r="AW10" s="131" t="str" cm="1">
        <f t="array" ref="AW10">Get_GUID_FirstName</f>
        <v>怡</v>
      </c>
      <c r="AX10" s="56" t="str" cm="1">
        <f t="array" ref="AX10">Get_GUID_Sex</f>
        <v>女</v>
      </c>
      <c r="AY10" s="56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9" priority="26">
      <formula>MOD(ROW(),2)=0</formula>
    </cfRule>
    <cfRule type="expression" dxfId="58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2023-12-12T11:26:04Z</dcterms:modified>
</cp:coreProperties>
</file>