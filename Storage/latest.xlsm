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18E1AFAC-D66E-483E-9E80-5974F9209767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8" i="1" l="1"/>
  <c r="E68" i="1"/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7" i="8" l="1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<sst xmlns="http://schemas.openxmlformats.org/spreadsheetml/2006/main" count="369" uniqueCount="310">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</sst>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4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</xf>
    <xf numFmtId="49" fontId="1" fillId="2" borderId="0" xfId="0" applyNumberFormat="1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179614</xdr:rowOff>
        </xdr:from>
        <xdr:to>
          <xdr:col>2</xdr:col>
          <xdr:colOff>925286</xdr:colOff>
          <xdr:row>5</xdr:row>
          <xdr:rowOff>500743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1159329</xdr:colOff>
          <xdr:row>5</xdr:row>
          <xdr:rowOff>179614</xdr:rowOff>
        </xdr:from>
        <xdr:to>
          <xdr:col>2</xdr:col>
          <xdr:colOff>1894114</xdr:colOff>
          <xdr:row>5</xdr:row>
          <xdr:rowOff>500743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4"/>
    <tableColumn id="2" xr3:uid="{C28244F3-482D-4CFC-B629-A29496B98C0B}" name="商品名称" dataDxfId="343"/>
    <tableColumn id="11" xr3:uid="{71958388-9C14-426E-8457-DCEA92BC0E87}" name="负差" dataDxfId="34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1">
      <calculatedColumnFormula>SUM(UserInfo[1 - 剩余])</calculatedColumnFormula>
    </tableColumn>
    <tableColumn id="7" xr3:uid="{75829BDD-5513-4744-8184-35AE3788771C}" name="已存入" dataDxfId="340">
      <calculatedColumnFormula>SUM(UserInfo[1 - 存入])</calculatedColumnFormula>
    </tableColumn>
    <tableColumn id="6" xr3:uid="{B71F91EB-0024-4EC1-8035-3636C31B3740}" name="已支取" dataDxfId="339">
      <calculatedColumnFormula>SUM(UserInfo[1 - 支取])</calculatedColumnFormula>
    </tableColumn>
    <tableColumn id="5" xr3:uid="{6E4E3255-2204-43C6-A50C-EEAF08580A14}" name="库存负差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6.69140625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86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87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88" t="s">
        <v>289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40" customHeight="1" thickTop="1" x14ac:dyDescent="0.4">
      <c r="B9" s="1"/>
      <c r="C9" s="1">
        <v>1</v>
      </c>
      <c r="D9" s="49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49" t="s">
        <v>290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49" t="s">
        <v>291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49" t="s">
        <v>273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49" t="s">
        <v>281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2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5" t="s">
        <v>135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268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269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3" t="s">
        <v>282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3" t="s">
        <v>267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283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303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3" t="s">
        <v>284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3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3" t="s">
        <v>285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00">
        <v>1</v>
      </c>
      <c r="F34" s="101" t="s">
        <v>246</v>
      </c>
      <c r="G34" s="1"/>
      <c r="H34" s="100">
        <v>1</v>
      </c>
      <c r="I34" s="141" t="s">
        <v>308</v>
      </c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00">
        <v>0</v>
      </c>
      <c r="F35" s="101" t="s">
        <v>85</v>
      </c>
      <c r="G35" s="1"/>
      <c r="H35" s="100">
        <v>0</v>
      </c>
      <c r="I35" s="141" t="s">
        <v>307</v>
      </c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00">
        <v>-0.01</v>
      </c>
      <c r="F36" s="101" t="s">
        <v>86</v>
      </c>
      <c r="G36" s="1"/>
      <c r="H36" s="100">
        <v>-0.01</v>
      </c>
      <c r="I36" s="141" t="s">
        <v>309</v>
      </c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264</v>
      </c>
      <c r="E37" s="23" t="s">
        <v>265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298</v>
      </c>
      <c r="E38" s="23" t="s">
        <v>299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5" t="s">
        <v>252</v>
      </c>
      <c r="D40" s="54"/>
      <c r="E40" s="53"/>
      <c r="F40" s="55"/>
      <c r="G40" s="53"/>
      <c r="H40" s="53"/>
      <c r="I40" s="53"/>
      <c r="J40" s="53"/>
      <c r="K40" s="53"/>
      <c r="L40" s="53"/>
      <c r="M40" s="53"/>
      <c r="N40" s="53"/>
      <c r="O40" s="53"/>
      <c r="P40" s="1"/>
    </row>
    <row r="41" spans="2:16" ht="40" customHeight="1" thickTop="1" x14ac:dyDescent="0.4">
      <c r="B41" s="1"/>
      <c r="C41" s="1">
        <v>0</v>
      </c>
      <c r="D41" s="49" t="s">
        <v>270</v>
      </c>
      <c r="E41" s="1"/>
      <c r="F41" s="22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6" t="s">
        <v>253</v>
      </c>
      <c r="E42" s="52"/>
      <c r="F42" s="52"/>
      <c r="G42" s="51"/>
      <c r="H42" s="51"/>
      <c r="I42" s="51"/>
      <c r="J42" s="51"/>
      <c r="K42" s="51"/>
      <c r="L42" s="51"/>
      <c r="M42" s="51"/>
      <c r="N42" s="51"/>
      <c r="O42" s="51"/>
      <c r="P42" s="1"/>
    </row>
    <row r="43" spans="2:16" ht="158.25" customHeight="1" x14ac:dyDescent="0.4">
      <c r="B43" s="1"/>
      <c r="C43" s="1"/>
      <c r="D43" s="42"/>
      <c r="E43" s="1"/>
      <c r="F43" s="22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6" t="s">
        <v>261</v>
      </c>
      <c r="E45" s="51"/>
      <c r="F45" s="52"/>
      <c r="G45" s="51"/>
      <c r="H45" s="51"/>
      <c r="I45" s="51"/>
      <c r="J45" s="51"/>
      <c r="K45" s="51"/>
      <c r="L45" s="51"/>
      <c r="M45" s="51"/>
      <c r="N45" s="51"/>
      <c r="O45" s="51"/>
      <c r="P45" s="1"/>
    </row>
    <row r="46" spans="2:16" ht="80.25" customHeight="1" x14ac:dyDescent="0.4">
      <c r="B46" s="1"/>
      <c r="C46" s="1"/>
      <c r="D46" s="42"/>
      <c r="E46" s="1"/>
      <c r="F46" s="22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6" t="s">
        <v>262</v>
      </c>
      <c r="E48" s="51"/>
      <c r="F48" s="52"/>
      <c r="G48" s="51"/>
      <c r="H48" s="51"/>
      <c r="I48" s="51"/>
      <c r="J48" s="51"/>
      <c r="K48" s="51"/>
      <c r="L48" s="51"/>
      <c r="M48" s="51"/>
      <c r="N48" s="51"/>
      <c r="O48" s="51"/>
      <c r="P48" s="1"/>
    </row>
    <row r="49" spans="2:16" ht="82.5" customHeight="1" x14ac:dyDescent="0.4">
      <c r="B49" s="1"/>
      <c r="C49" s="1"/>
      <c r="D49" s="42"/>
      <c r="E49" s="1"/>
      <c r="F49" s="22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6" t="s">
        <v>254</v>
      </c>
      <c r="E51" s="51"/>
      <c r="F51" s="52"/>
      <c r="G51" s="51"/>
      <c r="H51" s="51"/>
      <c r="I51" s="51"/>
      <c r="J51" s="51"/>
      <c r="K51" s="51"/>
      <c r="L51" s="51"/>
      <c r="M51" s="51"/>
      <c r="N51" s="51"/>
      <c r="O51" s="51"/>
      <c r="P51" s="1"/>
    </row>
    <row r="52" spans="2:16" ht="40" customHeight="1" x14ac:dyDescent="0.4">
      <c r="B52" s="1"/>
      <c r="C52" s="1"/>
      <c r="D52" s="50" t="s">
        <v>259</v>
      </c>
      <c r="E52" s="1"/>
      <c r="F52" s="22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0" t="s">
        <v>260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2"/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3" t="s">
        <v>255</v>
      </c>
      <c r="D56" s="54"/>
      <c r="E56" s="53"/>
      <c r="F56" s="55"/>
      <c r="G56" s="53"/>
      <c r="H56" s="53"/>
      <c r="I56" s="53"/>
      <c r="J56" s="53"/>
      <c r="K56" s="53"/>
      <c r="L56" s="53"/>
      <c r="M56" s="53"/>
      <c r="N56" s="53"/>
      <c r="O56" s="53"/>
      <c r="P56" s="1"/>
    </row>
    <row r="57" spans="2:16" ht="40" customHeight="1" thickTop="1" x14ac:dyDescent="0.4">
      <c r="B57" s="1"/>
      <c r="C57" s="1">
        <v>-0.01</v>
      </c>
      <c r="D57" s="49" t="s">
        <v>256</v>
      </c>
      <c r="E57" s="1"/>
      <c r="F57" s="22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2"/>
      <c r="E58" s="1"/>
      <c r="F58" s="22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3" t="s">
        <v>257</v>
      </c>
      <c r="D59" s="54"/>
      <c r="E59" s="53"/>
      <c r="F59" s="55"/>
      <c r="G59" s="53"/>
      <c r="H59" s="53"/>
      <c r="I59" s="53"/>
      <c r="J59" s="53"/>
      <c r="K59" s="53"/>
      <c r="L59" s="53"/>
      <c r="M59" s="53"/>
      <c r="N59" s="53"/>
      <c r="O59" s="53"/>
      <c r="P59" s="1"/>
    </row>
    <row r="60" spans="2:16" ht="40" customHeight="1" thickTop="1" x14ac:dyDescent="0.4">
      <c r="B60" s="1"/>
      <c r="C60" s="1">
        <v>1</v>
      </c>
      <c r="D60" s="49" t="s">
        <v>258</v>
      </c>
      <c r="E60" s="1"/>
      <c r="F60" s="22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VRXXKBzusi/TnU6Yqre0YrhrxZ1PfQdiU/TJoCp0asUPF3aTmHI4W2/rFEvVGqmc3v03IjjAsYgzsWwHNB0zyQ==" saltValue="F8KF9+rnJ2vZV/GBodFrk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263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0500000000000007" customHeight="1" x14ac:dyDescent="0.4"/>
    <row r="9" spans="2:13" ht="40" customHeight="1" x14ac:dyDescent="0.4">
      <c r="B9" s="29" t="s">
        <v>14</v>
      </c>
      <c r="C9" s="30" t="s">
        <v>220</v>
      </c>
      <c r="D9" s="30"/>
      <c r="E9" s="30"/>
      <c r="F9" s="30"/>
      <c r="G9" s="136" t="s">
        <v>305</v>
      </c>
      <c r="H9" s="142" t="s">
        <v>226</v>
      </c>
      <c r="I9" s="142"/>
      <c r="J9" s="142"/>
      <c r="K9" s="143" t="s">
        <v>248</v>
      </c>
      <c r="L9" s="143"/>
      <c r="M9" s="143"/>
    </row>
    <row r="10" spans="2:13" ht="40" customHeight="1" x14ac:dyDescent="0.4">
      <c r="B10" s="29"/>
      <c r="C10" s="30"/>
      <c r="D10" s="31" t="s">
        <v>3</v>
      </c>
      <c r="E10" s="31" t="s">
        <v>225</v>
      </c>
      <c r="F10" s="31" t="s">
        <v>41</v>
      </c>
      <c r="G10" s="137" t="s">
        <v>304</v>
      </c>
      <c r="H10" s="31" t="s">
        <v>235</v>
      </c>
      <c r="I10" s="31" t="s">
        <v>271</v>
      </c>
      <c r="J10" s="31" t="s">
        <v>272</v>
      </c>
      <c r="K10" s="31" t="s">
        <v>224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38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38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38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38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38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38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38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38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38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38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38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38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38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38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38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38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38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38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38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38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38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38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38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38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38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38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38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38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38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38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38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38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38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38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38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38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38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38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38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38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0500000000000007" customHeight="1" x14ac:dyDescent="0.4">
      <c r="G51" s="64"/>
    </row>
    <row r="52" spans="2:13" ht="40" customHeight="1" x14ac:dyDescent="0.4">
      <c r="B52" s="29" t="s">
        <v>15</v>
      </c>
      <c r="C52" s="30" t="s">
        <v>127</v>
      </c>
      <c r="D52" s="72"/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/>
      <c r="E53" s="73"/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0500000000000007" customHeight="1" x14ac:dyDescent="0.4">
      <c r="B55" s="134"/>
      <c r="D55" s="135"/>
      <c r="E55" s="135"/>
      <c r="F55" s="135"/>
      <c r="G55" s="135"/>
      <c r="H55" s="135"/>
      <c r="I55" s="135"/>
      <c r="J55" s="135"/>
      <c r="K55" s="135"/>
      <c r="L55" s="135"/>
      <c r="M55" s="135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275</v>
      </c>
      <c r="D58" s="73" t="s">
        <v>131</v>
      </c>
      <c r="E58" s="84" t="s">
        <v>280</v>
      </c>
      <c r="F58" s="33"/>
      <c r="G58" s="33"/>
      <c r="H58" s="33"/>
      <c r="I58" s="33"/>
      <c r="J58" s="33"/>
      <c r="K58" s="33"/>
      <c r="L58" s="33"/>
      <c r="M58" s="33"/>
    </row>
    <row r="59" spans="2:13" ht="8.0500000000000007" customHeight="1" x14ac:dyDescent="0.4"/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0500000000000007" customHeight="1" x14ac:dyDescent="0.4">
      <c r="B61" s="134"/>
      <c r="D61" s="135"/>
      <c r="E61" s="135"/>
      <c r="F61" s="135"/>
      <c r="G61" s="135"/>
      <c r="H61" s="135"/>
      <c r="I61" s="135"/>
      <c r="J61" s="135"/>
      <c r="K61" s="135"/>
      <c r="L61" s="135"/>
      <c r="M61" s="135"/>
    </row>
    <row r="62" spans="2:13" ht="40" customHeight="1" x14ac:dyDescent="0.4">
      <c r="B62" s="29" t="s">
        <v>221</v>
      </c>
      <c r="C62" s="30" t="s">
        <v>292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0500000000000007" customHeight="1" x14ac:dyDescent="0.4">
      <c r="B63" s="134"/>
      <c r="D63" s="135"/>
      <c r="E63" s="135"/>
      <c r="F63" s="135"/>
      <c r="G63" s="135"/>
      <c r="H63" s="135"/>
      <c r="I63" s="135"/>
      <c r="J63" s="135"/>
      <c r="K63" s="135"/>
      <c r="L63" s="135"/>
      <c r="M63" s="135"/>
    </row>
    <row r="64" spans="2:13" ht="40" customHeight="1" x14ac:dyDescent="0.4">
      <c r="B64" s="29" t="s">
        <v>274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276</v>
      </c>
      <c r="H64" s="72" t="s">
        <v>277</v>
      </c>
      <c r="I64" s="72" t="s">
        <v>278</v>
      </c>
      <c r="J64" s="72" t="s">
        <v>279</v>
      </c>
      <c r="K64" s="72"/>
      <c r="L64" s="72"/>
      <c r="M64" s="72"/>
    </row>
    <row r="65" spans="2:13" ht="40" customHeight="1" x14ac:dyDescent="0.4">
      <c r="B65" s="29"/>
      <c r="C65" s="30" t="s">
        <v>293</v>
      </c>
      <c r="D65" s="73" t="s">
        <v>130</v>
      </c>
      <c r="E65" s="84" t="s">
        <v>294</v>
      </c>
      <c r="F65" s="14"/>
      <c r="G65" s="14"/>
      <c r="H65" s="14"/>
      <c r="I65" s="14"/>
      <c r="J65" s="14"/>
      <c r="K65" s="14"/>
      <c r="L65" s="14"/>
      <c r="M65" s="14"/>
    </row>
    <row r="66" spans="2:13" ht="8.0500000000000007" customHeight="1" x14ac:dyDescent="0.4">
      <c r="B66" s="134"/>
      <c r="D66" s="135"/>
      <c r="E66" s="135"/>
      <c r="F66" s="135"/>
      <c r="G66" s="135"/>
      <c r="H66" s="135"/>
      <c r="I66" s="135"/>
      <c r="J66" s="135"/>
      <c r="K66" s="135"/>
      <c r="L66" s="135"/>
      <c r="M66" s="135"/>
    </row>
    <row r="67" spans="2:13" ht="40" customHeight="1" x14ac:dyDescent="0.4">
      <c r="B67" s="29" t="s">
        <v>288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40" customHeight="1" x14ac:dyDescent="0.4">
      <c r="B68" s="29"/>
      <c r="C68" s="30" t="s">
        <v>305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0 个</v>
      </c>
      <c r="F68" s="14"/>
      <c r="G68" s="14"/>
      <c r="H68" s="14"/>
      <c r="I68" s="14"/>
      <c r="J68" s="14"/>
      <c r="K68" s="14"/>
      <c r="L68" s="14"/>
      <c r="M68" s="14"/>
    </row>
    <row r="69" spans="2:13" ht="16" customHeight="1" x14ac:dyDescent="0.4"/>
    <row r="70" spans="2:13" ht="40" customHeight="1" x14ac:dyDescent="0.4">
      <c r="B70" s="47" t="s">
        <v>17</v>
      </c>
      <c r="C70" s="47"/>
      <c r="D70" s="47"/>
      <c r="E70" s="47"/>
    </row>
    <row r="71" spans="2:13" ht="40" customHeight="1" x14ac:dyDescent="0.4">
      <c r="B71" s="34" t="s">
        <v>19</v>
      </c>
      <c r="C71" s="39" t="s">
        <v>134</v>
      </c>
      <c r="D71" s="48"/>
      <c r="E71" s="48"/>
    </row>
    <row r="72" spans="2:13" ht="40" customHeight="1" x14ac:dyDescent="0.4">
      <c r="B72" s="34" t="s">
        <v>20</v>
      </c>
      <c r="C72" s="43" t="s">
        <v>18</v>
      </c>
      <c r="D72" s="46"/>
      <c r="E72" s="46"/>
    </row>
    <row r="73" spans="2:13" ht="40" customHeight="1" x14ac:dyDescent="0.4">
      <c r="B73" s="34" t="s">
        <v>132</v>
      </c>
      <c r="C73" s="39" t="s">
        <v>133</v>
      </c>
      <c r="D73" s="48"/>
      <c r="E73" s="48"/>
    </row>
    <row r="74" spans="2:13" ht="40" customHeight="1" x14ac:dyDescent="0.4">
      <c r="B74" s="34" t="s">
        <v>125</v>
      </c>
      <c r="C74" s="39" t="s">
        <v>306</v>
      </c>
      <c r="D74" s="39"/>
      <c r="E74" s="39"/>
    </row>
    <row r="75" spans="2:13" ht="16" customHeight="1" x14ac:dyDescent="0.4"/>
  </sheetData>
  <sheetProtection algorithmName="SHA-512" hashValue="t7mi89r09zdPLiNXrBC1lw9vl0gdPPMzcaDOhvsHR01gw1pZRDrKUkgpwluNt5zpnrBdZ0dUatA73Sv20ZwgDg==" saltValue="7DLqvjWXiT77UQbt2kaIUA==" spinCount="100000"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96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4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5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97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139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91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91"/>
      <c r="F8" s="64"/>
    </row>
    <row r="9" spans="2:6" ht="15" customHeight="1" x14ac:dyDescent="0.4">
      <c r="E9" s="91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140">
        <v>-1</v>
      </c>
      <c r="F10" s="64"/>
    </row>
    <row r="11" spans="2:6" ht="35.15" customHeight="1" x14ac:dyDescent="0.4">
      <c r="C11" s="13" t="s">
        <v>223</v>
      </c>
      <c r="D11" s="71"/>
      <c r="E11" s="140">
        <v>-1</v>
      </c>
      <c r="F11" s="64"/>
    </row>
    <row r="12" spans="2:6" ht="35.15" customHeight="1" x14ac:dyDescent="0.4">
      <c r="C12" s="13" t="s">
        <v>228</v>
      </c>
      <c r="D12" s="37"/>
      <c r="E12" s="139">
        <v>-1</v>
      </c>
      <c r="F12" s="64"/>
    </row>
    <row r="13" spans="2:6" ht="15" customHeight="1" x14ac:dyDescent="0.4">
      <c r="E13" s="91"/>
      <c r="F13" s="64"/>
    </row>
    <row r="14" spans="2:6" ht="135" customHeight="1" x14ac:dyDescent="0.4">
      <c r="C14" s="13" t="s">
        <v>7</v>
      </c>
      <c r="D14" s="37"/>
      <c r="E14" s="92"/>
      <c r="F14" s="64"/>
    </row>
    <row r="15" spans="2:6" ht="15" customHeight="1" x14ac:dyDescent="0.4">
      <c r="E15" s="91"/>
      <c r="F15" s="64"/>
    </row>
    <row r="16" spans="2:6" ht="35.15" customHeight="1" x14ac:dyDescent="0.4">
      <c r="B16" s="1" t="s">
        <v>296</v>
      </c>
      <c r="C16" s="13" t="s">
        <v>6</v>
      </c>
      <c r="D16" s="36"/>
      <c r="E16" s="91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dFp7KA9CNVoUAa3w3R6XkqOZnSsNE0uJHm2OOS0r2Zl/VU9ZpqlRYGdd5dswEt+XOqdicatgapMQ58xksSmyWA==" saltValue="URixXHXq5RUkT1ZGvuRZYA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1" customWidth="1"/>
    <col min="5" max="5" width="20.69140625" style="1" customWidth="1"/>
    <col min="6" max="6" width="12.69140625" style="104" customWidth="1"/>
    <col min="7" max="7" width="17.15234375" style="107" customWidth="1"/>
    <col min="8" max="8" width="10.69140625" style="104" customWidth="1"/>
    <col min="9" max="9" width="22.69140625" style="105" customWidth="1"/>
    <col min="10" max="10" width="12.69140625" style="104" customWidth="1"/>
    <col min="11" max="11" width="22.69140625" style="104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6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3"/>
      <c r="D7" s="59" t="str" cm="1">
        <f t="array" ref="D7">Get_Store_SN</f>
        <v/>
      </c>
      <c r="E7" s="59" t="str" cm="1">
        <f t="array" ref="E7">Get_Store_Name</f>
        <v/>
      </c>
      <c r="F7" s="58"/>
      <c r="G7" s="18"/>
      <c r="H7" s="21"/>
      <c r="I7" s="102">
        <v>45268.505555555559</v>
      </c>
      <c r="J7" s="58"/>
      <c r="K7" s="108" t="s">
        <v>300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91" customWidth="1"/>
    <col min="6" max="6" width="2.69140625" style="91" customWidth="1"/>
    <col min="7" max="16384" width="9.15234375" style="91" hidden="1"/>
  </cols>
  <sheetData>
    <row r="1" spans="1:5" s="89" customFormat="1" ht="6" customHeight="1" x14ac:dyDescent="0.4">
      <c r="A1" s="61"/>
      <c r="B1" s="61"/>
      <c r="C1" s="61"/>
      <c r="D1" s="61"/>
    </row>
    <row r="2" spans="1:5" s="90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98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9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139">
        <v>-1</v>
      </c>
    </row>
    <row r="9" spans="1:5" ht="35.15" customHeight="1" x14ac:dyDescent="0.4">
      <c r="C9" s="70" t="s">
        <v>28</v>
      </c>
      <c r="D9" s="9"/>
      <c r="E9" s="140">
        <v>-1</v>
      </c>
    </row>
    <row r="10" spans="1:5" ht="35.15" customHeight="1" x14ac:dyDescent="0.4">
      <c r="C10" s="70" t="s">
        <v>1</v>
      </c>
      <c r="D10" s="9"/>
      <c r="E10" s="140"/>
    </row>
    <row r="11" spans="1:5" ht="35.15" customHeight="1" x14ac:dyDescent="0.4">
      <c r="C11" s="70" t="s">
        <v>22</v>
      </c>
      <c r="D11" s="9"/>
      <c r="E11" s="140"/>
    </row>
    <row r="12" spans="1:5" ht="35.15" customHeight="1" x14ac:dyDescent="0.4">
      <c r="C12" s="70" t="s">
        <v>21</v>
      </c>
      <c r="D12" s="60"/>
      <c r="E12" s="140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140">
        <v>-1</v>
      </c>
    </row>
    <row r="15" spans="1:5" ht="35.15" customHeight="1" x14ac:dyDescent="0.4">
      <c r="C15" s="70" t="s">
        <v>23</v>
      </c>
      <c r="D15" s="9"/>
      <c r="E15" s="140"/>
    </row>
    <row r="16" spans="1:5" ht="75" customHeight="1" x14ac:dyDescent="0.4">
      <c r="C16" s="70" t="s">
        <v>24</v>
      </c>
      <c r="D16" s="16"/>
      <c r="E16" s="139"/>
    </row>
    <row r="17" spans="2:5" ht="15" customHeight="1" x14ac:dyDescent="0.4"/>
    <row r="18" spans="2:5" ht="135" customHeight="1" x14ac:dyDescent="0.4">
      <c r="C18" s="70" t="s">
        <v>7</v>
      </c>
      <c r="D18" s="16"/>
      <c r="E18" s="92"/>
    </row>
    <row r="19" spans="2:5" ht="15" customHeight="1" x14ac:dyDescent="0.4"/>
    <row r="20" spans="2:5" ht="35.15" customHeight="1" x14ac:dyDescent="0.4">
      <c r="B20" s="64" t="s">
        <v>296</v>
      </c>
      <c r="C20" s="70" t="s">
        <v>6</v>
      </c>
      <c r="D20" s="9" t="s">
        <v>128</v>
      </c>
    </row>
    <row r="21" spans="2:5" ht="15" customHeight="1" x14ac:dyDescent="0.4"/>
  </sheetData>
  <sheetProtection algorithmName="SHA-512" hashValue="vtBIr0vPeUWZXA8qUL/5XgJQcOJZ3J5g2zTfJ0UqfTLe7AMf8kamii9AlBl8BMfDwWXytFT8PvBYguwvSeECYg==" saltValue="UV6zmUsGXH5SLoFq/ZIWO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18" customWidth="1"/>
    <col min="125" max="125" width="14.69140625" style="107" customWidth="1"/>
    <col min="126" max="126" width="8.69140625" style="104" customWidth="1"/>
    <col min="127" max="127" width="24.69140625" style="104" customWidth="1"/>
    <col min="128" max="128" width="8.69140625" style="104" customWidth="1"/>
    <col min="129" max="129" width="16.69140625" style="119" customWidth="1"/>
    <col min="130" max="130" width="24.69140625" style="93" customWidth="1"/>
    <col min="131" max="131" width="65.69140625" style="93" customWidth="1"/>
    <col min="132" max="132" width="22.69140625" style="105" customWidth="1"/>
    <col min="133" max="133" width="14.69140625" style="93" customWidth="1"/>
    <col min="134" max="134" width="22.69140625" style="93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9"/>
      <c r="EA1" s="89"/>
      <c r="EB1" s="61"/>
      <c r="EC1" s="89"/>
      <c r="ED1" s="89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90"/>
      <c r="EA2" s="90"/>
      <c r="EB2" s="63"/>
      <c r="EC2" s="90"/>
      <c r="ED2" s="90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91"/>
      <c r="EA3" s="91"/>
      <c r="EB3" s="64"/>
      <c r="EC3" s="91"/>
      <c r="ED3" s="91"/>
      <c r="EE3" s="114"/>
    </row>
    <row r="4" spans="1:135" ht="6" customHeight="1" x14ac:dyDescent="0.3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20"/>
      <c r="DU4" s="120"/>
      <c r="DV4" s="120"/>
      <c r="DW4" s="120"/>
      <c r="DX4" s="120"/>
      <c r="DY4" s="120"/>
      <c r="DZ4" s="129"/>
      <c r="EA4" s="129"/>
      <c r="EB4" s="120"/>
      <c r="EC4" s="129"/>
      <c r="ED4" s="129"/>
      <c r="EE4" s="114"/>
    </row>
    <row r="5" spans="1:135" ht="8.15" customHeight="1" x14ac:dyDescent="0.3">
      <c r="DT5" s="64"/>
      <c r="DU5" s="64"/>
      <c r="DV5" s="64"/>
      <c r="DW5" s="64"/>
      <c r="DX5" s="64"/>
      <c r="DY5" s="64"/>
      <c r="DZ5" s="91"/>
      <c r="EA5" s="91"/>
      <c r="EB5" s="64"/>
      <c r="EC5" s="91"/>
      <c r="ED5" s="91"/>
      <c r="EE5" s="114"/>
    </row>
    <row r="6" spans="1:135" ht="40" customHeight="1" x14ac:dyDescent="0.3">
      <c r="D6" s="111">
        <f>设置!F11</f>
        <v>1</v>
      </c>
      <c r="E6" s="146" t="str">
        <f>设置!F11 &amp;" - 历史记录"</f>
        <v>1 - 历史记录</v>
      </c>
      <c r="F6" s="146"/>
      <c r="G6" s="112">
        <f>设置!F12</f>
        <v>2</v>
      </c>
      <c r="H6" s="144" t="str">
        <f>设置!F12 &amp;" - 历史记录"</f>
        <v>2 - 历史记录</v>
      </c>
      <c r="I6" s="144"/>
      <c r="J6" s="111">
        <f>设置!F13</f>
        <v>3</v>
      </c>
      <c r="K6" s="146" t="str">
        <f>设置!F13 &amp;" - 历史记录"</f>
        <v>3 - 历史记录</v>
      </c>
      <c r="L6" s="146"/>
      <c r="M6" s="112">
        <f>设置!F14</f>
        <v>4</v>
      </c>
      <c r="N6" s="144" t="str">
        <f>设置!F14 &amp;" - 历史记录"</f>
        <v>4 - 历史记录</v>
      </c>
      <c r="O6" s="144"/>
      <c r="P6" s="111">
        <f>设置!F15</f>
        <v>5</v>
      </c>
      <c r="Q6" s="146" t="str">
        <f>设置!F15 &amp;" - 历史记录"</f>
        <v>5 - 历史记录</v>
      </c>
      <c r="R6" s="146"/>
      <c r="S6" s="112">
        <f>设置!F16</f>
        <v>6</v>
      </c>
      <c r="T6" s="144" t="str">
        <f>设置!F16 &amp;" - 历史记录"</f>
        <v>6 - 历史记录</v>
      </c>
      <c r="U6" s="144"/>
      <c r="V6" s="111">
        <f>设置!F17</f>
        <v>7</v>
      </c>
      <c r="W6" s="146" t="str">
        <f>设置!F17 &amp;" - 历史记录"</f>
        <v>7 - 历史记录</v>
      </c>
      <c r="X6" s="146"/>
      <c r="Y6" s="112">
        <f>设置!F18</f>
        <v>8</v>
      </c>
      <c r="Z6" s="144" t="str">
        <f>设置!F18 &amp;" - 历史记录"</f>
        <v>8 - 历史记录</v>
      </c>
      <c r="AA6" s="144"/>
      <c r="AB6" s="111">
        <f>设置!F19</f>
        <v>9</v>
      </c>
      <c r="AC6" s="146" t="str">
        <f>设置!F19 &amp;" - 历史记录"</f>
        <v>9 - 历史记录</v>
      </c>
      <c r="AD6" s="146"/>
      <c r="AE6" s="112">
        <f>设置!F20</f>
        <v>10</v>
      </c>
      <c r="AF6" s="144" t="str">
        <f>设置!F20 &amp;" - 历史记录"</f>
        <v>10 - 历史记录</v>
      </c>
      <c r="AG6" s="144"/>
      <c r="AH6" s="111">
        <f>设置!F21</f>
        <v>11</v>
      </c>
      <c r="AI6" s="146" t="str">
        <f>设置!F21 &amp;" - 历史记录"</f>
        <v>11 - 历史记录</v>
      </c>
      <c r="AJ6" s="146"/>
      <c r="AK6" s="112">
        <f>设置!F22</f>
        <v>12</v>
      </c>
      <c r="AL6" s="144" t="str">
        <f>设置!F22 &amp;" - 历史记录"</f>
        <v>12 - 历史记录</v>
      </c>
      <c r="AM6" s="144"/>
      <c r="AN6" s="111">
        <f>设置!F23</f>
        <v>13</v>
      </c>
      <c r="AO6" s="146" t="str">
        <f>设置!F23 &amp;" - 历史记录"</f>
        <v>13 - 历史记录</v>
      </c>
      <c r="AP6" s="146"/>
      <c r="AQ6" s="112">
        <f>设置!F24</f>
        <v>14</v>
      </c>
      <c r="AR6" s="144" t="str">
        <f>设置!F24 &amp;" - 历史记录"</f>
        <v>14 - 历史记录</v>
      </c>
      <c r="AS6" s="144"/>
      <c r="AT6" s="111">
        <f>设置!F25</f>
        <v>15</v>
      </c>
      <c r="AU6" s="146" t="str">
        <f>设置!F25 &amp;" - 历史记录"</f>
        <v>15 - 历史记录</v>
      </c>
      <c r="AV6" s="146"/>
      <c r="AW6" s="112">
        <f>设置!F26</f>
        <v>16</v>
      </c>
      <c r="AX6" s="144" t="str">
        <f>设置!F26 &amp;" - 历史记录"</f>
        <v>16 - 历史记录</v>
      </c>
      <c r="AY6" s="144"/>
      <c r="AZ6" s="111">
        <f>设置!F27</f>
        <v>17</v>
      </c>
      <c r="BA6" s="146" t="str">
        <f>设置!F27 &amp;" - 历史记录"</f>
        <v>17 - 历史记录</v>
      </c>
      <c r="BB6" s="146"/>
      <c r="BC6" s="112">
        <f>设置!F28</f>
        <v>18</v>
      </c>
      <c r="BD6" s="144" t="str">
        <f>设置!F28 &amp;" - 历史记录"</f>
        <v>18 - 历史记录</v>
      </c>
      <c r="BE6" s="144"/>
      <c r="BF6" s="111">
        <f>设置!F29</f>
        <v>19</v>
      </c>
      <c r="BG6" s="146" t="str">
        <f>设置!F29 &amp;" - 历史记录"</f>
        <v>19 - 历史记录</v>
      </c>
      <c r="BH6" s="146"/>
      <c r="BI6" s="112">
        <f>设置!F30</f>
        <v>20</v>
      </c>
      <c r="BJ6" s="144" t="str">
        <f>设置!F30 &amp;" - 历史记录"</f>
        <v>20 - 历史记录</v>
      </c>
      <c r="BK6" s="144"/>
      <c r="BL6" s="113">
        <f>设置!F31</f>
        <v>21</v>
      </c>
      <c r="BM6" s="145" t="str">
        <f>设置!F31 &amp;" - 历史记录"</f>
        <v>21 - 历史记录</v>
      </c>
      <c r="BN6" s="145"/>
      <c r="BO6" s="112">
        <f>设置!F32</f>
        <v>22</v>
      </c>
      <c r="BP6" s="144" t="str">
        <f>设置!F32 &amp;" - 历史记录"</f>
        <v>22 - 历史记录</v>
      </c>
      <c r="BQ6" s="144"/>
      <c r="BR6" s="113">
        <f>设置!F33</f>
        <v>23</v>
      </c>
      <c r="BS6" s="145" t="str">
        <f>设置!F33 &amp;" - 历史记录"</f>
        <v>23 - 历史记录</v>
      </c>
      <c r="BT6" s="145"/>
      <c r="BU6" s="112">
        <f>设置!F34</f>
        <v>24</v>
      </c>
      <c r="BV6" s="144" t="str">
        <f>设置!F34 &amp;" - 历史记录"</f>
        <v>24 - 历史记录</v>
      </c>
      <c r="BW6" s="144"/>
      <c r="BX6" s="113">
        <f>设置!F35</f>
        <v>25</v>
      </c>
      <c r="BY6" s="145" t="str">
        <f>设置!F35 &amp;" - 历史记录"</f>
        <v>25 - 历史记录</v>
      </c>
      <c r="BZ6" s="145"/>
      <c r="CA6" s="112">
        <f>设置!F36</f>
        <v>26</v>
      </c>
      <c r="CB6" s="144" t="str">
        <f>设置!F36 &amp;" - 历史记录"</f>
        <v>26 - 历史记录</v>
      </c>
      <c r="CC6" s="144"/>
      <c r="CD6" s="113">
        <f>设置!F37</f>
        <v>27</v>
      </c>
      <c r="CE6" s="145" t="str">
        <f>设置!F37 &amp;" - 历史记录"</f>
        <v>27 - 历史记录</v>
      </c>
      <c r="CF6" s="145"/>
      <c r="CG6" s="112">
        <f>设置!F38</f>
        <v>28</v>
      </c>
      <c r="CH6" s="144" t="str">
        <f>设置!F38 &amp;" - 历史记录"</f>
        <v>28 - 历史记录</v>
      </c>
      <c r="CI6" s="144"/>
      <c r="CJ6" s="113">
        <f>设置!F39</f>
        <v>29</v>
      </c>
      <c r="CK6" s="145" t="str">
        <f>设置!F39 &amp;" - 历史记录"</f>
        <v>29 - 历史记录</v>
      </c>
      <c r="CL6" s="145"/>
      <c r="CM6" s="112">
        <f>设置!F40</f>
        <v>30</v>
      </c>
      <c r="CN6" s="144" t="str">
        <f>设置!F40 &amp;" - 历史记录"</f>
        <v>30 - 历史记录</v>
      </c>
      <c r="CO6" s="144"/>
      <c r="CP6" s="113">
        <f>设置!F41</f>
        <v>31</v>
      </c>
      <c r="CQ6" s="145" t="str">
        <f>设置!F41 &amp;" - 历史记录"</f>
        <v>31 - 历史记录</v>
      </c>
      <c r="CR6" s="145"/>
      <c r="CS6" s="112">
        <f>设置!F42</f>
        <v>32</v>
      </c>
      <c r="CT6" s="144" t="str">
        <f>设置!F42 &amp;" - 历史记录"</f>
        <v>32 - 历史记录</v>
      </c>
      <c r="CU6" s="144"/>
      <c r="CV6" s="113">
        <f>设置!F43</f>
        <v>33</v>
      </c>
      <c r="CW6" s="145" t="str">
        <f>设置!F43 &amp;" - 历史记录"</f>
        <v>33 - 历史记录</v>
      </c>
      <c r="CX6" s="145"/>
      <c r="CY6" s="112">
        <f>设置!F44</f>
        <v>34</v>
      </c>
      <c r="CZ6" s="144" t="str">
        <f>设置!F44 &amp;" - 历史记录"</f>
        <v>34 - 历史记录</v>
      </c>
      <c r="DA6" s="144"/>
      <c r="DB6" s="113">
        <f>设置!F45</f>
        <v>35</v>
      </c>
      <c r="DC6" s="145" t="str">
        <f>设置!F45 &amp;" - 历史记录"</f>
        <v>35 - 历史记录</v>
      </c>
      <c r="DD6" s="145"/>
      <c r="DE6" s="112">
        <f>设置!F46</f>
        <v>36</v>
      </c>
      <c r="DF6" s="144" t="str">
        <f>设置!F46 &amp;" - 历史记录"</f>
        <v>36 - 历史记录</v>
      </c>
      <c r="DG6" s="144"/>
      <c r="DH6" s="113">
        <f>设置!F47</f>
        <v>37</v>
      </c>
      <c r="DI6" s="145" t="str">
        <f>设置!F47 &amp;" - 历史记录"</f>
        <v>37 - 历史记录</v>
      </c>
      <c r="DJ6" s="145"/>
      <c r="DK6" s="112">
        <f>设置!F48</f>
        <v>38</v>
      </c>
      <c r="DL6" s="144" t="str">
        <f>设置!F48 &amp;" - 历史记录"</f>
        <v>38 - 历史记录</v>
      </c>
      <c r="DM6" s="144"/>
      <c r="DN6" s="113">
        <f>设置!F49</f>
        <v>39</v>
      </c>
      <c r="DO6" s="145" t="str">
        <f>设置!F49 &amp;" - 历史记录"</f>
        <v>39 - 历史记录</v>
      </c>
      <c r="DP6" s="145"/>
      <c r="DQ6" s="112">
        <f>设置!F50</f>
        <v>40</v>
      </c>
      <c r="DR6" s="144" t="str">
        <f>设置!F50 &amp;" - 历史记录"</f>
        <v>40 - 历史记录</v>
      </c>
      <c r="DS6" s="144"/>
      <c r="DT6" s="146" t="s">
        <v>72</v>
      </c>
      <c r="DU6" s="146"/>
      <c r="DV6" s="146"/>
      <c r="DW6" s="146"/>
      <c r="DX6" s="146"/>
      <c r="DY6" s="146" t="s">
        <v>89</v>
      </c>
      <c r="DZ6" s="146"/>
      <c r="EA6" s="146"/>
      <c r="EB6" s="146" t="s">
        <v>297</v>
      </c>
      <c r="EC6" s="146"/>
      <c r="ED6" s="132"/>
      <c r="EE6" s="114"/>
    </row>
    <row r="7" spans="1:135" ht="8.15" customHeight="1" x14ac:dyDescent="0.3">
      <c r="DT7" s="64"/>
      <c r="DU7" s="64"/>
      <c r="DV7" s="64"/>
      <c r="DW7" s="64"/>
      <c r="DX7" s="64"/>
      <c r="DY7" s="64"/>
      <c r="DZ7" s="91"/>
      <c r="EA7" s="91"/>
      <c r="EB7" s="64"/>
      <c r="EC7" s="91"/>
      <c r="ED7" s="91"/>
      <c r="EE7" s="114"/>
    </row>
    <row r="8" spans="1:135" ht="40" customHeight="1" x14ac:dyDescent="0.3">
      <c r="A8" s="114"/>
      <c r="B8" s="115" t="s">
        <v>0</v>
      </c>
      <c r="C8" s="115" t="s">
        <v>3</v>
      </c>
      <c r="D8" s="115" t="s">
        <v>126</v>
      </c>
      <c r="E8" s="115" t="s">
        <v>81</v>
      </c>
      <c r="F8" s="115" t="s">
        <v>80</v>
      </c>
      <c r="G8" s="115" t="s">
        <v>71</v>
      </c>
      <c r="H8" s="115" t="s">
        <v>79</v>
      </c>
      <c r="I8" s="115" t="s">
        <v>78</v>
      </c>
      <c r="J8" s="115" t="s">
        <v>58</v>
      </c>
      <c r="K8" s="115" t="s">
        <v>42</v>
      </c>
      <c r="L8" s="115" t="s">
        <v>77</v>
      </c>
      <c r="M8" s="115" t="s">
        <v>59</v>
      </c>
      <c r="N8" s="115" t="s">
        <v>43</v>
      </c>
      <c r="O8" s="115" t="s">
        <v>76</v>
      </c>
      <c r="P8" s="115" t="s">
        <v>60</v>
      </c>
      <c r="Q8" s="115" t="s">
        <v>44</v>
      </c>
      <c r="R8" s="115" t="s">
        <v>75</v>
      </c>
      <c r="S8" s="115" t="s">
        <v>61</v>
      </c>
      <c r="T8" s="115" t="s">
        <v>45</v>
      </c>
      <c r="U8" s="115" t="s">
        <v>68</v>
      </c>
      <c r="V8" s="115" t="s">
        <v>62</v>
      </c>
      <c r="W8" s="115" t="s">
        <v>46</v>
      </c>
      <c r="X8" s="115" t="s">
        <v>51</v>
      </c>
      <c r="Y8" s="115" t="s">
        <v>63</v>
      </c>
      <c r="Z8" s="115" t="s">
        <v>47</v>
      </c>
      <c r="AA8" s="115" t="s">
        <v>52</v>
      </c>
      <c r="AB8" s="115" t="s">
        <v>64</v>
      </c>
      <c r="AC8" s="115" t="s">
        <v>48</v>
      </c>
      <c r="AD8" s="115" t="s">
        <v>53</v>
      </c>
      <c r="AE8" s="115" t="s">
        <v>65</v>
      </c>
      <c r="AF8" s="115" t="s">
        <v>49</v>
      </c>
      <c r="AG8" s="115" t="s">
        <v>54</v>
      </c>
      <c r="AH8" s="115" t="s">
        <v>66</v>
      </c>
      <c r="AI8" s="115" t="s">
        <v>50</v>
      </c>
      <c r="AJ8" s="115" t="s">
        <v>55</v>
      </c>
      <c r="AK8" s="115" t="s">
        <v>67</v>
      </c>
      <c r="AL8" s="115" t="s">
        <v>56</v>
      </c>
      <c r="AM8" s="115" t="s">
        <v>57</v>
      </c>
      <c r="AN8" s="115" t="s">
        <v>101</v>
      </c>
      <c r="AO8" s="115" t="s">
        <v>102</v>
      </c>
      <c r="AP8" s="115" t="s">
        <v>100</v>
      </c>
      <c r="AQ8" s="115" t="s">
        <v>105</v>
      </c>
      <c r="AR8" s="115" t="s">
        <v>104</v>
      </c>
      <c r="AS8" s="115" t="s">
        <v>103</v>
      </c>
      <c r="AT8" s="115" t="s">
        <v>111</v>
      </c>
      <c r="AU8" s="115" t="s">
        <v>110</v>
      </c>
      <c r="AV8" s="115" t="s">
        <v>108</v>
      </c>
      <c r="AW8" s="115" t="s">
        <v>107</v>
      </c>
      <c r="AX8" s="115" t="s">
        <v>106</v>
      </c>
      <c r="AY8" s="115" t="s">
        <v>109</v>
      </c>
      <c r="AZ8" s="115" t="s">
        <v>114</v>
      </c>
      <c r="BA8" s="115" t="s">
        <v>113</v>
      </c>
      <c r="BB8" s="115" t="s">
        <v>112</v>
      </c>
      <c r="BC8" s="115" t="s">
        <v>115</v>
      </c>
      <c r="BD8" s="115" t="s">
        <v>116</v>
      </c>
      <c r="BE8" s="115" t="s">
        <v>117</v>
      </c>
      <c r="BF8" s="115" t="s">
        <v>118</v>
      </c>
      <c r="BG8" s="115" t="s">
        <v>119</v>
      </c>
      <c r="BH8" s="115" t="s">
        <v>120</v>
      </c>
      <c r="BI8" s="115" t="s">
        <v>121</v>
      </c>
      <c r="BJ8" s="115" t="s">
        <v>122</v>
      </c>
      <c r="BK8" s="115" t="s">
        <v>123</v>
      </c>
      <c r="BL8" s="115" t="s">
        <v>161</v>
      </c>
      <c r="BM8" s="115" t="s">
        <v>162</v>
      </c>
      <c r="BN8" s="115" t="s">
        <v>160</v>
      </c>
      <c r="BO8" s="115" t="s">
        <v>163</v>
      </c>
      <c r="BP8" s="115" t="s">
        <v>164</v>
      </c>
      <c r="BQ8" s="115" t="s">
        <v>165</v>
      </c>
      <c r="BR8" s="115" t="s">
        <v>166</v>
      </c>
      <c r="BS8" s="115" t="s">
        <v>167</v>
      </c>
      <c r="BT8" s="115" t="s">
        <v>168</v>
      </c>
      <c r="BU8" s="115" t="s">
        <v>169</v>
      </c>
      <c r="BV8" s="115" t="s">
        <v>170</v>
      </c>
      <c r="BW8" s="115" t="s">
        <v>171</v>
      </c>
      <c r="BX8" s="115" t="s">
        <v>172</v>
      </c>
      <c r="BY8" s="115" t="s">
        <v>173</v>
      </c>
      <c r="BZ8" s="115" t="s">
        <v>174</v>
      </c>
      <c r="CA8" s="115" t="s">
        <v>175</v>
      </c>
      <c r="CB8" s="115" t="s">
        <v>176</v>
      </c>
      <c r="CC8" s="115" t="s">
        <v>177</v>
      </c>
      <c r="CD8" s="115" t="s">
        <v>178</v>
      </c>
      <c r="CE8" s="115" t="s">
        <v>179</v>
      </c>
      <c r="CF8" s="115" t="s">
        <v>180</v>
      </c>
      <c r="CG8" s="115" t="s">
        <v>181</v>
      </c>
      <c r="CH8" s="115" t="s">
        <v>182</v>
      </c>
      <c r="CI8" s="115" t="s">
        <v>183</v>
      </c>
      <c r="CJ8" s="115" t="s">
        <v>184</v>
      </c>
      <c r="CK8" s="115" t="s">
        <v>185</v>
      </c>
      <c r="CL8" s="115" t="s">
        <v>186</v>
      </c>
      <c r="CM8" s="115" t="s">
        <v>187</v>
      </c>
      <c r="CN8" s="115" t="s">
        <v>188</v>
      </c>
      <c r="CO8" s="115" t="s">
        <v>189</v>
      </c>
      <c r="CP8" s="115" t="s">
        <v>190</v>
      </c>
      <c r="CQ8" s="115" t="s">
        <v>191</v>
      </c>
      <c r="CR8" s="115" t="s">
        <v>192</v>
      </c>
      <c r="CS8" s="115" t="s">
        <v>193</v>
      </c>
      <c r="CT8" s="115" t="s">
        <v>194</v>
      </c>
      <c r="CU8" s="115" t="s">
        <v>195</v>
      </c>
      <c r="CV8" s="115" t="s">
        <v>196</v>
      </c>
      <c r="CW8" s="115" t="s">
        <v>197</v>
      </c>
      <c r="CX8" s="115" t="s">
        <v>198</v>
      </c>
      <c r="CY8" s="115" t="s">
        <v>199</v>
      </c>
      <c r="CZ8" s="115" t="s">
        <v>200</v>
      </c>
      <c r="DA8" s="115" t="s">
        <v>201</v>
      </c>
      <c r="DB8" s="115" t="s">
        <v>202</v>
      </c>
      <c r="DC8" s="115" t="s">
        <v>203</v>
      </c>
      <c r="DD8" s="115" t="s">
        <v>204</v>
      </c>
      <c r="DE8" s="115" t="s">
        <v>205</v>
      </c>
      <c r="DF8" s="115" t="s">
        <v>206</v>
      </c>
      <c r="DG8" s="115" t="s">
        <v>207</v>
      </c>
      <c r="DH8" s="115" t="s">
        <v>209</v>
      </c>
      <c r="DI8" s="115" t="s">
        <v>210</v>
      </c>
      <c r="DJ8" s="115" t="s">
        <v>208</v>
      </c>
      <c r="DK8" s="115" t="s">
        <v>211</v>
      </c>
      <c r="DL8" s="115" t="s">
        <v>212</v>
      </c>
      <c r="DM8" s="115" t="s">
        <v>213</v>
      </c>
      <c r="DN8" s="115" t="s">
        <v>214</v>
      </c>
      <c r="DO8" s="115" t="s">
        <v>215</v>
      </c>
      <c r="DP8" s="115" t="s">
        <v>216</v>
      </c>
      <c r="DQ8" s="115" t="s">
        <v>217</v>
      </c>
      <c r="DR8" s="115" t="s">
        <v>218</v>
      </c>
      <c r="DS8" s="115" t="s">
        <v>219</v>
      </c>
      <c r="DT8" s="115" t="s">
        <v>27</v>
      </c>
      <c r="DU8" s="115" t="s">
        <v>28</v>
      </c>
      <c r="DV8" s="115" t="s">
        <v>1</v>
      </c>
      <c r="DW8" s="115" t="s">
        <v>22</v>
      </c>
      <c r="DX8" s="115" t="s">
        <v>21</v>
      </c>
      <c r="DY8" s="115" t="s">
        <v>2</v>
      </c>
      <c r="DZ8" s="130" t="s">
        <v>23</v>
      </c>
      <c r="EA8" s="130" t="s">
        <v>24</v>
      </c>
      <c r="EB8" s="121" t="s">
        <v>73</v>
      </c>
      <c r="EC8" s="130" t="s">
        <v>74</v>
      </c>
      <c r="ED8" s="130" t="s">
        <v>7</v>
      </c>
      <c r="EE8" s="114"/>
    </row>
    <row r="9" spans="1:135" ht="40" customHeight="1" x14ac:dyDescent="0.3">
      <c r="B9" s="59" cm="1">
        <f t="array" ref="B9">SN</f>
        <v>1</v>
      </c>
      <c r="C9" s="116" t="str" cm="1">
        <f t="array" ref="C9">GUID</f>
        <v>冯毅 | 男</v>
      </c>
      <c r="D9" s="117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7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7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7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7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7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7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7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7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7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7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7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7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7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7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7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7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7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7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7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/>
      <c r="DZ9" s="131" t="s">
        <v>287</v>
      </c>
      <c r="EA9" s="131" t="s">
        <v>128</v>
      </c>
      <c r="EB9" s="102">
        <v>45268.505555555559</v>
      </c>
      <c r="EC9" s="131"/>
      <c r="ED9" s="133" t="s">
        <v>301</v>
      </c>
      <c r="EE9" s="15"/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179614</xdr:rowOff>
                  </from>
                  <to>
                    <xdr:col>2</xdr:col>
                    <xdr:colOff>925286</xdr:colOff>
                    <xdr:row>5</xdr:row>
                    <xdr:rowOff>500743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1159329</xdr:colOff>
                    <xdr:row>5</xdr:row>
                    <xdr:rowOff>179614</xdr:rowOff>
                  </from>
                  <to>
                    <xdr:col>2</xdr:col>
                    <xdr:colOff>1894114</xdr:colOff>
                    <xdr:row>5</xdr:row>
                    <xdr:rowOff>500743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06" customWidth="1"/>
    <col min="4" max="43" width="12.69140625" style="107" customWidth="1"/>
    <col min="44" max="44" width="10.69140625" style="104" customWidth="1"/>
    <col min="45" max="45" width="22.69140625" style="105" customWidth="1"/>
    <col min="46" max="46" width="12.69140625" style="104" customWidth="1"/>
    <col min="47" max="47" width="22.69140625" style="104" customWidth="1"/>
    <col min="48" max="48" width="8.69140625" style="126" customWidth="1"/>
    <col min="49" max="49" width="14.69140625" style="125" customWidth="1"/>
    <col min="50" max="50" width="8.69140625" style="64" customWidth="1"/>
    <col min="51" max="51" width="16.69140625" style="127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22" customFormat="1" ht="6" customHeight="1" x14ac:dyDescent="0.4"/>
    <row r="2" spans="2:51" s="63" customFormat="1" ht="55" customHeight="1" x14ac:dyDescent="0.4">
      <c r="B2" s="62" t="str">
        <f>设置!D7 &amp;" - 历史记录"</f>
        <v>Yi - 历史记录</v>
      </c>
      <c r="D2" s="128"/>
      <c r="AV2" s="123"/>
      <c r="AW2" s="123"/>
      <c r="AX2" s="123"/>
      <c r="AY2" s="123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Y3" s="64"/>
    </row>
    <row r="4" spans="2:51" s="114" customFormat="1" ht="6" customHeight="1" x14ac:dyDescent="0.3">
      <c r="B4" s="11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10"/>
      <c r="AW4" s="110"/>
      <c r="AX4" s="110"/>
      <c r="AY4" s="110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Y5" s="64"/>
    </row>
    <row r="6" spans="2:51" s="114" customFormat="1" ht="40" customHeight="1" x14ac:dyDescent="0.3">
      <c r="D6" s="111">
        <f>设置!F11</f>
        <v>1</v>
      </c>
      <c r="E6" s="112">
        <f>设置!F12</f>
        <v>2</v>
      </c>
      <c r="F6" s="111">
        <f>设置!F13</f>
        <v>3</v>
      </c>
      <c r="G6" s="112">
        <f>设置!F14</f>
        <v>4</v>
      </c>
      <c r="H6" s="111">
        <f>设置!F15</f>
        <v>5</v>
      </c>
      <c r="I6" s="112">
        <f>设置!F16</f>
        <v>6</v>
      </c>
      <c r="J6" s="111">
        <f>设置!F17</f>
        <v>7</v>
      </c>
      <c r="K6" s="112">
        <f>设置!F18</f>
        <v>8</v>
      </c>
      <c r="L6" s="111">
        <f>设置!F19</f>
        <v>9</v>
      </c>
      <c r="M6" s="112">
        <f>设置!F20</f>
        <v>10</v>
      </c>
      <c r="N6" s="111">
        <f>设置!F21</f>
        <v>11</v>
      </c>
      <c r="O6" s="112">
        <f>设置!F22</f>
        <v>12</v>
      </c>
      <c r="P6" s="111">
        <f>设置!F23</f>
        <v>13</v>
      </c>
      <c r="Q6" s="112">
        <f>设置!F24</f>
        <v>14</v>
      </c>
      <c r="R6" s="111">
        <f>设置!F25</f>
        <v>15</v>
      </c>
      <c r="S6" s="112">
        <f>设置!F26</f>
        <v>16</v>
      </c>
      <c r="T6" s="111">
        <f>设置!F27</f>
        <v>17</v>
      </c>
      <c r="U6" s="112">
        <f>设置!F28</f>
        <v>18</v>
      </c>
      <c r="V6" s="111">
        <f>设置!F29</f>
        <v>19</v>
      </c>
      <c r="W6" s="112">
        <f>设置!F30</f>
        <v>20</v>
      </c>
      <c r="X6" s="111">
        <f>设置!F31</f>
        <v>21</v>
      </c>
      <c r="Y6" s="112">
        <f>设置!F32</f>
        <v>22</v>
      </c>
      <c r="Z6" s="111">
        <f>设置!F33</f>
        <v>23</v>
      </c>
      <c r="AA6" s="112">
        <f>设置!F34</f>
        <v>24</v>
      </c>
      <c r="AB6" s="111">
        <f>设置!F35</f>
        <v>25</v>
      </c>
      <c r="AC6" s="112">
        <f>设置!F36</f>
        <v>26</v>
      </c>
      <c r="AD6" s="111">
        <f>设置!F37</f>
        <v>27</v>
      </c>
      <c r="AE6" s="112">
        <f>设置!F38</f>
        <v>28</v>
      </c>
      <c r="AF6" s="111">
        <f>设置!F39</f>
        <v>29</v>
      </c>
      <c r="AG6" s="112">
        <f>设置!F40</f>
        <v>30</v>
      </c>
      <c r="AH6" s="111">
        <f>设置!F41</f>
        <v>31</v>
      </c>
      <c r="AI6" s="112">
        <f>设置!F42</f>
        <v>32</v>
      </c>
      <c r="AJ6" s="111">
        <f>设置!F43</f>
        <v>33</v>
      </c>
      <c r="AK6" s="112">
        <f>设置!F44</f>
        <v>34</v>
      </c>
      <c r="AL6" s="111">
        <f>设置!F45</f>
        <v>35</v>
      </c>
      <c r="AM6" s="112">
        <f>设置!F46</f>
        <v>36</v>
      </c>
      <c r="AN6" s="111">
        <f>设置!F47</f>
        <v>37</v>
      </c>
      <c r="AO6" s="112">
        <f>设置!F48</f>
        <v>38</v>
      </c>
      <c r="AP6" s="111">
        <f>设置!F49</f>
        <v>39</v>
      </c>
      <c r="AQ6" s="112">
        <f>设置!F50</f>
        <v>40</v>
      </c>
      <c r="AR6" s="146" t="s">
        <v>84</v>
      </c>
      <c r="AS6" s="146"/>
      <c r="AT6" s="146"/>
      <c r="AU6" s="146"/>
      <c r="AV6" s="146" t="s">
        <v>83</v>
      </c>
      <c r="AW6" s="146"/>
      <c r="AX6" s="146"/>
      <c r="AY6" s="146"/>
    </row>
    <row r="7" spans="2:51" s="114" customFormat="1" ht="8.15" customHeight="1" x14ac:dyDescent="0.3"/>
    <row r="8" spans="2:51" ht="40" customHeight="1" x14ac:dyDescent="0.4">
      <c r="B8" s="115" t="s">
        <v>0</v>
      </c>
      <c r="C8" s="115" t="s">
        <v>3</v>
      </c>
      <c r="D8" s="115" t="s">
        <v>69</v>
      </c>
      <c r="E8" s="115" t="s">
        <v>70</v>
      </c>
      <c r="F8" s="115" t="s">
        <v>31</v>
      </c>
      <c r="G8" s="115" t="s">
        <v>32</v>
      </c>
      <c r="H8" s="115" t="s">
        <v>33</v>
      </c>
      <c r="I8" s="115" t="s">
        <v>34</v>
      </c>
      <c r="J8" s="115" t="s">
        <v>35</v>
      </c>
      <c r="K8" s="115" t="s">
        <v>36</v>
      </c>
      <c r="L8" s="115" t="s">
        <v>37</v>
      </c>
      <c r="M8" s="115" t="s">
        <v>39</v>
      </c>
      <c r="N8" s="115" t="s">
        <v>38</v>
      </c>
      <c r="O8" s="115" t="s">
        <v>40</v>
      </c>
      <c r="P8" s="115" t="s">
        <v>92</v>
      </c>
      <c r="Q8" s="115" t="s">
        <v>93</v>
      </c>
      <c r="R8" s="115" t="s">
        <v>94</v>
      </c>
      <c r="S8" s="115" t="s">
        <v>95</v>
      </c>
      <c r="T8" s="115" t="s">
        <v>96</v>
      </c>
      <c r="U8" s="115" t="s">
        <v>97</v>
      </c>
      <c r="V8" s="115" t="s">
        <v>98</v>
      </c>
      <c r="W8" s="115" t="s">
        <v>99</v>
      </c>
      <c r="X8" s="115" t="s">
        <v>141</v>
      </c>
      <c r="Y8" s="115" t="s">
        <v>142</v>
      </c>
      <c r="Z8" s="115" t="s">
        <v>143</v>
      </c>
      <c r="AA8" s="115" t="s">
        <v>144</v>
      </c>
      <c r="AB8" s="115" t="s">
        <v>145</v>
      </c>
      <c r="AC8" s="115" t="s">
        <v>146</v>
      </c>
      <c r="AD8" s="115" t="s">
        <v>147</v>
      </c>
      <c r="AE8" s="115" t="s">
        <v>148</v>
      </c>
      <c r="AF8" s="115" t="s">
        <v>149</v>
      </c>
      <c r="AG8" s="115" t="s">
        <v>150</v>
      </c>
      <c r="AH8" s="115" t="s">
        <v>140</v>
      </c>
      <c r="AI8" s="115" t="s">
        <v>151</v>
      </c>
      <c r="AJ8" s="115" t="s">
        <v>152</v>
      </c>
      <c r="AK8" s="115" t="s">
        <v>153</v>
      </c>
      <c r="AL8" s="115" t="s">
        <v>154</v>
      </c>
      <c r="AM8" s="115" t="s">
        <v>155</v>
      </c>
      <c r="AN8" s="115" t="s">
        <v>156</v>
      </c>
      <c r="AO8" s="115" t="s">
        <v>157</v>
      </c>
      <c r="AP8" s="115" t="s">
        <v>158</v>
      </c>
      <c r="AQ8" s="115" t="s">
        <v>159</v>
      </c>
      <c r="AR8" s="115" t="s">
        <v>5</v>
      </c>
      <c r="AS8" s="115" t="s">
        <v>4</v>
      </c>
      <c r="AT8" s="115" t="s">
        <v>6</v>
      </c>
      <c r="AU8" s="115" t="s">
        <v>7</v>
      </c>
      <c r="AV8" s="115" t="s">
        <v>27</v>
      </c>
      <c r="AW8" s="115" t="s">
        <v>28</v>
      </c>
      <c r="AX8" s="115" t="s">
        <v>1</v>
      </c>
      <c r="AY8" s="115" t="s">
        <v>2</v>
      </c>
    </row>
    <row r="9" spans="2:51" ht="39.75" customHeight="1" x14ac:dyDescent="0.4">
      <c r="B9" s="59" cm="1">
        <f t="array" ref="B9">SN</f>
        <v>1</v>
      </c>
      <c r="C9" s="81" t="s">
        <v>295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102">
        <v>45268.505555555559</v>
      </c>
      <c r="AT9" s="58"/>
      <c r="AU9" s="108" t="s">
        <v>302</v>
      </c>
      <c r="AV9" s="124" t="str" cm="1">
        <f t="array" ref="AV9">Get_GUID_Surname</f>
        <v>冯</v>
      </c>
      <c r="AW9" s="117" t="str" cm="1">
        <f t="array" ref="AW9">Get_GUID_FirstName</f>
        <v>毅</v>
      </c>
      <c r="AX9" s="59" t="str" cm="1">
        <f t="array" ref="AX9">Get_GUID_Sex</f>
        <v>男</v>
      </c>
      <c r="AY9" s="10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2023-12-10T11:37:21Z</dcterms:modified>
</cp:coreProperties>
</file>