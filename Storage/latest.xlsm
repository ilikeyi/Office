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6E6CE265-59C4-45DA-BC43-32EB0EC4539B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C2" i="9"/>
  <c r="B2" i="8"/>
  <c r="D7" i="4"/>
  <c r="DH10" i="6" l="1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C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<sst xmlns="http://schemas.openxmlformats.org/spreadsheetml/2006/main" count="382" uniqueCount="315">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</sst>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5" width="9.1406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36" t="s">
        <v>136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7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8" t="s">
        <v>285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250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251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286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6" t="s">
        <v>287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269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6" t="s">
        <v>277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39"/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2" t="s">
        <v>135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1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1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1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1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1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1" t="s">
        <v>296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1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1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1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1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1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1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1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0">
        <v>1</v>
      </c>
      <c r="F34" s="91" t="s">
        <v>246</v>
      </c>
      <c r="G34" s="1"/>
      <c r="H34" s="90">
        <v>1</v>
      </c>
      <c r="I34" s="122" t="s">
        <v>300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0">
        <v>0</v>
      </c>
      <c r="F35" s="91" t="s">
        <v>85</v>
      </c>
      <c r="G35" s="1"/>
      <c r="H35" s="90">
        <v>0</v>
      </c>
      <c r="I35" s="122" t="s">
        <v>299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0">
        <v>-0.01</v>
      </c>
      <c r="F36" s="91" t="s">
        <v>86</v>
      </c>
      <c r="G36" s="1"/>
      <c r="H36" s="90">
        <v>-0.01</v>
      </c>
      <c r="I36" s="122" t="s">
        <v>301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1" t="s">
        <v>261</v>
      </c>
      <c r="F37" s="2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1" t="s">
        <v>294</v>
      </c>
      <c r="F38" s="2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2" t="s">
        <v>252</v>
      </c>
      <c r="D40" s="51"/>
      <c r="E40" s="50"/>
      <c r="F40" s="52"/>
      <c r="G40" s="50"/>
      <c r="H40" s="50"/>
      <c r="I40" s="50"/>
      <c r="J40" s="50"/>
      <c r="K40" s="50"/>
      <c r="L40" s="50"/>
      <c r="M40" s="50"/>
      <c r="N40" s="50"/>
      <c r="O40" s="50"/>
      <c r="P40" s="1"/>
    </row>
    <row r="41" spans="2:16" ht="39.75" customHeight="1" thickTop="1" x14ac:dyDescent="0.25">
      <c r="B41" s="1"/>
      <c r="C41" s="124">
        <v>1</v>
      </c>
      <c r="D41" s="46" t="s">
        <v>302</v>
      </c>
      <c r="E41" s="124"/>
      <c r="F41" s="123"/>
      <c r="G41" s="124"/>
      <c r="H41" s="124"/>
      <c r="I41" s="124"/>
      <c r="J41" s="124"/>
      <c r="K41" s="124"/>
      <c r="L41" s="124"/>
      <c r="M41" s="124"/>
      <c r="N41" s="124"/>
      <c r="O41" s="124"/>
      <c r="P41" s="1"/>
    </row>
    <row r="42" spans="2:16" ht="39.950000000000003" customHeight="1" x14ac:dyDescent="0.25">
      <c r="B42" s="1"/>
      <c r="C42" s="1">
        <v>0</v>
      </c>
      <c r="D42" s="46" t="s">
        <v>266</v>
      </c>
      <c r="E42" s="1"/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3" t="s">
        <v>253</v>
      </c>
      <c r="E43" s="49"/>
      <c r="F43" s="49"/>
      <c r="G43" s="48"/>
      <c r="H43" s="48"/>
      <c r="I43" s="48"/>
      <c r="J43" s="48"/>
      <c r="K43" s="48"/>
      <c r="L43" s="48"/>
      <c r="M43" s="48"/>
      <c r="N43" s="48"/>
      <c r="O43" s="48"/>
      <c r="P43" s="1"/>
    </row>
    <row r="44" spans="2:16" ht="158.25" customHeight="1" x14ac:dyDescent="0.25">
      <c r="B44" s="1"/>
      <c r="C44" s="1"/>
      <c r="D44" s="39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39"/>
      <c r="E45" s="1"/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3" t="s">
        <v>257</v>
      </c>
      <c r="E46" s="48"/>
      <c r="F46" s="49"/>
      <c r="G46" s="48"/>
      <c r="H46" s="48"/>
      <c r="I46" s="48"/>
      <c r="J46" s="48"/>
      <c r="K46" s="48"/>
      <c r="L46" s="48"/>
      <c r="M46" s="48"/>
      <c r="N46" s="48"/>
      <c r="O46" s="48"/>
      <c r="P46" s="1"/>
    </row>
    <row r="47" spans="2:16" ht="80.25" customHeight="1" x14ac:dyDescent="0.25">
      <c r="B47" s="1"/>
      <c r="C47" s="1"/>
      <c r="D47" s="39"/>
      <c r="E47" s="1"/>
      <c r="F47" s="2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39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258</v>
      </c>
      <c r="E49" s="48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82.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3" t="s">
        <v>254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39.950000000000003" customHeight="1" x14ac:dyDescent="0.25">
      <c r="B53" s="1"/>
      <c r="C53" s="1"/>
      <c r="D53" s="47" t="s">
        <v>255</v>
      </c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7" t="s">
        <v>256</v>
      </c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61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40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220</v>
      </c>
      <c r="D9" s="27"/>
      <c r="E9" s="27"/>
      <c r="F9" s="27"/>
      <c r="G9" s="117" t="s">
        <v>298</v>
      </c>
      <c r="H9" s="153" t="s">
        <v>226</v>
      </c>
      <c r="I9" s="153"/>
      <c r="J9" s="153"/>
      <c r="K9" s="154" t="s">
        <v>248</v>
      </c>
      <c r="L9" s="154"/>
      <c r="M9" s="154"/>
    </row>
    <row r="10" spans="2:13" ht="39.950000000000003" customHeight="1" x14ac:dyDescent="0.25">
      <c r="B10" s="26"/>
      <c r="C10" s="27"/>
      <c r="D10" s="28" t="s">
        <v>3</v>
      </c>
      <c r="E10" s="28" t="s">
        <v>225</v>
      </c>
      <c r="F10" s="28" t="s">
        <v>41</v>
      </c>
      <c r="G10" s="118" t="s">
        <v>297</v>
      </c>
      <c r="H10" s="28" t="s">
        <v>235</v>
      </c>
      <c r="I10" s="28" t="s">
        <v>267</v>
      </c>
      <c r="J10" s="28" t="s">
        <v>268</v>
      </c>
      <c r="K10" s="28" t="s">
        <v>224</v>
      </c>
      <c r="L10" s="28" t="s">
        <v>249</v>
      </c>
      <c r="M10" s="28" t="s">
        <v>227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9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9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9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9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9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9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9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9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9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9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9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9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9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9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9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9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9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9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9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9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9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9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9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9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9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9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9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9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9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9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9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9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9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9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9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9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9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9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9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9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127</v>
      </c>
      <c r="D52" s="141" t="s">
        <v>306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42" t="s">
        <v>305</v>
      </c>
      <c r="E53" s="142" t="s">
        <v>306</v>
      </c>
      <c r="F53" s="142"/>
      <c r="G53" s="143"/>
      <c r="H53" s="143"/>
      <c r="I53" s="143"/>
      <c r="J53" s="143"/>
      <c r="K53" s="143"/>
      <c r="L53" s="143"/>
      <c r="M53" s="143"/>
    </row>
    <row r="54" spans="2:13" ht="39.950000000000003" customHeight="1" x14ac:dyDescent="0.25">
      <c r="B54" s="26"/>
      <c r="C54" s="27" t="s">
        <v>30</v>
      </c>
      <c r="D54" s="142"/>
      <c r="E54" s="142"/>
      <c r="F54" s="142"/>
      <c r="G54" s="143"/>
      <c r="H54" s="143"/>
      <c r="I54" s="143"/>
      <c r="J54" s="143"/>
      <c r="K54" s="143"/>
      <c r="L54" s="143"/>
      <c r="M54" s="143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129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130</v>
      </c>
      <c r="E57" s="69" t="s">
        <v>131</v>
      </c>
      <c r="F57" s="69" t="s">
        <v>131</v>
      </c>
      <c r="G57" s="69" t="s">
        <v>131</v>
      </c>
      <c r="H57" s="69" t="s">
        <v>131</v>
      </c>
      <c r="I57" s="69" t="s">
        <v>131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271</v>
      </c>
      <c r="D58" s="69" t="s">
        <v>131</v>
      </c>
      <c r="E58" s="78" t="s">
        <v>276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221</v>
      </c>
      <c r="C62" s="27" t="s">
        <v>288</v>
      </c>
      <c r="D62" s="30" t="s">
        <v>236</v>
      </c>
      <c r="E62" s="30" t="s">
        <v>222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270</v>
      </c>
      <c r="C64" s="27" t="s">
        <v>228</v>
      </c>
      <c r="D64" s="141" t="s">
        <v>229</v>
      </c>
      <c r="E64" s="141" t="s">
        <v>230</v>
      </c>
      <c r="F64" s="141" t="s">
        <v>231</v>
      </c>
      <c r="G64" s="141" t="s">
        <v>272</v>
      </c>
      <c r="H64" s="141" t="s">
        <v>273</v>
      </c>
      <c r="I64" s="141" t="s">
        <v>274</v>
      </c>
      <c r="J64" s="141" t="s">
        <v>275</v>
      </c>
      <c r="K64" s="141"/>
      <c r="L64" s="141"/>
      <c r="M64" s="141"/>
    </row>
    <row r="65" spans="2:13" ht="39.950000000000003" customHeight="1" x14ac:dyDescent="0.25">
      <c r="B65" s="26"/>
      <c r="C65" s="27" t="s">
        <v>289</v>
      </c>
      <c r="D65" s="69" t="s">
        <v>130</v>
      </c>
      <c r="E65" s="78" t="s">
        <v>290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284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298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134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132</v>
      </c>
      <c r="C73" s="36" t="s">
        <v>133</v>
      </c>
      <c r="D73" s="45"/>
      <c r="E73" s="45"/>
    </row>
    <row r="74" spans="2:13" ht="39.950000000000003" customHeight="1" x14ac:dyDescent="0.25">
      <c r="B74" s="31" t="s">
        <v>125</v>
      </c>
      <c r="C74" s="36" t="s">
        <v>314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45" customWidth="1"/>
    <col min="3" max="3" width="14.7109375" style="145" customWidth="1"/>
    <col min="4" max="4" width="15.7109375" style="145" customWidth="1"/>
    <col min="5" max="5" width="44.7109375" style="145" customWidth="1"/>
    <col min="6" max="6" width="5.7109375" style="146" customWidth="1"/>
    <col min="7" max="8" width="2.7109375" style="145" customWidth="1"/>
    <col min="9" max="16384" width="9.140625" style="145" hidden="1"/>
  </cols>
  <sheetData>
    <row r="1" spans="1:8" ht="6" customHeight="1" x14ac:dyDescent="0.25">
      <c r="A1" s="159"/>
      <c r="B1" s="159"/>
      <c r="C1" s="159"/>
      <c r="D1" s="159"/>
      <c r="E1" s="159"/>
      <c r="F1" s="160"/>
      <c r="G1" s="159"/>
      <c r="H1" s="159"/>
    </row>
    <row r="2" spans="1:8" ht="54.95" customHeight="1" x14ac:dyDescent="0.25">
      <c r="A2" s="2"/>
      <c r="B2" s="2"/>
      <c r="C2" s="4" t="str">
        <f>设置!D7 &amp;" - 新增入库取货"</f>
        <v>Yi - 新增入库取货</v>
      </c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88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220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234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223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228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291</v>
      </c>
      <c r="D17" s="11" t="s">
        <v>306</v>
      </c>
      <c r="E17" s="33" t="s">
        <v>306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4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44" customWidth="1"/>
    <col min="4" max="4" width="12.7109375" style="1" customWidth="1"/>
    <col min="5" max="5" width="20.7109375" style="1" customWidth="1"/>
    <col min="6" max="6" width="12.7109375" style="93" customWidth="1"/>
    <col min="7" max="7" width="12.7109375" style="96" customWidth="1"/>
    <col min="8" max="8" width="12.7109375" style="93" customWidth="1"/>
    <col min="9" max="9" width="26.7109375" style="94" customWidth="1"/>
    <col min="10" max="10" width="18.7109375" style="93" customWidth="1"/>
    <col min="11" max="11" width="28.7109375" style="106" customWidth="1"/>
    <col min="12" max="12" width="2.7109375" style="1" customWidth="1"/>
    <col min="13" max="16384" width="9.140625" style="1" hidden="1"/>
  </cols>
  <sheetData>
    <row r="1" spans="2:11" s="159" customFormat="1" ht="6" customHeight="1" x14ac:dyDescent="0.25"/>
    <row r="2" spans="2:11" s="2" customFormat="1" ht="54.95" customHeight="1" x14ac:dyDescent="0.25">
      <c r="B2" s="4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5"/>
      <c r="C4" s="3"/>
      <c r="D4" s="5"/>
      <c r="E4" s="5"/>
      <c r="F4" s="3"/>
      <c r="G4" s="3"/>
      <c r="H4" s="3"/>
      <c r="I4" s="3"/>
      <c r="J4" s="3"/>
      <c r="K4" s="3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6" t="s">
        <v>0</v>
      </c>
      <c r="C6" s="6" t="s">
        <v>3</v>
      </c>
      <c r="D6" s="6" t="s">
        <v>225</v>
      </c>
      <c r="E6" s="6" t="s">
        <v>41</v>
      </c>
      <c r="F6" s="6" t="s">
        <v>5</v>
      </c>
      <c r="G6" s="6" t="s">
        <v>223</v>
      </c>
      <c r="H6" s="6" t="s">
        <v>228</v>
      </c>
      <c r="I6" s="6" t="s">
        <v>4</v>
      </c>
      <c r="J6" s="6" t="s">
        <v>6</v>
      </c>
      <c r="K6" s="6" t="s">
        <v>7</v>
      </c>
    </row>
    <row r="7" spans="2:11" ht="39.950000000000003" customHeight="1" x14ac:dyDescent="0.25">
      <c r="B7" s="54" cm="1">
        <f t="array" ref="B7">SNGKI</f>
        <v>1</v>
      </c>
      <c r="C7" s="127" t="s">
        <v>307</v>
      </c>
      <c r="D7" s="56" t="str" cm="1">
        <f t="array" ref="D7">Get_Store_SN</f>
        <v>1</v>
      </c>
      <c r="E7" s="56" t="str" cm="1">
        <f t="array" ref="E7">Get_Store_Name</f>
        <v>1</v>
      </c>
      <c r="F7" s="55" t="s">
        <v>236</v>
      </c>
      <c r="G7" s="16"/>
      <c r="H7" s="19"/>
      <c r="I7" s="92">
        <v>45268.505555555559</v>
      </c>
      <c r="J7" s="55"/>
      <c r="K7" s="147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9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9" customWidth="1"/>
    <col min="3" max="3" width="14.7109375" style="149" customWidth="1"/>
    <col min="4" max="4" width="15.7109375" style="149" customWidth="1"/>
    <col min="5" max="5" width="44.7109375" style="149" customWidth="1"/>
    <col min="6" max="6" width="5.7109375" style="148" customWidth="1"/>
    <col min="7" max="8" width="2.7109375" style="148" customWidth="1"/>
    <col min="9" max="16384" width="9.140625" style="148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60"/>
      <c r="C2" s="59" t="str">
        <f>设置!D7 &amp;" - 新增会员"</f>
        <v>Yi - 新增会员</v>
      </c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88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87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91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291</v>
      </c>
      <c r="D21" s="67" t="s">
        <v>306</v>
      </c>
      <c r="E21" s="7" t="s">
        <v>306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51" customWidth="1"/>
    <col min="125" max="125" width="14.7109375" style="152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50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7" t="str">
        <f>设置!F11 &amp;" - 历史记录"</f>
        <v>1 - 历史记录</v>
      </c>
      <c r="F6" s="157"/>
      <c r="G6" s="100">
        <f>设置!F12</f>
        <v>2</v>
      </c>
      <c r="H6" s="155" t="str">
        <f>设置!F12 &amp;" - 历史记录"</f>
        <v>2 - 历史记录</v>
      </c>
      <c r="I6" s="155"/>
      <c r="J6" s="99">
        <f>设置!F13</f>
        <v>3</v>
      </c>
      <c r="K6" s="157" t="str">
        <f>设置!F13 &amp;" - 历史记录"</f>
        <v>3 - 历史记录</v>
      </c>
      <c r="L6" s="157"/>
      <c r="M6" s="100">
        <f>设置!F14</f>
        <v>4</v>
      </c>
      <c r="N6" s="155" t="str">
        <f>设置!F14 &amp;" - 历史记录"</f>
        <v>4 - 历史记录</v>
      </c>
      <c r="O6" s="155"/>
      <c r="P6" s="99">
        <f>设置!F15</f>
        <v>5</v>
      </c>
      <c r="Q6" s="157" t="str">
        <f>设置!F15 &amp;" - 历史记录"</f>
        <v>5 - 历史记录</v>
      </c>
      <c r="R6" s="157"/>
      <c r="S6" s="100">
        <f>设置!F16</f>
        <v>6</v>
      </c>
      <c r="T6" s="155" t="str">
        <f>设置!F16 &amp;" - 历史记录"</f>
        <v>6 - 历史记录</v>
      </c>
      <c r="U6" s="155"/>
      <c r="V6" s="99">
        <f>设置!F17</f>
        <v>7</v>
      </c>
      <c r="W6" s="157" t="str">
        <f>设置!F17 &amp;" - 历史记录"</f>
        <v>7 - 历史记录</v>
      </c>
      <c r="X6" s="157"/>
      <c r="Y6" s="100">
        <f>设置!F18</f>
        <v>8</v>
      </c>
      <c r="Z6" s="155" t="str">
        <f>设置!F18 &amp;" - 历史记录"</f>
        <v>8 - 历史记录</v>
      </c>
      <c r="AA6" s="155"/>
      <c r="AB6" s="99">
        <f>设置!F19</f>
        <v>9</v>
      </c>
      <c r="AC6" s="157" t="str">
        <f>设置!F19 &amp;" - 历史记录"</f>
        <v>9 - 历史记录</v>
      </c>
      <c r="AD6" s="157"/>
      <c r="AE6" s="100">
        <f>设置!F20</f>
        <v>10</v>
      </c>
      <c r="AF6" s="155" t="str">
        <f>设置!F20 &amp;" - 历史记录"</f>
        <v>10 - 历史记录</v>
      </c>
      <c r="AG6" s="155"/>
      <c r="AH6" s="99">
        <f>设置!F21</f>
        <v>11</v>
      </c>
      <c r="AI6" s="157" t="str">
        <f>设置!F21 &amp;" - 历史记录"</f>
        <v>11 - 历史记录</v>
      </c>
      <c r="AJ6" s="157"/>
      <c r="AK6" s="100">
        <f>设置!F22</f>
        <v>12</v>
      </c>
      <c r="AL6" s="155" t="str">
        <f>设置!F22 &amp;" - 历史记录"</f>
        <v>12 - 历史记录</v>
      </c>
      <c r="AM6" s="155"/>
      <c r="AN6" s="99">
        <f>设置!F23</f>
        <v>13</v>
      </c>
      <c r="AO6" s="157" t="str">
        <f>设置!F23 &amp;" - 历史记录"</f>
        <v>13 - 历史记录</v>
      </c>
      <c r="AP6" s="157"/>
      <c r="AQ6" s="100">
        <f>设置!F24</f>
        <v>14</v>
      </c>
      <c r="AR6" s="155" t="str">
        <f>设置!F24 &amp;" - 历史记录"</f>
        <v>14 - 历史记录</v>
      </c>
      <c r="AS6" s="155"/>
      <c r="AT6" s="99">
        <f>设置!F25</f>
        <v>15</v>
      </c>
      <c r="AU6" s="157" t="str">
        <f>设置!F25 &amp;" - 历史记录"</f>
        <v>15 - 历史记录</v>
      </c>
      <c r="AV6" s="157"/>
      <c r="AW6" s="100">
        <f>设置!F26</f>
        <v>16</v>
      </c>
      <c r="AX6" s="155" t="str">
        <f>设置!F26 &amp;" - 历史记录"</f>
        <v>16 - 历史记录</v>
      </c>
      <c r="AY6" s="155"/>
      <c r="AZ6" s="99">
        <f>设置!F27</f>
        <v>17</v>
      </c>
      <c r="BA6" s="157" t="str">
        <f>设置!F27 &amp;" - 历史记录"</f>
        <v>17 - 历史记录</v>
      </c>
      <c r="BB6" s="157"/>
      <c r="BC6" s="100">
        <f>设置!F28</f>
        <v>18</v>
      </c>
      <c r="BD6" s="155" t="str">
        <f>设置!F28 &amp;" - 历史记录"</f>
        <v>18 - 历史记录</v>
      </c>
      <c r="BE6" s="155"/>
      <c r="BF6" s="99">
        <f>设置!F29</f>
        <v>19</v>
      </c>
      <c r="BG6" s="157" t="str">
        <f>设置!F29 &amp;" - 历史记录"</f>
        <v>19 - 历史记录</v>
      </c>
      <c r="BH6" s="157"/>
      <c r="BI6" s="100">
        <f>设置!F30</f>
        <v>20</v>
      </c>
      <c r="BJ6" s="155" t="str">
        <f>设置!F30 &amp;" - 历史记录"</f>
        <v>20 - 历史记录</v>
      </c>
      <c r="BK6" s="155"/>
      <c r="BL6" s="101">
        <f>设置!F31</f>
        <v>21</v>
      </c>
      <c r="BM6" s="156" t="str">
        <f>设置!F31 &amp;" - 历史记录"</f>
        <v>21 - 历史记录</v>
      </c>
      <c r="BN6" s="156"/>
      <c r="BO6" s="100">
        <f>设置!F32</f>
        <v>22</v>
      </c>
      <c r="BP6" s="155" t="str">
        <f>设置!F32 &amp;" - 历史记录"</f>
        <v>22 - 历史记录</v>
      </c>
      <c r="BQ6" s="155"/>
      <c r="BR6" s="101">
        <f>设置!F33</f>
        <v>23</v>
      </c>
      <c r="BS6" s="156" t="str">
        <f>设置!F33 &amp;" - 历史记录"</f>
        <v>23 - 历史记录</v>
      </c>
      <c r="BT6" s="156"/>
      <c r="BU6" s="100">
        <f>设置!F34</f>
        <v>24</v>
      </c>
      <c r="BV6" s="155" t="str">
        <f>设置!F34 &amp;" - 历史记录"</f>
        <v>24 - 历史记录</v>
      </c>
      <c r="BW6" s="155"/>
      <c r="BX6" s="101">
        <f>设置!F35</f>
        <v>25</v>
      </c>
      <c r="BY6" s="156" t="str">
        <f>设置!F35 &amp;" - 历史记录"</f>
        <v>25 - 历史记录</v>
      </c>
      <c r="BZ6" s="156"/>
      <c r="CA6" s="100">
        <f>设置!F36</f>
        <v>26</v>
      </c>
      <c r="CB6" s="155" t="str">
        <f>设置!F36 &amp;" - 历史记录"</f>
        <v>26 - 历史记录</v>
      </c>
      <c r="CC6" s="155"/>
      <c r="CD6" s="101">
        <f>设置!F37</f>
        <v>27</v>
      </c>
      <c r="CE6" s="156" t="str">
        <f>设置!F37 &amp;" - 历史记录"</f>
        <v>27 - 历史记录</v>
      </c>
      <c r="CF6" s="156"/>
      <c r="CG6" s="100">
        <f>设置!F38</f>
        <v>28</v>
      </c>
      <c r="CH6" s="155" t="str">
        <f>设置!F38 &amp;" - 历史记录"</f>
        <v>28 - 历史记录</v>
      </c>
      <c r="CI6" s="155"/>
      <c r="CJ6" s="101">
        <f>设置!F39</f>
        <v>29</v>
      </c>
      <c r="CK6" s="156" t="str">
        <f>设置!F39 &amp;" - 历史记录"</f>
        <v>29 - 历史记录</v>
      </c>
      <c r="CL6" s="156"/>
      <c r="CM6" s="100">
        <f>设置!F40</f>
        <v>30</v>
      </c>
      <c r="CN6" s="155" t="str">
        <f>设置!F40 &amp;" - 历史记录"</f>
        <v>30 - 历史记录</v>
      </c>
      <c r="CO6" s="155"/>
      <c r="CP6" s="101">
        <f>设置!F41</f>
        <v>31</v>
      </c>
      <c r="CQ6" s="156" t="str">
        <f>设置!F41 &amp;" - 历史记录"</f>
        <v>31 - 历史记录</v>
      </c>
      <c r="CR6" s="156"/>
      <c r="CS6" s="100">
        <f>设置!F42</f>
        <v>32</v>
      </c>
      <c r="CT6" s="155" t="str">
        <f>设置!F42 &amp;" - 历史记录"</f>
        <v>32 - 历史记录</v>
      </c>
      <c r="CU6" s="155"/>
      <c r="CV6" s="101">
        <f>设置!F43</f>
        <v>33</v>
      </c>
      <c r="CW6" s="156" t="str">
        <f>设置!F43 &amp;" - 历史记录"</f>
        <v>33 - 历史记录</v>
      </c>
      <c r="CX6" s="156"/>
      <c r="CY6" s="100">
        <f>设置!F44</f>
        <v>34</v>
      </c>
      <c r="CZ6" s="155" t="str">
        <f>设置!F44 &amp;" - 历史记录"</f>
        <v>34 - 历史记录</v>
      </c>
      <c r="DA6" s="155"/>
      <c r="DB6" s="101">
        <f>设置!F45</f>
        <v>35</v>
      </c>
      <c r="DC6" s="156" t="str">
        <f>设置!F45 &amp;" - 历史记录"</f>
        <v>35 - 历史记录</v>
      </c>
      <c r="DD6" s="156"/>
      <c r="DE6" s="100">
        <f>设置!F46</f>
        <v>36</v>
      </c>
      <c r="DF6" s="155" t="str">
        <f>设置!F46 &amp;" - 历史记录"</f>
        <v>36 - 历史记录</v>
      </c>
      <c r="DG6" s="155"/>
      <c r="DH6" s="101">
        <f>设置!F47</f>
        <v>37</v>
      </c>
      <c r="DI6" s="156" t="str">
        <f>设置!F47 &amp;" - 历史记录"</f>
        <v>37 - 历史记录</v>
      </c>
      <c r="DJ6" s="156"/>
      <c r="DK6" s="100">
        <f>设置!F48</f>
        <v>38</v>
      </c>
      <c r="DL6" s="155" t="str">
        <f>设置!F48 &amp;" - 历史记录"</f>
        <v>38 - 历史记录</v>
      </c>
      <c r="DM6" s="155"/>
      <c r="DN6" s="101">
        <f>设置!F49</f>
        <v>39</v>
      </c>
      <c r="DO6" s="156" t="str">
        <f>设置!F49 &amp;" - 历史记录"</f>
        <v>39 - 历史记录</v>
      </c>
      <c r="DP6" s="156"/>
      <c r="DQ6" s="100">
        <f>设置!F50</f>
        <v>40</v>
      </c>
      <c r="DR6" s="155" t="str">
        <f>设置!F50 &amp;" - 历史记录"</f>
        <v>40 - 历史记录</v>
      </c>
      <c r="DS6" s="155"/>
      <c r="DT6" s="157" t="s">
        <v>72</v>
      </c>
      <c r="DU6" s="157"/>
      <c r="DV6" s="157"/>
      <c r="DW6" s="157"/>
      <c r="DX6" s="157"/>
      <c r="DY6" s="157" t="s">
        <v>89</v>
      </c>
      <c r="DZ6" s="157"/>
      <c r="EA6" s="157"/>
      <c r="EB6" s="157" t="s">
        <v>292</v>
      </c>
      <c r="EC6" s="157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126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101</v>
      </c>
      <c r="AO8" s="103" t="s">
        <v>102</v>
      </c>
      <c r="AP8" s="103" t="s">
        <v>100</v>
      </c>
      <c r="AQ8" s="103" t="s">
        <v>105</v>
      </c>
      <c r="AR8" s="103" t="s">
        <v>104</v>
      </c>
      <c r="AS8" s="103" t="s">
        <v>103</v>
      </c>
      <c r="AT8" s="103" t="s">
        <v>111</v>
      </c>
      <c r="AU8" s="103" t="s">
        <v>110</v>
      </c>
      <c r="AV8" s="103" t="s">
        <v>108</v>
      </c>
      <c r="AW8" s="103" t="s">
        <v>107</v>
      </c>
      <c r="AX8" s="103" t="s">
        <v>106</v>
      </c>
      <c r="AY8" s="103" t="s">
        <v>109</v>
      </c>
      <c r="AZ8" s="103" t="s">
        <v>114</v>
      </c>
      <c r="BA8" s="103" t="s">
        <v>113</v>
      </c>
      <c r="BB8" s="103" t="s">
        <v>112</v>
      </c>
      <c r="BC8" s="103" t="s">
        <v>115</v>
      </c>
      <c r="BD8" s="103" t="s">
        <v>116</v>
      </c>
      <c r="BE8" s="103" t="s">
        <v>117</v>
      </c>
      <c r="BF8" s="103" t="s">
        <v>118</v>
      </c>
      <c r="BG8" s="103" t="s">
        <v>119</v>
      </c>
      <c r="BH8" s="103" t="s">
        <v>120</v>
      </c>
      <c r="BI8" s="103" t="s">
        <v>121</v>
      </c>
      <c r="BJ8" s="103" t="s">
        <v>122</v>
      </c>
      <c r="BK8" s="103" t="s">
        <v>123</v>
      </c>
      <c r="BL8" s="103" t="s">
        <v>161</v>
      </c>
      <c r="BM8" s="103" t="s">
        <v>162</v>
      </c>
      <c r="BN8" s="103" t="s">
        <v>160</v>
      </c>
      <c r="BO8" s="103" t="s">
        <v>163</v>
      </c>
      <c r="BP8" s="103" t="s">
        <v>164</v>
      </c>
      <c r="BQ8" s="103" t="s">
        <v>165</v>
      </c>
      <c r="BR8" s="103" t="s">
        <v>166</v>
      </c>
      <c r="BS8" s="103" t="s">
        <v>167</v>
      </c>
      <c r="BT8" s="103" t="s">
        <v>168</v>
      </c>
      <c r="BU8" s="103" t="s">
        <v>169</v>
      </c>
      <c r="BV8" s="103" t="s">
        <v>170</v>
      </c>
      <c r="BW8" s="103" t="s">
        <v>171</v>
      </c>
      <c r="BX8" s="103" t="s">
        <v>172</v>
      </c>
      <c r="BY8" s="103" t="s">
        <v>173</v>
      </c>
      <c r="BZ8" s="103" t="s">
        <v>174</v>
      </c>
      <c r="CA8" s="103" t="s">
        <v>175</v>
      </c>
      <c r="CB8" s="103" t="s">
        <v>176</v>
      </c>
      <c r="CC8" s="103" t="s">
        <v>177</v>
      </c>
      <c r="CD8" s="103" t="s">
        <v>178</v>
      </c>
      <c r="CE8" s="103" t="s">
        <v>179</v>
      </c>
      <c r="CF8" s="103" t="s">
        <v>180</v>
      </c>
      <c r="CG8" s="103" t="s">
        <v>181</v>
      </c>
      <c r="CH8" s="103" t="s">
        <v>182</v>
      </c>
      <c r="CI8" s="103" t="s">
        <v>183</v>
      </c>
      <c r="CJ8" s="103" t="s">
        <v>184</v>
      </c>
      <c r="CK8" s="103" t="s">
        <v>185</v>
      </c>
      <c r="CL8" s="103" t="s">
        <v>186</v>
      </c>
      <c r="CM8" s="103" t="s">
        <v>187</v>
      </c>
      <c r="CN8" s="103" t="s">
        <v>188</v>
      </c>
      <c r="CO8" s="103" t="s">
        <v>189</v>
      </c>
      <c r="CP8" s="103" t="s">
        <v>190</v>
      </c>
      <c r="CQ8" s="103" t="s">
        <v>191</v>
      </c>
      <c r="CR8" s="103" t="s">
        <v>192</v>
      </c>
      <c r="CS8" s="103" t="s">
        <v>193</v>
      </c>
      <c r="CT8" s="103" t="s">
        <v>194</v>
      </c>
      <c r="CU8" s="103" t="s">
        <v>195</v>
      </c>
      <c r="CV8" s="103" t="s">
        <v>196</v>
      </c>
      <c r="CW8" s="103" t="s">
        <v>197</v>
      </c>
      <c r="CX8" s="103" t="s">
        <v>198</v>
      </c>
      <c r="CY8" s="103" t="s">
        <v>199</v>
      </c>
      <c r="CZ8" s="103" t="s">
        <v>200</v>
      </c>
      <c r="DA8" s="103" t="s">
        <v>201</v>
      </c>
      <c r="DB8" s="103" t="s">
        <v>202</v>
      </c>
      <c r="DC8" s="103" t="s">
        <v>203</v>
      </c>
      <c r="DD8" s="103" t="s">
        <v>204</v>
      </c>
      <c r="DE8" s="103" t="s">
        <v>205</v>
      </c>
      <c r="DF8" s="103" t="s">
        <v>206</v>
      </c>
      <c r="DG8" s="103" t="s">
        <v>207</v>
      </c>
      <c r="DH8" s="103" t="s">
        <v>209</v>
      </c>
      <c r="DI8" s="103" t="s">
        <v>210</v>
      </c>
      <c r="DJ8" s="103" t="s">
        <v>208</v>
      </c>
      <c r="DK8" s="103" t="s">
        <v>211</v>
      </c>
      <c r="DL8" s="103" t="s">
        <v>212</v>
      </c>
      <c r="DM8" s="103" t="s">
        <v>213</v>
      </c>
      <c r="DN8" s="103" t="s">
        <v>214</v>
      </c>
      <c r="DO8" s="103" t="s">
        <v>215</v>
      </c>
      <c r="DP8" s="103" t="s">
        <v>216</v>
      </c>
      <c r="DQ8" s="103" t="s">
        <v>217</v>
      </c>
      <c r="DR8" s="103" t="s">
        <v>218</v>
      </c>
      <c r="DS8" s="103" t="s">
        <v>219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232</v>
      </c>
      <c r="DU9" s="73" t="s">
        <v>233</v>
      </c>
      <c r="DV9" s="74" t="s">
        <v>10</v>
      </c>
      <c r="DW9" s="74" t="s">
        <v>128</v>
      </c>
      <c r="DX9" s="55"/>
      <c r="DY9" s="74" t="s">
        <v>308</v>
      </c>
      <c r="DZ9" s="74" t="s">
        <v>283</v>
      </c>
      <c r="EA9" s="74" t="s">
        <v>128</v>
      </c>
      <c r="EB9" s="92">
        <v>45268.505555555559</v>
      </c>
      <c r="EC9" s="113"/>
      <c r="ED9" s="147" t="s">
        <v>312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303</v>
      </c>
      <c r="DU10" s="73" t="s">
        <v>304</v>
      </c>
      <c r="DV10" s="74" t="s">
        <v>11</v>
      </c>
      <c r="DW10" s="74" t="s">
        <v>128</v>
      </c>
      <c r="DX10" s="55"/>
      <c r="DY10" s="74" t="s">
        <v>309</v>
      </c>
      <c r="DZ10" s="74"/>
      <c r="EA10" s="74"/>
      <c r="EB10" s="92">
        <v>45268.505555555559</v>
      </c>
      <c r="EC10" s="113"/>
      <c r="ED10" s="147" t="s">
        <v>312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9" customWidth="1"/>
    <col min="48" max="48" width="8.7109375" style="134" customWidth="1"/>
    <col min="49" max="49" width="14.7109375" style="135" customWidth="1"/>
    <col min="50" max="50" width="8.7109375" style="82" customWidth="1"/>
    <col min="51" max="51" width="20.7109375" style="82" customWidth="1"/>
    <col min="52" max="52" width="2.7109375" style="61" customWidth="1"/>
    <col min="53" max="53" width="9.140625" style="61" hidden="1" customWidth="1"/>
    <col min="54" max="16384" width="9.140625" style="61" hidden="1"/>
  </cols>
  <sheetData>
    <row r="1" spans="2:51" s="109" customFormat="1" ht="6" customHeight="1" x14ac:dyDescent="0.25">
      <c r="AV1" s="130"/>
      <c r="AW1" s="130"/>
      <c r="AX1" s="130"/>
      <c r="AY1" s="130"/>
    </row>
    <row r="2" spans="2:51" s="60" customFormat="1" ht="54.95" customHeight="1" x14ac:dyDescent="0.25">
      <c r="B2" s="59" t="str">
        <f>设置!D7 &amp;" - 历史记录"</f>
        <v>Yi - 历史记录</v>
      </c>
      <c r="D2" s="110"/>
      <c r="AV2" s="131"/>
      <c r="AW2" s="131"/>
      <c r="AX2" s="131"/>
      <c r="AY2" s="131"/>
    </row>
    <row r="3" spans="2:51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82"/>
      <c r="AW3" s="82"/>
    </row>
    <row r="4" spans="2:51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32"/>
      <c r="AW4" s="132"/>
      <c r="AX4" s="132"/>
      <c r="AY4" s="132"/>
    </row>
    <row r="5" spans="2:51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82"/>
      <c r="AW5" s="82"/>
    </row>
    <row r="6" spans="2:51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7" t="s">
        <v>84</v>
      </c>
      <c r="AS6" s="157"/>
      <c r="AT6" s="157"/>
      <c r="AU6" s="157"/>
      <c r="AV6" s="158" t="s">
        <v>83</v>
      </c>
      <c r="AW6" s="158"/>
      <c r="AX6" s="158"/>
      <c r="AY6" s="158"/>
    </row>
    <row r="7" spans="2:51" s="102" customFormat="1" ht="8.1" customHeight="1" x14ac:dyDescent="0.2">
      <c r="AV7" s="133"/>
      <c r="AW7" s="133"/>
      <c r="AX7" s="133"/>
      <c r="AY7" s="133"/>
    </row>
    <row r="8" spans="2:51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92</v>
      </c>
      <c r="Q8" s="103" t="s">
        <v>93</v>
      </c>
      <c r="R8" s="103" t="s">
        <v>94</v>
      </c>
      <c r="S8" s="103" t="s">
        <v>95</v>
      </c>
      <c r="T8" s="103" t="s">
        <v>96</v>
      </c>
      <c r="U8" s="103" t="s">
        <v>97</v>
      </c>
      <c r="V8" s="103" t="s">
        <v>98</v>
      </c>
      <c r="W8" s="103" t="s">
        <v>99</v>
      </c>
      <c r="X8" s="103" t="s">
        <v>141</v>
      </c>
      <c r="Y8" s="103" t="s">
        <v>142</v>
      </c>
      <c r="Z8" s="103" t="s">
        <v>143</v>
      </c>
      <c r="AA8" s="103" t="s">
        <v>144</v>
      </c>
      <c r="AB8" s="103" t="s">
        <v>145</v>
      </c>
      <c r="AC8" s="103" t="s">
        <v>146</v>
      </c>
      <c r="AD8" s="103" t="s">
        <v>147</v>
      </c>
      <c r="AE8" s="103" t="s">
        <v>148</v>
      </c>
      <c r="AF8" s="103" t="s">
        <v>149</v>
      </c>
      <c r="AG8" s="103" t="s">
        <v>150</v>
      </c>
      <c r="AH8" s="103" t="s">
        <v>140</v>
      </c>
      <c r="AI8" s="103" t="s">
        <v>151</v>
      </c>
      <c r="AJ8" s="103" t="s">
        <v>152</v>
      </c>
      <c r="AK8" s="103" t="s">
        <v>153</v>
      </c>
      <c r="AL8" s="103" t="s">
        <v>154</v>
      </c>
      <c r="AM8" s="103" t="s">
        <v>155</v>
      </c>
      <c r="AN8" s="103" t="s">
        <v>156</v>
      </c>
      <c r="AO8" s="103" t="s">
        <v>157</v>
      </c>
      <c r="AP8" s="103" t="s">
        <v>158</v>
      </c>
      <c r="AQ8" s="103" t="s">
        <v>159</v>
      </c>
      <c r="AR8" s="103" t="s">
        <v>5</v>
      </c>
      <c r="AS8" s="103" t="s">
        <v>4</v>
      </c>
      <c r="AT8" s="103" t="s">
        <v>6</v>
      </c>
      <c r="AU8" s="103" t="s">
        <v>7</v>
      </c>
      <c r="AV8" s="112" t="s">
        <v>27</v>
      </c>
      <c r="AW8" s="112" t="s">
        <v>28</v>
      </c>
      <c r="AX8" s="112" t="s">
        <v>1</v>
      </c>
      <c r="AY8" s="112" t="s">
        <v>2</v>
      </c>
    </row>
    <row r="9" spans="2:51" ht="39.75" customHeight="1" x14ac:dyDescent="0.25">
      <c r="B9" s="56" cm="1">
        <f t="array" ref="B9">SN</f>
        <v>1</v>
      </c>
      <c r="C9" s="75" t="s">
        <v>311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313</v>
      </c>
      <c r="AV9" s="128" t="str" cm="1">
        <f t="array" ref="AV9">Get_GUID_Surname</f>
        <v>冯</v>
      </c>
      <c r="AW9" s="126" t="str" cm="1">
        <f t="array" ref="AW9">Get_GUID_FirstName</f>
        <v>毅</v>
      </c>
      <c r="AX9" s="54" t="str" cm="1">
        <f t="array" ref="AX9">Get_GUID_Sex</f>
        <v>男</v>
      </c>
      <c r="AY9" s="54" t="str" cm="1">
        <f t="array" ref="AY9">Get_GUID_Tel</f>
        <v>9955</v>
      </c>
    </row>
    <row r="10" spans="2:51" ht="39.950000000000003" customHeight="1" x14ac:dyDescent="0.25">
      <c r="B10" s="54" cm="1">
        <f t="array" ref="B10">SN</f>
        <v>2</v>
      </c>
      <c r="C10" s="127" t="s">
        <v>310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313</v>
      </c>
      <c r="AV10" s="128" t="str" cm="1">
        <f t="array" ref="AV10">Get_GUID_Surname</f>
        <v>李</v>
      </c>
      <c r="AW10" s="126" t="str" cm="1">
        <f t="array" ref="AW10">Get_GUID_FirstName</f>
        <v>怡</v>
      </c>
      <c r="AX10" s="54" t="str" cm="1">
        <f t="array" ref="AX10">Get_GUID_Sex</f>
        <v>女</v>
      </c>
      <c r="AY10" s="54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2023-12-12T16:23:17Z</cp:lastPrinted>
  <dcterms:created xsi:type="dcterms:W3CDTF">2023-11-27T09:49:08Z</dcterms:created>
  <dcterms:modified xsi:type="dcterms:W3CDTF">2023-12-12T16:27:40Z</dcterms:modified>
</cp:coreProperties>
</file>