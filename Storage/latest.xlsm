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2B185129-C70B-4C08-9A5B-B9272E5CEBC1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9" l="1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7" i="8" a="1"/>
  <c r="B7" i="8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7" i="8" l="1" a="1"/>
  <c r="D7" i="8" s="1"/>
  <c r="E7" i="8" a="1"/>
  <c r="E7" i="8" s="1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<sst xmlns="http://schemas.openxmlformats.org/spreadsheetml/2006/main" count="377" uniqueCount="314">
  <si>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</si>
  <si>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</si>
  <si>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</si>
  <si>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</si>
  <si>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</si>
  <si>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</si>
  <si>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</si>
  <si>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</si>
  <si>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</si>
  <si>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</si>
  <si>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</si>
  <si>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</si>
  <si>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</si>
  <si>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</si>
  <si>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</si>
  <si>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</si>
  <si>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</si>
  <si>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</si>
  <si>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</si>
  <si>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</si>
  <si>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</si>
  <si>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</si>
  <si>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</si>
  <si>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</si>
  <si>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</si>
  <si>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</si>
  <si>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</si>
  <si>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</si>
  <si>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</si>
  <si>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</si>
  <si>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</si>
  <si>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</si>
  <si>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</si>
  <si>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</si>
  <si>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</si>
  <si>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</si>
  <si>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</si>
  <si>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</si>
  <si>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</si>
  <si>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</si>
  <si>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</si>
  <si>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</si>
  <si>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</si>
  <si>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</si>
  <si>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</si>
  <si>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</si>
  <si>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</si>
  <si>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</si>
  <si>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</si>
  <si>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</si>
  <si>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</si>
  <si>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</si>
  <si>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</si>
  <si>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</si>
  <si>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</si>
  <si>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</si>
  <si>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</si>
  <si>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</si>
  <si>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</si>
  <si>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</si>
  <si>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</si>
  <si>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</si>
  <si>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</si>
  <si>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</si>
  <si>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</si>
  <si>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</si>
  <si>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</si>
  <si>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</si>
  <si>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</si>
  <si>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</si>
  <si>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</si>
  <si>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</si>
  <si>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</si>
  <si>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</si>
  <si>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</si>
  <si>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</si>
  <si>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</si>
  <si>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</si>
  <si>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</si>
  <si>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</si>
  <si>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</si>
  <si>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</si>
  <si>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</si>
  <si>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</si>
  <si>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</si>
  <si>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</si>
  <si>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</si>
  <si>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</si>
  <si>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</si>
  <si>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</si>
  <si>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</si>
  <si>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</si>
  <si>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</si>
  <si>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</si>
  <si>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</si>
  <si>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</si>
  <si>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</si>
  <si>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</si>
  <si>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</si>
  <si>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</si>
  <si>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</si>
  <si>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</si>
  <si>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</si>
  <si>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</si>
  <si>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</si>
  <si>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</si>
  <si>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</si>
  <si>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</si>
  <si>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</si>
  <si>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</si>
  <si>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</si>
  <si>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</si>
  <si>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</si>
  <si>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</si>
  <si>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</si>
  <si>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</si>
  <si>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</si>
  <si>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</si>
  <si>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</si>
  <si>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</si>
  <si>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</si>
  <si>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</si>
  <si>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</si>
  <si>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</si>
  <si>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</si>
  <si>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</si>
  <si>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</si>
  <si>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</si>
  <si>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</si>
  <si>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</si>
  <si>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</si>
  <si>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</si>
  <si>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</si>
  <si>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</si>
  <si>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</si>
  <si>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</si>
  <si>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</si>
  <si>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</si>
  <si>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</si>
  <si>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</si>
  <si>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</si>
  <si>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</si>
  <si>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</si>
  <si>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</si>
  <si>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</si>
  <si>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</si>
  <si>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</si>
  <si>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</si>
  <si>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</si>
  <si>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</si>
  <si>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</si>
  <si>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</si>
  <si>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</si>
  <si>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</si>
  <si>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</si>
  <si>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</si>
  <si>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</si>
  <si>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</si>
  <si>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</si>
  <si>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</si>
  <si>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</si>
  <si>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</si>
  <si>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</si>
  <si>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</si>
  <si>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</si>
  <si>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</si>
  <si>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</si>
  <si>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</si>
  <si>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</si>
  <si>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</si>
  <si>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</si>
  <si>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</si>
  <si>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</si>
  <si>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</si>
  <si>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</si>
  <si>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</si>
  <si>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</si>
  <si>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</si>
  <si>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</si>
  <si>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</si>
  <si>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</si>
  <si>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</si>
  <si>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</si>
  <si>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</si>
  <si>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</si>
  <si>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</si>
  <si>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</si>
  <si>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</si>
  <si>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</si>
  <si>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</si>
  <si>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</si>
  <si>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</si>
  <si>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</si>
  <si>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</si>
  <si>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</si>
  <si>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</si>
  <si>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</si>
  <si>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</si>
  <si>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</si>
  <si>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</si>
  <si>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</si>
  <si>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</si>
  <si>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</si>
  <si>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</si>
  <si>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</si>
  <si>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</si>
  <si>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</si>
  <si>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</si>
  <si>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</si>
  <si>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</si>
  <si>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</si>
  <si>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</si>
  <si>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</si>
  <si>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</si>
  <si>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</si>
  <si>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</si>
  <si>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</si>
  <si>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</si>
  <si>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</si>
  <si>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</si>
  <si>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</si>
  <si>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</si>
  <si>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</si>
  <si>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</si>
  <si>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</si>
  <si>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</si>
  <si>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</si>
  <si>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</si>
  <si>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</si>
  <si>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</si>
  <si>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</si>
  <si>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</si>
  <si>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</si>
  <si>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</si>
  <si>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</si>
  <si>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</si>
  <si>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</si>
  <si>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</si>
  <si>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</si>
  <si>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</si>
  <si>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</si>
  <si>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</si>
  <si>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</si>
  <si>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</si>
  <si>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</si>
  <si>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</si>
  <si>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</si>
  <si>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</si>
  <si>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</si>
  <si>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</si>
  <si>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</si>
  <si>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</si>
  <si>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</si>
  <si>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</si>
  <si>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</si>
  <si>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</si>
  <si>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</si>
  <si>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</si>
  <si>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</si>
  <si>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</si>
  <si>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</si>
  <si>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</si>
  <si>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</si>
  <si>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</si>
  <si>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</si>
  <si>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</si>
  <si>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</si>
  <si>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</si>
  <si>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</si>
  <si>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</si>
  <si>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</si>
  <si>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</si>
  <si>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</si>
  <si>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</si>
  <si>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</si>
  <si>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</si>
  <si>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</si>
  <si>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</si>
  <si>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</si>
  <si>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</si>
  <si>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</si>
  <si>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</si>
  <si>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</si>
  <si>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</si>
  <si>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</si>
  <si>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</si>
  <si>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</si>
  <si>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</si>
  <si>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</si>
  <si>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</si>
  <si>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</si>
  <si>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</si>
  <si>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</si>
  <si>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</si>
  <si>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</si>
  <si>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Ctrl+Shift + A：历史记录 - 新增，自动填存入</t>
  </si>
  <si>
    <t>负差</t>
  </si>
  <si>
    <t>统计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</si>
  <si>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</si>
  <si>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</si>
  <si>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</si>
  <si>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</si>
  <si>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</si>
  <si>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</si>
  <si>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</si>
  <si>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</si>
  <si>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</si>
  <si>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</si>
  <si>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</si>
  <si>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</si>
  <si>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</si>
  <si>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初始数据测试会员，新增后删除此会员</t>
  </si>
  <si>
    <t>初始数据测试支取，新增后删除此行</t>
  </si>
  <si>
    <t>v1.6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</si>
</sst>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常规" xfId="0" builtinId="0"/>
    <cellStyle name="超链接" xfId="1" builtinId="8"/>
  </cellStyles>
  <dxfs count="392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85725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2333625</xdr:colOff>
          <xdr:row>1</xdr:row>
          <xdr:rowOff>190500</xdr:rowOff>
        </xdr:from>
        <xdr:to>
          <xdr:col>5</xdr:col>
          <xdr:colOff>85725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1457325</xdr:colOff>
          <xdr:row>1</xdr:row>
          <xdr:rowOff>190500</xdr:rowOff>
        </xdr:from>
        <xdr:to>
          <xdr:col>4</xdr:col>
          <xdr:colOff>2190750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1" dataDxfId="390">
  <autoFilter ref="D10:M50" xr:uid="{11A03F84-0665-49F1-9984-7E2CA5A905D1}"/>
  <tableColumns count="10">
    <tableColumn id="10" xr3:uid="{E7ABD066-9CFB-4687-B84E-A1A9030FB071}" name="唯一识别码" dataDxfId="389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8"/>
    <tableColumn id="2" xr3:uid="{C28244F3-482D-4CFC-B629-A29496B98C0B}" name="商品名称" dataDxfId="387"/>
    <tableColumn id="11" xr3:uid="{71958388-9C14-426E-8457-DCEA92BC0E87}" name="负差" dataDxfId="386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5">
      <calculatedColumnFormula>SUM(UserInfo[1 - 剩余])</calculatedColumnFormula>
    </tableColumn>
    <tableColumn id="7" xr3:uid="{75829BDD-5513-4744-8184-35AE3788771C}" name="已存入" dataDxfId="384">
      <calculatedColumnFormula>SUM(UserInfo[1 - 存入])</calculatedColumnFormula>
    </tableColumn>
    <tableColumn id="6" xr3:uid="{B71F91EB-0024-4EC1-8035-3636C31B3740}" name="已支取" dataDxfId="383">
      <calculatedColumnFormula>SUM(UserInfo[1 - 支取])</calculatedColumnFormula>
    </tableColumn>
    <tableColumn id="5" xr3:uid="{6E4E3255-2204-43C6-A50C-EEAF08580A14}" name="库存负差" dataDxfId="382">
      <calculatedColumnFormula>Store_Setting[[#This Row],[入库小计]]-Store_Setting[[#This Row],[取货小计]]</calculatedColumnFormula>
    </tableColumn>
    <tableColumn id="9" xr3:uid="{7DA9A308-8441-49E3-B1B4-6AF7A14784F7}" name="入库小计" dataDxfId="381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0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79" dataDxfId="378">
  <autoFilter ref="B6:K7" xr:uid="{B82E5E9F-8725-4EAF-B9F2-1889C4CE31C6}"/>
  <tableColumns count="10">
    <tableColumn id="1" xr3:uid="{CCD5A4A0-03A2-44F4-8FB0-E2743E043E7C}" name="序号" dataDxfId="377">
      <calculatedColumnFormula array="1">SNGKI</calculatedColumnFormula>
    </tableColumn>
    <tableColumn id="2" xr3:uid="{BE286F67-B0FA-40D9-BDA1-B2CFCEBCEB36}" name="唯一识别码" dataDxfId="376"/>
    <tableColumn id="6" xr3:uid="{148867ED-CDB5-4DC9-923C-601F80EB1640}" name="商品序号" dataDxfId="375">
      <calculatedColumnFormula array="1">Get_Store_SN</calculatedColumnFormula>
    </tableColumn>
    <tableColumn id="5" xr3:uid="{1911F1F5-D5AD-4950-85F5-813E0E394FE9}" name="商品名称" dataDxfId="374">
      <calculatedColumnFormula array="1">Get_Store_Name</calculatedColumnFormula>
    </tableColumn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添加会员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53">
      <calculatedColumnFormula array="1">SN</calculatedColumnFormula>
    </tableColumn>
    <tableColumn id="2" xr3:uid="{B2493920-5E1A-4FDC-9855-B9542A099E48}" name="唯一识别码" dataDxfId="98" totalsRowDxfId="52"/>
    <tableColumn id="5" xr3:uid="{5B86D5AB-C839-4645-A1C3-6DB8BE627282}" name="1" dataDxfId="97" totalsRowDxfId="51"/>
    <tableColumn id="6" xr3:uid="{D0DA84C9-F1D2-46E3-B7CE-A8366D8983EB}" name="2" dataDxfId="96" totalsRowDxfId="8"/>
    <tableColumn id="18" xr3:uid="{9E40E7FF-8010-4EF5-8D65-05F090D03F3E}" name="3" dataDxfId="95" totalsRowDxfId="50"/>
    <tableColumn id="21" xr3:uid="{5F083938-0DC4-423F-A299-44247D468027}" name="4" dataDxfId="94" totalsRowDxfId="49"/>
    <tableColumn id="22" xr3:uid="{24908B7A-CF9B-4D63-9022-D399C13A94C1}" name="5" dataDxfId="93" totalsRowDxfId="48"/>
    <tableColumn id="19" xr3:uid="{BEB80215-8B61-4914-86E2-724F4F55059E}" name="6" dataDxfId="92" totalsRowDxfId="47"/>
    <tableColumn id="20" xr3:uid="{E54DF6BD-FDB6-4958-9792-37D84186C5F8}" name="7" dataDxfId="91" totalsRowDxfId="46"/>
    <tableColumn id="17" xr3:uid="{3C5E9469-24AB-4CCF-9097-5413D53FE08B}" name="8" dataDxfId="90" totalsRowDxfId="45"/>
    <tableColumn id="25" xr3:uid="{DF31ADD6-D425-448A-84D6-24EA4C755749}" name="9" dataDxfId="89" totalsRowDxfId="44"/>
    <tableColumn id="24" xr3:uid="{C42F8972-B742-4D35-A952-3D872596299B}" name="10" dataDxfId="88" totalsRowDxfId="43"/>
    <tableColumn id="23" xr3:uid="{B41C44E2-038E-439D-88E8-97ACB7CC434D}" name="11" dataDxfId="87" totalsRowDxfId="42"/>
    <tableColumn id="16" xr3:uid="{6BD74C15-D3CF-47C3-AFCC-D562BF1584D8}" name="12" dataDxfId="86" totalsRowDxfId="41"/>
    <tableColumn id="26" xr3:uid="{3AA81C31-DC87-4EC0-8317-62466BCA688D}" name="13" dataDxfId="85" totalsRowDxfId="40"/>
    <tableColumn id="29" xr3:uid="{C0462957-AD6C-4B5C-8DE8-98D81D3496D1}" name="14" dataDxfId="84" totalsRowDxfId="39"/>
    <tableColumn id="30" xr3:uid="{91E73BB4-A5D3-4098-ADFA-7676E1DD74AC}" name="15" dataDxfId="83" totalsRowDxfId="38"/>
    <tableColumn id="27" xr3:uid="{7188DC63-0EDC-479C-8DF8-171846E035A9}" name="16" dataDxfId="82" totalsRowDxfId="37"/>
    <tableColumn id="28" xr3:uid="{902017B5-4692-492C-9165-FFBAA7A9EFA2}" name="17" dataDxfId="81" totalsRowDxfId="36"/>
    <tableColumn id="15" xr3:uid="{3A772841-0990-4D32-BD79-3A55F182D58A}" name="18" dataDxfId="80" totalsRowDxfId="35"/>
    <tableColumn id="13" xr3:uid="{5994AF1F-2C09-49F7-BEAE-5244545BE579}" name="19" dataDxfId="79" totalsRowDxfId="34"/>
    <tableColumn id="12" xr3:uid="{52D6369B-5841-4774-8BDE-05C74F09EAC1}" name="20" dataDxfId="78" totalsRowDxfId="33"/>
    <tableColumn id="31" xr3:uid="{C83E34E8-13E7-40AC-9737-31D4F44EA5C0}" name="21" dataDxfId="77" totalsRowDxfId="32"/>
    <tableColumn id="33" xr3:uid="{20040D15-F787-4792-8F8C-D184E466DD4A}" name="22" dataDxfId="76" totalsRowDxfId="31"/>
    <tableColumn id="39" xr3:uid="{874A0112-6044-4784-9336-AC836F681062}" name="23" dataDxfId="75" totalsRowDxfId="30"/>
    <tableColumn id="40" xr3:uid="{A335E465-437A-4DCA-AE73-6DBF20019402}" name="24" dataDxfId="74" totalsRowDxfId="29"/>
    <tableColumn id="41" xr3:uid="{723CE42E-61DF-4AF1-B805-025AD3796144}" name="25" dataDxfId="73" totalsRowDxfId="28"/>
    <tableColumn id="47" xr3:uid="{AC0C5112-91DB-476F-9326-03A00C1CC4D7}" name="26" dataDxfId="72" totalsRowDxfId="27"/>
    <tableColumn id="48" xr3:uid="{0CCD12DC-90CB-4A7B-B37F-0CDFD12C9E26}" name="27" dataDxfId="71" totalsRowDxfId="26"/>
    <tableColumn id="49" xr3:uid="{32093088-A6B1-4E81-8060-8081572AEB3C}" name="28" dataDxfId="70" totalsRowDxfId="25"/>
    <tableColumn id="50" xr3:uid="{E73E4046-D91C-4103-8FF5-CE3DABE5943E}" name="29" dataDxfId="69" totalsRowDxfId="24"/>
    <tableColumn id="42" xr3:uid="{7535B89E-1BDE-4FCD-8270-64B6BD553E66}" name="30" dataDxfId="68" totalsRowDxfId="23"/>
    <tableColumn id="43" xr3:uid="{0EF5131B-2964-41D8-8B4F-5CE8425A8E17}" name="31" dataDxfId="67" totalsRowDxfId="22"/>
    <tableColumn id="44" xr3:uid="{07794504-345E-44DA-BFFD-0FC011CA8C0C}" name="32" dataDxfId="66" totalsRowDxfId="21"/>
    <tableColumn id="45" xr3:uid="{742F74DB-184C-47F9-BC8D-88717E4EAAE9}" name="33" dataDxfId="65" totalsRowDxfId="20"/>
    <tableColumn id="46" xr3:uid="{6C4ACE81-DC94-4085-8445-2A590B8AC004}" name="34" dataDxfId="64" totalsRowDxfId="19"/>
    <tableColumn id="36" xr3:uid="{B8E7051A-604E-4DED-90C9-55AFE95C1751}" name="35" dataDxfId="63" totalsRowDxfId="18"/>
    <tableColumn id="37" xr3:uid="{D0A1BB8D-7A59-4F4C-9F61-A39E97785CEF}" name="36" dataDxfId="62" totalsRowDxfId="17"/>
    <tableColumn id="38" xr3:uid="{16A3E285-8C93-4999-A0E2-03857615F7A9}" name="37" dataDxfId="61" totalsRowDxfId="16"/>
    <tableColumn id="34" xr3:uid="{8FFD9156-81BC-4797-9171-05EBE094577A}" name="38" dataDxfId="60" totalsRowDxfId="15"/>
    <tableColumn id="35" xr3:uid="{399AED98-1FD4-4BCA-BA5E-1AF3891EC865}" name="39" dataDxfId="59" totalsRowDxfId="14"/>
    <tableColumn id="32" xr3:uid="{A8DF16A5-4D2C-4246-8D26-BA66F2E409B7}" name="40" dataDxfId="58" totalsRowDxfId="13"/>
    <tableColumn id="4" xr3:uid="{702BF576-18B9-4757-B976-A4C2C46CD578}" name="类型" dataDxfId="57" totalsRowDxfId="12"/>
    <tableColumn id="3" xr3:uid="{2DB9E3FB-FAB2-4AAE-92D3-3923415905C1}" name="时间" dataDxfId="56" totalsRowDxfId="11"/>
    <tableColumn id="7" xr3:uid="{09F84C56-CC9A-4AF7-B58F-B7114DD50367}" name="工号" dataDxfId="55" totalsRowDxfId="10"/>
    <tableColumn id="8" xr3:uid="{56756BBB-4B3E-40A7-A199-808B905113E1}" name="备注" dataDxfId="54" totalsRow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5" width="9.140625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29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0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1" t="s">
        <v>284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2" t="s">
        <v>249</v>
      </c>
      <c r="D8" s="50"/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250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285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6" t="s">
        <v>286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6" t="s">
        <v>268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6" t="s">
        <v>276</v>
      </c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39"/>
      <c r="E14" s="1"/>
      <c r="F14" s="2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2" t="s">
        <v>134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1"/>
    </row>
    <row r="16" spans="1:17" ht="39.950000000000003" customHeight="1" thickTop="1" x14ac:dyDescent="0.25">
      <c r="B16" s="1"/>
      <c r="C16" s="1">
        <v>1</v>
      </c>
      <c r="D16" s="1" t="s">
        <v>136</v>
      </c>
      <c r="E16" s="21" t="s">
        <v>137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1" t="s">
        <v>242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1" t="s">
        <v>263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240</v>
      </c>
      <c r="E19" s="21" t="s">
        <v>243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244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1" t="s">
        <v>264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277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1" t="s">
        <v>262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1" t="s">
        <v>261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1" t="s">
        <v>278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1" t="s">
        <v>295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1" t="s">
        <v>246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1" t="s">
        <v>237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1" t="s">
        <v>236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138</v>
      </c>
      <c r="E30" s="21" t="s">
        <v>279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238</v>
      </c>
      <c r="E31" s="21" t="s">
        <v>281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239</v>
      </c>
      <c r="E32" s="21" t="s">
        <v>280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1" t="s">
        <v>241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89</v>
      </c>
      <c r="E34" s="90">
        <v>1</v>
      </c>
      <c r="F34" s="91" t="s">
        <v>245</v>
      </c>
      <c r="G34" s="1"/>
      <c r="H34" s="90">
        <v>1</v>
      </c>
      <c r="I34" s="122" t="s">
        <v>299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0">
        <v>0</v>
      </c>
      <c r="F35" s="91" t="s">
        <v>84</v>
      </c>
      <c r="G35" s="1"/>
      <c r="H35" s="90">
        <v>0</v>
      </c>
      <c r="I35" s="122" t="s">
        <v>298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0">
        <v>-0.01</v>
      </c>
      <c r="F36" s="91" t="s">
        <v>85</v>
      </c>
      <c r="G36" s="1"/>
      <c r="H36" s="90">
        <v>-0.01</v>
      </c>
      <c r="I36" s="122" t="s">
        <v>300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259</v>
      </c>
      <c r="E37" s="21" t="s">
        <v>260</v>
      </c>
      <c r="F37" s="2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292</v>
      </c>
      <c r="E38" s="21" t="s">
        <v>293</v>
      </c>
      <c r="F38" s="2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2" t="s">
        <v>251</v>
      </c>
      <c r="D40" s="51"/>
      <c r="E40" s="50"/>
      <c r="F40" s="52"/>
      <c r="G40" s="50"/>
      <c r="H40" s="50"/>
      <c r="I40" s="50"/>
      <c r="J40" s="50"/>
      <c r="K40" s="50"/>
      <c r="L40" s="50"/>
      <c r="M40" s="50"/>
      <c r="N40" s="50"/>
      <c r="O40" s="50"/>
      <c r="P40" s="1"/>
    </row>
    <row r="41" spans="2:16" ht="39.75" customHeight="1" thickTop="1" x14ac:dyDescent="0.25">
      <c r="B41" s="1"/>
      <c r="C41" s="124">
        <v>1</v>
      </c>
      <c r="D41" s="46" t="s">
        <v>301</v>
      </c>
      <c r="E41" s="124"/>
      <c r="F41" s="123"/>
      <c r="G41" s="124"/>
      <c r="H41" s="124"/>
      <c r="I41" s="124"/>
      <c r="J41" s="124"/>
      <c r="K41" s="124"/>
      <c r="L41" s="124"/>
      <c r="M41" s="124"/>
      <c r="N41" s="124"/>
      <c r="O41" s="124"/>
      <c r="P41" s="1"/>
    </row>
    <row r="42" spans="2:16" ht="39.950000000000003" customHeight="1" x14ac:dyDescent="0.25">
      <c r="B42" s="1"/>
      <c r="C42" s="1">
        <v>0</v>
      </c>
      <c r="D42" s="46" t="s">
        <v>265</v>
      </c>
      <c r="E42" s="1"/>
      <c r="F42" s="2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3" t="s">
        <v>252</v>
      </c>
      <c r="E43" s="49"/>
      <c r="F43" s="49"/>
      <c r="G43" s="48"/>
      <c r="H43" s="48"/>
      <c r="I43" s="48"/>
      <c r="J43" s="48"/>
      <c r="K43" s="48"/>
      <c r="L43" s="48"/>
      <c r="M43" s="48"/>
      <c r="N43" s="48"/>
      <c r="O43" s="48"/>
      <c r="P43" s="1"/>
    </row>
    <row r="44" spans="2:16" ht="158.25" customHeight="1" x14ac:dyDescent="0.25">
      <c r="B44" s="1"/>
      <c r="C44" s="1"/>
      <c r="D44" s="39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39"/>
      <c r="E45" s="1"/>
      <c r="F45" s="2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3" t="s">
        <v>256</v>
      </c>
      <c r="E46" s="48"/>
      <c r="F46" s="49"/>
      <c r="G46" s="48"/>
      <c r="H46" s="48"/>
      <c r="I46" s="48"/>
      <c r="J46" s="48"/>
      <c r="K46" s="48"/>
      <c r="L46" s="48"/>
      <c r="M46" s="48"/>
      <c r="N46" s="48"/>
      <c r="O46" s="48"/>
      <c r="P46" s="1"/>
    </row>
    <row r="47" spans="2:16" ht="80.25" customHeight="1" x14ac:dyDescent="0.25">
      <c r="B47" s="1"/>
      <c r="C47" s="1"/>
      <c r="D47" s="39"/>
      <c r="E47" s="1"/>
      <c r="F47" s="2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39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257</v>
      </c>
      <c r="E49" s="48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82.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3" t="s">
        <v>253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39.950000000000003" customHeight="1" x14ac:dyDescent="0.25">
      <c r="B53" s="1"/>
      <c r="C53" s="1"/>
      <c r="D53" s="47" t="s">
        <v>254</v>
      </c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7" t="s">
        <v>255</v>
      </c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48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258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3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297</v>
      </c>
      <c r="H9" s="149" t="s">
        <v>225</v>
      </c>
      <c r="I9" s="149"/>
      <c r="J9" s="149"/>
      <c r="K9" s="150" t="s">
        <v>247</v>
      </c>
      <c r="L9" s="150"/>
      <c r="M9" s="150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296</v>
      </c>
      <c r="H10" s="28" t="s">
        <v>234</v>
      </c>
      <c r="I10" s="28" t="s">
        <v>266</v>
      </c>
      <c r="J10" s="28" t="s">
        <v>267</v>
      </c>
      <c r="K10" s="28" t="s">
        <v>223</v>
      </c>
      <c r="L10" s="28" t="s">
        <v>248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2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2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2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2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2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2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2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2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2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2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2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2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2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2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2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2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2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2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2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2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2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2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2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2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2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2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2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2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2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2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2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2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2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2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2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2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2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2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2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2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4" t="s">
        <v>305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5" t="s">
        <v>304</v>
      </c>
      <c r="E53" s="135" t="s">
        <v>305</v>
      </c>
      <c r="F53" s="135"/>
      <c r="G53" s="136"/>
      <c r="H53" s="136"/>
      <c r="I53" s="136"/>
      <c r="J53" s="136"/>
      <c r="K53" s="136"/>
      <c r="L53" s="136"/>
      <c r="M53" s="136"/>
    </row>
    <row r="54" spans="2:13" ht="39.950000000000003" customHeight="1" x14ac:dyDescent="0.25">
      <c r="B54" s="26"/>
      <c r="C54" s="27" t="s">
        <v>30</v>
      </c>
      <c r="D54" s="135"/>
      <c r="E54" s="135"/>
      <c r="F54" s="135"/>
      <c r="G54" s="136"/>
      <c r="H54" s="136"/>
      <c r="I54" s="136"/>
      <c r="J54" s="136"/>
      <c r="K54" s="136"/>
      <c r="L54" s="136"/>
      <c r="M54" s="136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270</v>
      </c>
      <c r="D58" s="69" t="s">
        <v>130</v>
      </c>
      <c r="E58" s="78" t="s">
        <v>275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220</v>
      </c>
      <c r="C62" s="27" t="s">
        <v>287</v>
      </c>
      <c r="D62" s="30" t="s">
        <v>235</v>
      </c>
      <c r="E62" s="30" t="s">
        <v>221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269</v>
      </c>
      <c r="C64" s="27" t="s">
        <v>227</v>
      </c>
      <c r="D64" s="134" t="s">
        <v>228</v>
      </c>
      <c r="E64" s="134" t="s">
        <v>229</v>
      </c>
      <c r="F64" s="134" t="s">
        <v>230</v>
      </c>
      <c r="G64" s="134" t="s">
        <v>271</v>
      </c>
      <c r="H64" s="134" t="s">
        <v>272</v>
      </c>
      <c r="I64" s="134" t="s">
        <v>273</v>
      </c>
      <c r="J64" s="134" t="s">
        <v>274</v>
      </c>
      <c r="K64" s="134"/>
      <c r="L64" s="134"/>
      <c r="M64" s="134"/>
    </row>
    <row r="65" spans="2:13" ht="39.950000000000003" customHeight="1" x14ac:dyDescent="0.25">
      <c r="B65" s="26"/>
      <c r="C65" s="27" t="s">
        <v>288</v>
      </c>
      <c r="D65" s="69" t="s">
        <v>129</v>
      </c>
      <c r="E65" s="78" t="s">
        <v>289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283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297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313</v>
      </c>
      <c r="D74" s="36"/>
      <c r="E74" s="36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8" customWidth="1"/>
    <col min="3" max="3" width="14.7109375" style="138" customWidth="1"/>
    <col min="4" max="4" width="15.7109375" style="138" customWidth="1"/>
    <col min="5" max="5" width="44.7109375" style="138" customWidth="1"/>
    <col min="6" max="6" width="5.7109375" style="139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146"/>
      <c r="B1" s="146"/>
      <c r="C1" s="146"/>
      <c r="D1" s="146"/>
      <c r="E1" s="146"/>
      <c r="F1" s="147"/>
      <c r="G1" s="146"/>
      <c r="H1" s="146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290</v>
      </c>
      <c r="D17" s="11" t="s">
        <v>305</v>
      </c>
      <c r="E17" s="33" t="s">
        <v>305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85725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7" customWidth="1"/>
    <col min="4" max="4" width="12.7109375" style="1" customWidth="1"/>
    <col min="5" max="5" width="20.7109375" style="1" customWidth="1"/>
    <col min="6" max="6" width="12.7109375" style="93" customWidth="1"/>
    <col min="7" max="7" width="12.7109375" style="96" customWidth="1"/>
    <col min="8" max="8" width="12.7109375" style="93" customWidth="1"/>
    <col min="9" max="9" width="26.7109375" style="94" customWidth="1"/>
    <col min="10" max="10" width="18.7109375" style="93" customWidth="1"/>
    <col min="11" max="11" width="28.7109375" style="106" customWidth="1"/>
    <col min="12" max="12" width="2.7109375" style="1" customWidth="1"/>
    <col min="13" max="16384" width="9.140625" style="1" hidden="1"/>
  </cols>
  <sheetData>
    <row r="1" spans="2:11" s="146" customFormat="1" ht="6" customHeight="1" x14ac:dyDescent="0.25"/>
    <row r="2" spans="2:11" s="2" customFormat="1" ht="54.95" customHeight="1" x14ac:dyDescent="0.25">
      <c r="B2" s="4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5"/>
      <c r="C4" s="3"/>
      <c r="D4" s="5"/>
      <c r="E4" s="5"/>
      <c r="F4" s="3"/>
      <c r="G4" s="3"/>
      <c r="H4" s="3"/>
      <c r="I4" s="3"/>
      <c r="J4" s="3"/>
      <c r="K4" s="3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6" t="s">
        <v>0</v>
      </c>
      <c r="C6" s="6" t="s">
        <v>3</v>
      </c>
      <c r="D6" s="6" t="s">
        <v>224</v>
      </c>
      <c r="E6" s="6" t="s">
        <v>41</v>
      </c>
      <c r="F6" s="6" t="s">
        <v>5</v>
      </c>
      <c r="G6" s="6" t="s">
        <v>222</v>
      </c>
      <c r="H6" s="6" t="s">
        <v>227</v>
      </c>
      <c r="I6" s="6" t="s">
        <v>4</v>
      </c>
      <c r="J6" s="6" t="s">
        <v>6</v>
      </c>
      <c r="K6" s="6" t="s">
        <v>7</v>
      </c>
    </row>
    <row r="7" spans="2:11" ht="39.950000000000003" customHeight="1" x14ac:dyDescent="0.25">
      <c r="B7" s="54" cm="1">
        <f t="array" ref="B7">SNGKI</f>
        <v>1</v>
      </c>
      <c r="C7" s="127" t="s">
        <v>306</v>
      </c>
      <c r="D7" s="56" t="str" cm="1">
        <f t="array" ref="D7">Get_Store_SN</f>
        <v>1</v>
      </c>
      <c r="E7" s="56" t="str" cm="1">
        <f t="array" ref="E7">Get_Store_Name</f>
        <v>1</v>
      </c>
      <c r="F7" s="55" t="s">
        <v>235</v>
      </c>
      <c r="G7" s="16"/>
      <c r="H7" s="19"/>
      <c r="I7" s="92">
        <v>45268.505555555559</v>
      </c>
      <c r="J7" s="55"/>
      <c r="K7" s="140" t="s">
        <v>294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9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9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2" customWidth="1"/>
    <col min="3" max="3" width="14.7109375" style="142" customWidth="1"/>
    <col min="4" max="4" width="15.7109375" style="142" customWidth="1"/>
    <col min="5" max="5" width="44.7109375" style="142" customWidth="1"/>
    <col min="6" max="6" width="5.7109375" style="141" customWidth="1"/>
    <col min="7" max="8" width="2.7109375" style="141" customWidth="1"/>
    <col min="9" max="16384" width="9.140625" style="141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290</v>
      </c>
      <c r="D21" s="67" t="s">
        <v>305</v>
      </c>
      <c r="E21" s="7" t="s">
        <v>305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2333625</xdr:colOff>
                    <xdr:row>1</xdr:row>
                    <xdr:rowOff>190500</xdr:rowOff>
                  </from>
                  <to>
                    <xdr:col>5</xdr:col>
                    <xdr:colOff>85725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1457325</xdr:colOff>
                    <xdr:row>1</xdr:row>
                    <xdr:rowOff>190500</xdr:rowOff>
                  </from>
                  <to>
                    <xdr:col>4</xdr:col>
                    <xdr:colOff>2190750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0" sqref="C10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4" customWidth="1"/>
    <col min="125" max="125" width="14.7109375" style="145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3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1" t="str">
        <f>设置!F11 &amp;" - 历史记录"</f>
        <v>1 - 历史记录</v>
      </c>
      <c r="F6" s="151"/>
      <c r="G6" s="100">
        <f>设置!F12</f>
        <v>2</v>
      </c>
      <c r="H6" s="152" t="str">
        <f>设置!F12 &amp;" - 历史记录"</f>
        <v>2 - 历史记录</v>
      </c>
      <c r="I6" s="152"/>
      <c r="J6" s="99">
        <f>设置!F13</f>
        <v>3</v>
      </c>
      <c r="K6" s="151" t="str">
        <f>设置!F13 &amp;" - 历史记录"</f>
        <v>3 - 历史记录</v>
      </c>
      <c r="L6" s="151"/>
      <c r="M6" s="100">
        <f>设置!F14</f>
        <v>4</v>
      </c>
      <c r="N6" s="152" t="str">
        <f>设置!F14 &amp;" - 历史记录"</f>
        <v>4 - 历史记录</v>
      </c>
      <c r="O6" s="152"/>
      <c r="P6" s="99">
        <f>设置!F15</f>
        <v>5</v>
      </c>
      <c r="Q6" s="151" t="str">
        <f>设置!F15 &amp;" - 历史记录"</f>
        <v>5 - 历史记录</v>
      </c>
      <c r="R6" s="151"/>
      <c r="S6" s="100">
        <f>设置!F16</f>
        <v>6</v>
      </c>
      <c r="T6" s="152" t="str">
        <f>设置!F16 &amp;" - 历史记录"</f>
        <v>6 - 历史记录</v>
      </c>
      <c r="U6" s="152"/>
      <c r="V6" s="99">
        <f>设置!F17</f>
        <v>7</v>
      </c>
      <c r="W6" s="151" t="str">
        <f>设置!F17 &amp;" - 历史记录"</f>
        <v>7 - 历史记录</v>
      </c>
      <c r="X6" s="151"/>
      <c r="Y6" s="100">
        <f>设置!F18</f>
        <v>8</v>
      </c>
      <c r="Z6" s="152" t="str">
        <f>设置!F18 &amp;" - 历史记录"</f>
        <v>8 - 历史记录</v>
      </c>
      <c r="AA6" s="152"/>
      <c r="AB6" s="99">
        <f>设置!F19</f>
        <v>9</v>
      </c>
      <c r="AC6" s="151" t="str">
        <f>设置!F19 &amp;" - 历史记录"</f>
        <v>9 - 历史记录</v>
      </c>
      <c r="AD6" s="151"/>
      <c r="AE6" s="100">
        <f>设置!F20</f>
        <v>10</v>
      </c>
      <c r="AF6" s="152" t="str">
        <f>设置!F20 &amp;" - 历史记录"</f>
        <v>10 - 历史记录</v>
      </c>
      <c r="AG6" s="152"/>
      <c r="AH6" s="99">
        <f>设置!F21</f>
        <v>11</v>
      </c>
      <c r="AI6" s="151" t="str">
        <f>设置!F21 &amp;" - 历史记录"</f>
        <v>11 - 历史记录</v>
      </c>
      <c r="AJ6" s="151"/>
      <c r="AK6" s="100">
        <f>设置!F22</f>
        <v>12</v>
      </c>
      <c r="AL6" s="152" t="str">
        <f>设置!F22 &amp;" - 历史记录"</f>
        <v>12 - 历史记录</v>
      </c>
      <c r="AM6" s="152"/>
      <c r="AN6" s="99">
        <f>设置!F23</f>
        <v>13</v>
      </c>
      <c r="AO6" s="151" t="str">
        <f>设置!F23 &amp;" - 历史记录"</f>
        <v>13 - 历史记录</v>
      </c>
      <c r="AP6" s="151"/>
      <c r="AQ6" s="100">
        <f>设置!F24</f>
        <v>14</v>
      </c>
      <c r="AR6" s="152" t="str">
        <f>设置!F24 &amp;" - 历史记录"</f>
        <v>14 - 历史记录</v>
      </c>
      <c r="AS6" s="152"/>
      <c r="AT6" s="99">
        <f>设置!F25</f>
        <v>15</v>
      </c>
      <c r="AU6" s="151" t="str">
        <f>设置!F25 &amp;" - 历史记录"</f>
        <v>15 - 历史记录</v>
      </c>
      <c r="AV6" s="151"/>
      <c r="AW6" s="100">
        <f>设置!F26</f>
        <v>16</v>
      </c>
      <c r="AX6" s="152" t="str">
        <f>设置!F26 &amp;" - 历史记录"</f>
        <v>16 - 历史记录</v>
      </c>
      <c r="AY6" s="152"/>
      <c r="AZ6" s="99">
        <f>设置!F27</f>
        <v>17</v>
      </c>
      <c r="BA6" s="151" t="str">
        <f>设置!F27 &amp;" - 历史记录"</f>
        <v>17 - 历史记录</v>
      </c>
      <c r="BB6" s="151"/>
      <c r="BC6" s="100">
        <f>设置!F28</f>
        <v>18</v>
      </c>
      <c r="BD6" s="152" t="str">
        <f>设置!F28 &amp;" - 历史记录"</f>
        <v>18 - 历史记录</v>
      </c>
      <c r="BE6" s="152"/>
      <c r="BF6" s="99">
        <f>设置!F29</f>
        <v>19</v>
      </c>
      <c r="BG6" s="151" t="str">
        <f>设置!F29 &amp;" - 历史记录"</f>
        <v>19 - 历史记录</v>
      </c>
      <c r="BH6" s="151"/>
      <c r="BI6" s="100">
        <f>设置!F30</f>
        <v>20</v>
      </c>
      <c r="BJ6" s="152" t="str">
        <f>设置!F30 &amp;" - 历史记录"</f>
        <v>20 - 历史记录</v>
      </c>
      <c r="BK6" s="152"/>
      <c r="BL6" s="101">
        <f>设置!F31</f>
        <v>21</v>
      </c>
      <c r="BM6" s="153" t="str">
        <f>设置!F31 &amp;" - 历史记录"</f>
        <v>21 - 历史记录</v>
      </c>
      <c r="BN6" s="153"/>
      <c r="BO6" s="100">
        <f>设置!F32</f>
        <v>22</v>
      </c>
      <c r="BP6" s="152" t="str">
        <f>设置!F32 &amp;" - 历史记录"</f>
        <v>22 - 历史记录</v>
      </c>
      <c r="BQ6" s="152"/>
      <c r="BR6" s="101">
        <f>设置!F33</f>
        <v>23</v>
      </c>
      <c r="BS6" s="153" t="str">
        <f>设置!F33 &amp;" - 历史记录"</f>
        <v>23 - 历史记录</v>
      </c>
      <c r="BT6" s="153"/>
      <c r="BU6" s="100">
        <f>设置!F34</f>
        <v>24</v>
      </c>
      <c r="BV6" s="152" t="str">
        <f>设置!F34 &amp;" - 历史记录"</f>
        <v>24 - 历史记录</v>
      </c>
      <c r="BW6" s="152"/>
      <c r="BX6" s="101">
        <f>设置!F35</f>
        <v>25</v>
      </c>
      <c r="BY6" s="153" t="str">
        <f>设置!F35 &amp;" - 历史记录"</f>
        <v>25 - 历史记录</v>
      </c>
      <c r="BZ6" s="153"/>
      <c r="CA6" s="100">
        <f>设置!F36</f>
        <v>26</v>
      </c>
      <c r="CB6" s="152" t="str">
        <f>设置!F36 &amp;" - 历史记录"</f>
        <v>26 - 历史记录</v>
      </c>
      <c r="CC6" s="152"/>
      <c r="CD6" s="101">
        <f>设置!F37</f>
        <v>27</v>
      </c>
      <c r="CE6" s="153" t="str">
        <f>设置!F37 &amp;" - 历史记录"</f>
        <v>27 - 历史记录</v>
      </c>
      <c r="CF6" s="153"/>
      <c r="CG6" s="100">
        <f>设置!F38</f>
        <v>28</v>
      </c>
      <c r="CH6" s="152" t="str">
        <f>设置!F38 &amp;" - 历史记录"</f>
        <v>28 - 历史记录</v>
      </c>
      <c r="CI6" s="152"/>
      <c r="CJ6" s="101">
        <f>设置!F39</f>
        <v>29</v>
      </c>
      <c r="CK6" s="153" t="str">
        <f>设置!F39 &amp;" - 历史记录"</f>
        <v>29 - 历史记录</v>
      </c>
      <c r="CL6" s="153"/>
      <c r="CM6" s="100">
        <f>设置!F40</f>
        <v>30</v>
      </c>
      <c r="CN6" s="152" t="str">
        <f>设置!F40 &amp;" - 历史记录"</f>
        <v>30 - 历史记录</v>
      </c>
      <c r="CO6" s="152"/>
      <c r="CP6" s="101">
        <f>设置!F41</f>
        <v>31</v>
      </c>
      <c r="CQ6" s="153" t="str">
        <f>设置!F41 &amp;" - 历史记录"</f>
        <v>31 - 历史记录</v>
      </c>
      <c r="CR6" s="153"/>
      <c r="CS6" s="100">
        <f>设置!F42</f>
        <v>32</v>
      </c>
      <c r="CT6" s="152" t="str">
        <f>设置!F42 &amp;" - 历史记录"</f>
        <v>32 - 历史记录</v>
      </c>
      <c r="CU6" s="152"/>
      <c r="CV6" s="101">
        <f>设置!F43</f>
        <v>33</v>
      </c>
      <c r="CW6" s="153" t="str">
        <f>设置!F43 &amp;" - 历史记录"</f>
        <v>33 - 历史记录</v>
      </c>
      <c r="CX6" s="153"/>
      <c r="CY6" s="100">
        <f>设置!F44</f>
        <v>34</v>
      </c>
      <c r="CZ6" s="152" t="str">
        <f>设置!F44 &amp;" - 历史记录"</f>
        <v>34 - 历史记录</v>
      </c>
      <c r="DA6" s="152"/>
      <c r="DB6" s="101">
        <f>设置!F45</f>
        <v>35</v>
      </c>
      <c r="DC6" s="153" t="str">
        <f>设置!F45 &amp;" - 历史记录"</f>
        <v>35 - 历史记录</v>
      </c>
      <c r="DD6" s="153"/>
      <c r="DE6" s="100">
        <f>设置!F46</f>
        <v>36</v>
      </c>
      <c r="DF6" s="152" t="str">
        <f>设置!F46 &amp;" - 历史记录"</f>
        <v>36 - 历史记录</v>
      </c>
      <c r="DG6" s="152"/>
      <c r="DH6" s="101">
        <f>设置!F47</f>
        <v>37</v>
      </c>
      <c r="DI6" s="153" t="str">
        <f>设置!F47 &amp;" - 历史记录"</f>
        <v>37 - 历史记录</v>
      </c>
      <c r="DJ6" s="153"/>
      <c r="DK6" s="100">
        <f>设置!F48</f>
        <v>38</v>
      </c>
      <c r="DL6" s="152" t="str">
        <f>设置!F48 &amp;" - 历史记录"</f>
        <v>38 - 历史记录</v>
      </c>
      <c r="DM6" s="152"/>
      <c r="DN6" s="101">
        <f>设置!F49</f>
        <v>39</v>
      </c>
      <c r="DO6" s="153" t="str">
        <f>设置!F49 &amp;" - 历史记录"</f>
        <v>39 - 历史记录</v>
      </c>
      <c r="DP6" s="153"/>
      <c r="DQ6" s="100">
        <f>设置!F50</f>
        <v>40</v>
      </c>
      <c r="DR6" s="152" t="str">
        <f>设置!F50 &amp;" - 历史记录"</f>
        <v>40 - 历史记录</v>
      </c>
      <c r="DS6" s="152"/>
      <c r="DT6" s="151" t="s">
        <v>72</v>
      </c>
      <c r="DU6" s="151"/>
      <c r="DV6" s="151"/>
      <c r="DW6" s="151"/>
      <c r="DX6" s="151"/>
      <c r="DY6" s="151" t="s">
        <v>88</v>
      </c>
      <c r="DZ6" s="151"/>
      <c r="EA6" s="151"/>
      <c r="EB6" s="151" t="s">
        <v>291</v>
      </c>
      <c r="EC6" s="151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307</v>
      </c>
      <c r="DZ9" s="74" t="s">
        <v>282</v>
      </c>
      <c r="EA9" s="74" t="s">
        <v>127</v>
      </c>
      <c r="EB9" s="92">
        <v>45268.505555555559</v>
      </c>
      <c r="EC9" s="113"/>
      <c r="ED9" s="140" t="s">
        <v>311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302</v>
      </c>
      <c r="DU10" s="73" t="s">
        <v>303</v>
      </c>
      <c r="DV10" s="74" t="s">
        <v>11</v>
      </c>
      <c r="DW10" s="74" t="s">
        <v>127</v>
      </c>
      <c r="DX10" s="55"/>
      <c r="DY10" s="74" t="s">
        <v>308</v>
      </c>
      <c r="DZ10" s="74"/>
      <c r="EA10" s="74"/>
      <c r="EB10" s="92">
        <v>45268.505555555559</v>
      </c>
      <c r="EC10" s="113"/>
      <c r="ED10" s="140" t="s">
        <v>311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/>
    <col min="51" max="51" width="20.7109375" style="61" hidden="1"/>
    <col min="52" max="52" width="0" style="61" hidden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1" t="s">
        <v>83</v>
      </c>
      <c r="AS6" s="151"/>
      <c r="AT6" s="151"/>
      <c r="AU6" s="151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310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312</v>
      </c>
    </row>
    <row r="10" spans="2:47" ht="39.950000000000003" customHeight="1" x14ac:dyDescent="0.25">
      <c r="B10" s="54" cm="1">
        <f t="array" ref="B10">SN</f>
        <v>2</v>
      </c>
      <c r="C10" s="127" t="s">
        <v>309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312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2023-12-12T16:23:17Z</cp:lastPrinted>
  <dcterms:created xsi:type="dcterms:W3CDTF">2023-11-27T09:49:08Z</dcterms:created>
  <dcterms:modified xsi:type="dcterms:W3CDTF">2023-12-12T16:58:30Z</dcterms:modified>
</cp:coreProperties>
</file>