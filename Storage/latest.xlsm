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6F70BA6D-C29A-4D21-A09A-556B9C5FBC7F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设置!$D$62:$E$62</definedName>
    <definedName name="Get_Staff_Member">设置!$D$53:$M$53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E9" i="9"/>
  <c r="E8" i="9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D7" i="4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M11" i="1" l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<sst xmlns="http://schemas.openxmlformats.org/spreadsheetml/2006/main" count="379" uniqueCount="314">
  <si>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</si>
  <si>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</si>
  <si>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</si>
  <si>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</si>
  <si>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</si>
  <si>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</si>
  <si>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</si>
  <si>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</si>
  <si>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</si>
  <si>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</si>
  <si>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</si>
  <si>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</si>
  <si>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</si>
  <si>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</si>
  <si>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</si>
  <si>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</si>
  <si>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</si>
  <si>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</si>
  <si>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</si>
  <si>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</si>
  <si>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</si>
  <si>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</si>
  <si>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</si>
  <si>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</si>
  <si>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</si>
  <si>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</si>
  <si>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</si>
  <si>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</si>
  <si>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</si>
  <si>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</si>
  <si>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</si>
  <si>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</si>
  <si>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</si>
  <si>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</si>
  <si>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</si>
  <si>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</si>
  <si>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</si>
  <si>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</si>
  <si>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</si>
  <si>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</si>
  <si>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</si>
  <si>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</si>
  <si>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</si>
  <si>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</si>
  <si>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</si>
  <si>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</si>
  <si>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</si>
  <si>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</si>
  <si>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</si>
  <si>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</si>
  <si>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</si>
  <si>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</si>
  <si>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</si>
  <si>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</si>
  <si>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</si>
  <si>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</si>
  <si>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</si>
  <si>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</si>
  <si>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</si>
  <si>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</si>
  <si>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</si>
  <si>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</si>
  <si>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</si>
  <si>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</si>
  <si>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</si>
  <si>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</si>
  <si>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</si>
  <si>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</si>
  <si>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</si>
  <si>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</si>
  <si>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</si>
  <si>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</si>
  <si>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</si>
  <si>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</si>
  <si>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</si>
  <si>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</si>
  <si>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</si>
  <si>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</si>
  <si>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</si>
  <si>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</si>
  <si>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</si>
  <si>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</si>
  <si>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</si>
  <si>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</si>
  <si>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</si>
  <si>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</si>
  <si>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</si>
  <si>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</si>
  <si>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</si>
  <si>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</si>
  <si>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</si>
  <si>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</si>
  <si>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</si>
  <si>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</si>
  <si>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</si>
  <si>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</si>
  <si>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</si>
  <si>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</si>
  <si>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</si>
  <si>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</si>
  <si>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</si>
  <si>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</si>
  <si>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</si>
  <si>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</si>
  <si>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</si>
  <si>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</si>
  <si>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</si>
  <si>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</si>
  <si>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</si>
  <si>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</si>
  <si>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</si>
  <si>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</si>
  <si>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</si>
  <si>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</si>
  <si>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</si>
  <si>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</si>
  <si>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</si>
  <si>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</si>
  <si>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</si>
  <si>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</si>
  <si>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</si>
  <si>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</si>
  <si>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</si>
  <si>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</si>
  <si>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</si>
  <si>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</si>
  <si>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</si>
  <si>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</si>
  <si>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</si>
  <si>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</si>
  <si>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</si>
  <si>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</si>
  <si>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</si>
  <si>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</si>
  <si>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</si>
  <si>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</si>
  <si>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</si>
  <si>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</si>
  <si>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</si>
  <si>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</si>
  <si>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</si>
  <si>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</si>
  <si>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</si>
  <si>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</si>
  <si>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</si>
  <si>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</si>
  <si>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</si>
  <si>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</si>
  <si>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</si>
  <si>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</si>
  <si>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</si>
  <si>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</si>
  <si>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</si>
  <si>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</si>
  <si>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</si>
  <si>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</si>
  <si>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</si>
  <si>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</si>
  <si>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</si>
  <si>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</si>
  <si>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</si>
  <si>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</si>
  <si>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</si>
  <si>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</si>
  <si>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</si>
  <si>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</si>
  <si>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</si>
  <si>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</si>
  <si>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</si>
  <si>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</si>
  <si>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</si>
  <si>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</si>
  <si>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</si>
  <si>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</si>
  <si>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</si>
  <si>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</si>
  <si>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</si>
  <si>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</si>
  <si>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</si>
  <si>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</si>
  <si>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</si>
  <si>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</si>
  <si>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</si>
  <si>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</si>
  <si>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</si>
  <si>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</si>
  <si>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</si>
  <si>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</si>
  <si>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</si>
  <si>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</si>
  <si>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</si>
  <si>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</si>
  <si>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</si>
  <si>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</si>
  <si>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</si>
  <si>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</si>
  <si>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</si>
  <si>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</si>
  <si>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</si>
  <si>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</si>
  <si>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</si>
  <si>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</si>
  <si>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</si>
  <si>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</si>
  <si>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</si>
  <si>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</si>
  <si>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</si>
  <si>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</si>
  <si>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</si>
  <si>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</si>
  <si>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</si>
  <si>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</si>
  <si>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</si>
  <si>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</si>
  <si>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</si>
  <si>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</si>
  <si>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</si>
  <si>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</si>
  <si>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</si>
  <si>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</si>
  <si>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</si>
  <si>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</si>
  <si>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</si>
  <si>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</si>
  <si>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</si>
  <si>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</si>
  <si>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</si>
  <si>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</si>
  <si>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</si>
  <si>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</si>
  <si>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</si>
  <si>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</si>
  <si>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</si>
  <si>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</si>
  <si>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</si>
  <si>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</si>
  <si>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</si>
  <si>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</si>
  <si>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</si>
  <si>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</si>
  <si>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</si>
  <si>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</si>
  <si>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</si>
  <si>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</si>
  <si>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</si>
  <si>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</si>
  <si>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</si>
  <si>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</si>
  <si>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</si>
  <si>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</si>
  <si>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</si>
  <si>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</si>
  <si>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</si>
  <si>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</si>
  <si>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</si>
  <si>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</si>
  <si>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</si>
  <si>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</si>
  <si>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</si>
  <si>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</si>
  <si>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</si>
  <si>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</si>
  <si>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</si>
  <si>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</si>
  <si>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</si>
  <si>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</si>
  <si>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</si>
  <si>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</si>
  <si>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</si>
  <si>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</si>
  <si>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</si>
  <si>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</si>
  <si>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</si>
  <si>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</si>
  <si>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</si>
  <si>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</si>
  <si>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</si>
  <si>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</si>
  <si>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</si>
  <si>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</si>
  <si>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</si>
  <si>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</si>
  <si>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</si>
  <si>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</si>
  <si>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</si>
  <si>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</si>
  <si>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</si>
  <si>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</si>
  <si>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</si>
  <si>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</si>
  <si>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v1.6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</si>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</sst>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2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2" fillId="2" borderId="2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39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2</xdr:col>
      <xdr:colOff>709494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49</xdr:row>
      <xdr:rowOff>87923</xdr:rowOff>
    </xdr:from>
    <xdr:to>
      <xdr:col>9</xdr:col>
      <xdr:colOff>375891</xdr:colOff>
      <xdr:row>49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60</xdr:row>
      <xdr:rowOff>57978</xdr:rowOff>
    </xdr:from>
    <xdr:to>
      <xdr:col>11</xdr:col>
      <xdr:colOff>29162</xdr:colOff>
      <xdr:row>60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387" y="29423553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52</xdr:row>
      <xdr:rowOff>16565</xdr:rowOff>
    </xdr:from>
    <xdr:to>
      <xdr:col>14</xdr:col>
      <xdr:colOff>795636</xdr:colOff>
      <xdr:row>52</xdr:row>
      <xdr:rowOff>998297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470" y="24848240"/>
          <a:ext cx="7424941" cy="981732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55</xdr:row>
      <xdr:rowOff>31748</xdr:rowOff>
    </xdr:from>
    <xdr:to>
      <xdr:col>7</xdr:col>
      <xdr:colOff>509918</xdr:colOff>
      <xdr:row>55</xdr:row>
      <xdr:rowOff>994417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549" y="26635073"/>
          <a:ext cx="2868944" cy="962669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48</xdr:row>
      <xdr:rowOff>124243</xdr:rowOff>
    </xdr:from>
    <xdr:to>
      <xdr:col>3</xdr:col>
      <xdr:colOff>254625</xdr:colOff>
      <xdr:row>48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51</xdr:row>
      <xdr:rowOff>140805</xdr:rowOff>
    </xdr:from>
    <xdr:to>
      <xdr:col>3</xdr:col>
      <xdr:colOff>254625</xdr:colOff>
      <xdr:row>51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54</xdr:row>
      <xdr:rowOff>132521</xdr:rowOff>
    </xdr:from>
    <xdr:to>
      <xdr:col>3</xdr:col>
      <xdr:colOff>254625</xdr:colOff>
      <xdr:row>54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57</xdr:row>
      <xdr:rowOff>132521</xdr:rowOff>
    </xdr:from>
    <xdr:to>
      <xdr:col>3</xdr:col>
      <xdr:colOff>254625</xdr:colOff>
      <xdr:row>57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9" dataDxfId="388">
  <autoFilter ref="D10:M50" xr:uid="{11A03F84-0665-49F1-9984-7E2CA5A905D1}"/>
  <tableColumns count="10">
    <tableColumn id="10" xr3:uid="{E7ABD066-9CFB-4687-B84E-A1A9030FB071}" name="唯一识别码" dataDxfId="38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6"/>
    <tableColumn id="2" xr3:uid="{C28244F3-482D-4CFC-B629-A29496B98C0B}" name="商品名称" dataDxfId="385"/>
    <tableColumn id="11" xr3:uid="{71958388-9C14-426E-8457-DCEA92BC0E87}" name="负差" dataDxfId="384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83">
      <calculatedColumnFormula>SUM(UserInfo[1 - 剩余])</calculatedColumnFormula>
    </tableColumn>
    <tableColumn id="7" xr3:uid="{75829BDD-5513-4744-8184-35AE3788771C}" name="已存入" dataDxfId="382">
      <calculatedColumnFormula>SUM(UserInfo[1 - 存入])</calculatedColumnFormula>
    </tableColumn>
    <tableColumn id="6" xr3:uid="{B71F91EB-0024-4EC1-8035-3636C31B3740}" name="已支取" dataDxfId="381">
      <calculatedColumnFormula>SUM(UserInfo[1 - 支取])</calculatedColumnFormula>
    </tableColumn>
    <tableColumn id="5" xr3:uid="{6E4E3255-2204-43C6-A50C-EEAF08580A14}" name="库存负差" dataDxfId="380">
      <calculatedColumnFormula>Store_Setting[[#This Row],[入库小计]]-Store_Setting[[#This Row],[取货小计]]</calculatedColumnFormula>
    </tableColumn>
    <tableColumn id="9" xr3:uid="{7DA9A308-8441-49E3-B1B4-6AF7A14784F7}" name="入库小计" dataDxfId="37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7" dataDxfId="366" totalsRowDxfId="365">
  <autoFilter ref="B8:ED10" xr:uid="{ADAB6017-62AE-4ECA-A153-D815FED82043}"/>
  <tableColumns count="133">
    <tableColumn id="1" xr3:uid="{69B39378-5DEE-4683-8063-2D1E5E369E67}" name="序号" totalsRowLabel="Total" dataDxfId="364" totalsRowDxfId="363">
      <calculatedColumnFormula array="1">SN</calculatedColumnFormula>
    </tableColumn>
    <tableColumn id="5" xr3:uid="{35BA10B8-A444-4F80-8F55-6146540C5A57}" name="唯一识别码" dataDxfId="362" totalsRowDxfId="361">
      <calculatedColumnFormula array="1">GUID</calculatedColumnFormula>
    </tableColumn>
    <tableColumn id="6" xr3:uid="{8A3791BE-D142-4B77-980F-0E769FF1CE0E}" name="1 - 剩余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余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余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余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余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余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余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余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余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余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余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余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余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余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余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余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余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余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余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余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余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余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余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余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余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余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余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余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余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余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余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余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余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余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余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余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余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余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余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余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别" dataDxfId="118" totalsRowDxfId="117"/>
    <tableColumn id="23" xr3:uid="{AABD28F8-91AC-4EA0-915D-2F3C990C193D}" name="身份证号码" dataDxfId="116" totalsRowDxfId="115"/>
    <tableColumn id="24" xr3:uid="{14505223-157D-4FB0-A334-A4E4687523F8}" name="年龄" dataDxfId="114" totalsRowDxfId="113"/>
    <tableColumn id="4" xr3:uid="{B39F2860-CADF-40CB-832A-CCDE8501D7E3}" name="电话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添加会员时间" dataDxfId="107" totalsRowDxfId="106"/>
    <tableColumn id="22" xr3:uid="{8DAD451D-44A8-40A3-A244-DDF540273F95}" name="添加会员工号" dataDxfId="105" totalsRowDxfId="104"/>
    <tableColumn id="12" xr3:uid="{A8D286B9-575E-4C05-8F77-63C322A43E3C}" name="备注" totalsRowFunction="count" dataDxfId="103" totalsRowDxfId="102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101" dataDxfId="100">
  <autoFilter ref="B8:AU10" xr:uid="{B82E5E9F-8725-4EAF-B9F2-1889C4CE31C6}"/>
  <tableColumns count="46">
    <tableColumn id="1" xr3:uid="{B2E2102C-8F4D-4C47-9CD3-463EA2BB39CA}" name="序号" dataDxfId="99" totalsRowDxfId="98">
      <calculatedColumnFormula array="1">SN</calculatedColumnFormula>
    </tableColumn>
    <tableColumn id="2" xr3:uid="{B2493920-5E1A-4FDC-9855-B9542A099E48}" name="唯一识别码" dataDxfId="97" totalsRowDxfId="96"/>
    <tableColumn id="5" xr3:uid="{5B86D5AB-C839-4645-A1C3-6DB8BE627282}" name="1" dataDxfId="95" totalsRowDxfId="94"/>
    <tableColumn id="6" xr3:uid="{D0DA84C9-F1D2-46E3-B7CE-A8366D8983EB}" name="2" dataDxfId="93" totalsRowDxfId="92"/>
    <tableColumn id="18" xr3:uid="{9E40E7FF-8010-4EF5-8D65-05F090D03F3E}" name="3" dataDxfId="91" totalsRowDxfId="90"/>
    <tableColumn id="21" xr3:uid="{5F083938-0DC4-423F-A299-44247D468027}" name="4" dataDxfId="89" totalsRowDxfId="88"/>
    <tableColumn id="22" xr3:uid="{24908B7A-CF9B-4D63-9022-D399C13A94C1}" name="5" dataDxfId="87" totalsRowDxfId="86"/>
    <tableColumn id="19" xr3:uid="{BEB80215-8B61-4914-86E2-724F4F55059E}" name="6" dataDxfId="85" totalsRowDxfId="84"/>
    <tableColumn id="20" xr3:uid="{E54DF6BD-FDB6-4958-9792-37D84186C5F8}" name="7" dataDxfId="83" totalsRowDxfId="82"/>
    <tableColumn id="17" xr3:uid="{3C5E9469-24AB-4CCF-9097-5413D53FE08B}" name="8" dataDxfId="81" totalsRowDxfId="80"/>
    <tableColumn id="25" xr3:uid="{DF31ADD6-D425-448A-84D6-24EA4C755749}" name="9" dataDxfId="79" totalsRowDxfId="78"/>
    <tableColumn id="24" xr3:uid="{C42F8972-B742-4D35-A952-3D872596299B}" name="10" dataDxfId="77" totalsRowDxfId="76"/>
    <tableColumn id="23" xr3:uid="{B41C44E2-038E-439D-88E8-97ACB7CC434D}" name="11" dataDxfId="75" totalsRowDxfId="74"/>
    <tableColumn id="16" xr3:uid="{6BD74C15-D3CF-47C3-AFCC-D562BF1584D8}" name="12" dataDxfId="73" totalsRowDxfId="72"/>
    <tableColumn id="26" xr3:uid="{3AA81C31-DC87-4EC0-8317-62466BCA688D}" name="13" dataDxfId="71" totalsRowDxfId="70"/>
    <tableColumn id="29" xr3:uid="{C0462957-AD6C-4B5C-8DE8-98D81D3496D1}" name="14" dataDxfId="69" totalsRowDxfId="68"/>
    <tableColumn id="30" xr3:uid="{91E73BB4-A5D3-4098-ADFA-7676E1DD74AC}" name="15" dataDxfId="67" totalsRowDxfId="66"/>
    <tableColumn id="27" xr3:uid="{7188DC63-0EDC-479C-8DF8-171846E035A9}" name="16" dataDxfId="65" totalsRowDxfId="64"/>
    <tableColumn id="28" xr3:uid="{902017B5-4692-492C-9165-FFBAA7A9EFA2}" name="17" dataDxfId="63" totalsRowDxfId="62"/>
    <tableColumn id="15" xr3:uid="{3A772841-0990-4D32-BD79-3A55F182D58A}" name="18" dataDxfId="61" totalsRowDxfId="60"/>
    <tableColumn id="13" xr3:uid="{5994AF1F-2C09-49F7-BEAE-5244545BE579}" name="19" dataDxfId="59" totalsRowDxfId="58"/>
    <tableColumn id="12" xr3:uid="{52D6369B-5841-4774-8BDE-05C74F09EAC1}" name="20" dataDxfId="57" totalsRowDxfId="56"/>
    <tableColumn id="31" xr3:uid="{C83E34E8-13E7-40AC-9737-31D4F44EA5C0}" name="21" dataDxfId="55" totalsRowDxfId="54"/>
    <tableColumn id="33" xr3:uid="{20040D15-F787-4792-8F8C-D184E466DD4A}" name="22" dataDxfId="53" totalsRowDxfId="52"/>
    <tableColumn id="39" xr3:uid="{874A0112-6044-4784-9336-AC836F681062}" name="23" dataDxfId="51" totalsRowDxfId="50"/>
    <tableColumn id="40" xr3:uid="{A335E465-437A-4DCA-AE73-6DBF20019402}" name="24" dataDxfId="49" totalsRowDxfId="48"/>
    <tableColumn id="41" xr3:uid="{723CE42E-61DF-4AF1-B805-025AD3796144}" name="25" dataDxfId="47" totalsRowDxfId="46"/>
    <tableColumn id="47" xr3:uid="{AC0C5112-91DB-476F-9326-03A00C1CC4D7}" name="26" dataDxfId="45" totalsRowDxfId="44"/>
    <tableColumn id="48" xr3:uid="{0CCD12DC-90CB-4A7B-B37F-0CDFD12C9E26}" name="27" dataDxfId="43" totalsRowDxfId="42"/>
    <tableColumn id="49" xr3:uid="{32093088-A6B1-4E81-8060-8081572AEB3C}" name="28" dataDxfId="41" totalsRowDxfId="40"/>
    <tableColumn id="50" xr3:uid="{E73E4046-D91C-4103-8FF5-CE3DABE5943E}" name="29" dataDxfId="39" totalsRowDxfId="38"/>
    <tableColumn id="42" xr3:uid="{7535B89E-1BDE-4FCD-8270-64B6BD553E66}" name="30" dataDxfId="37" totalsRowDxfId="36"/>
    <tableColumn id="43" xr3:uid="{0EF5131B-2964-41D8-8B4F-5CE8425A8E17}" name="31" dataDxfId="35" totalsRowDxfId="34"/>
    <tableColumn id="44" xr3:uid="{07794504-345E-44DA-BFFD-0FC011CA8C0C}" name="32" dataDxfId="33" totalsRowDxfId="32"/>
    <tableColumn id="45" xr3:uid="{742F74DB-184C-47F9-BC8D-88717E4EAAE9}" name="33" dataDxfId="31" totalsRowDxfId="30"/>
    <tableColumn id="46" xr3:uid="{6C4ACE81-DC94-4085-8445-2A590B8AC004}" name="34" dataDxfId="29" totalsRowDxfId="28"/>
    <tableColumn id="36" xr3:uid="{B8E7051A-604E-4DED-90C9-55AFE95C1751}" name="35" dataDxfId="27" totalsRowDxfId="26"/>
    <tableColumn id="37" xr3:uid="{D0A1BB8D-7A59-4F4C-9F61-A39E97785CEF}" name="36" dataDxfId="25" totalsRowDxfId="24"/>
    <tableColumn id="38" xr3:uid="{16A3E285-8C93-4999-A0E2-03857615F7A9}" name="37" dataDxfId="23" totalsRowDxfId="22"/>
    <tableColumn id="34" xr3:uid="{8FFD9156-81BC-4797-9171-05EBE094577A}" name="38" dataDxfId="21" totalsRowDxfId="20"/>
    <tableColumn id="35" xr3:uid="{399AED98-1FD4-4BCA-BA5E-1AF3891EC865}" name="39" dataDxfId="19" totalsRowDxfId="18"/>
    <tableColumn id="32" xr3:uid="{A8DF16A5-4D2C-4246-8D26-BA66F2E409B7}" name="40" dataDxfId="17" totalsRowDxfId="16"/>
    <tableColumn id="4" xr3:uid="{702BF576-18B9-4757-B976-A4C2C46CD578}" name="类型" dataDxfId="15" totalsRowDxfId="14"/>
    <tableColumn id="3" xr3:uid="{2DB9E3FB-FAB2-4AAE-92D3-3923415905C1}" name="时间" dataDxfId="13" totalsRowDxfId="12"/>
    <tableColumn id="7" xr3:uid="{09F84C56-CC9A-4AF7-B58F-B7114DD50367}" name="工号" dataDxfId="11" totalsRowDxfId="10"/>
    <tableColumn id="8" xr3:uid="{56756BBB-4B3E-40A7-A199-808B905113E1}" name="备注" dataDxfId="9" totalsRowDxfId="8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74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12" style="17" customWidth="1"/>
    <col min="4" max="4" width="12.7109375" style="17" customWidth="1"/>
    <col min="5" max="14" width="9.140625" style="17" customWidth="1"/>
    <col min="15" max="15" width="12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9"/>
      <c r="B3" s="79"/>
      <c r="C3" s="79"/>
      <c r="D3" s="129" t="s">
        <v>135</v>
      </c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</row>
    <row r="4" spans="1:17" s="1" customFormat="1" ht="8.1" customHeight="1" x14ac:dyDescent="0.25">
      <c r="A4" s="79"/>
      <c r="B4" s="79"/>
      <c r="C4" s="79"/>
      <c r="D4" s="130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7" s="1" customFormat="1" ht="39.950000000000003" customHeight="1" x14ac:dyDescent="0.25">
      <c r="A5" s="79"/>
      <c r="B5" s="79"/>
      <c r="C5" s="79"/>
      <c r="D5" s="131" t="s">
        <v>271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0"/>
      <c r="D8" s="50" t="s">
        <v>244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309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260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/>
      <c r="D11" s="46" t="s">
        <v>268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/>
      <c r="D12" s="39"/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thickBot="1" x14ac:dyDescent="0.3">
      <c r="B13" s="1"/>
      <c r="C13" s="50"/>
      <c r="D13" s="50" t="s">
        <v>134</v>
      </c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1"/>
    </row>
    <row r="14" spans="1:17" ht="39.950000000000003" customHeight="1" thickTop="1" x14ac:dyDescent="0.25">
      <c r="B14" s="1"/>
      <c r="C14" s="1">
        <v>1</v>
      </c>
      <c r="D14" s="1" t="s">
        <v>136</v>
      </c>
      <c r="E14" s="21" t="s">
        <v>137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x14ac:dyDescent="0.25">
      <c r="B15" s="1"/>
      <c r="C15" s="1"/>
      <c r="D15" s="1"/>
      <c r="E15" s="21" t="s">
        <v>238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1"/>
      <c r="E16" s="21" t="s">
        <v>255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20.100000000000001" customHeight="1" x14ac:dyDescent="0.25">
      <c r="B17" s="1"/>
      <c r="C17" s="1"/>
      <c r="D17" s="1"/>
      <c r="E17" s="2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>
        <v>1</v>
      </c>
      <c r="D18" s="1" t="s">
        <v>301</v>
      </c>
      <c r="E18" s="21" t="s">
        <v>239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21" t="s">
        <v>240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256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20.100000000000001" customHeight="1" x14ac:dyDescent="0.25">
      <c r="B21" s="1"/>
      <c r="C21" s="1"/>
      <c r="D21" s="1"/>
      <c r="E21" s="2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123</v>
      </c>
      <c r="E22" s="21" t="s">
        <v>299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>
        <v>1</v>
      </c>
      <c r="D23" s="1" t="s">
        <v>26</v>
      </c>
      <c r="E23" s="21" t="s">
        <v>293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89</v>
      </c>
      <c r="E24" s="90">
        <v>1</v>
      </c>
      <c r="F24" s="91" t="s">
        <v>241</v>
      </c>
      <c r="G24" s="1"/>
      <c r="H24" s="90">
        <v>1</v>
      </c>
      <c r="I24" s="91" t="s">
        <v>313</v>
      </c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90">
        <v>0</v>
      </c>
      <c r="F25" s="91" t="s">
        <v>84</v>
      </c>
      <c r="G25" s="1"/>
      <c r="H25" s="90">
        <v>-0.01</v>
      </c>
      <c r="I25" s="91" t="s">
        <v>312</v>
      </c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90">
        <v>-0.01</v>
      </c>
      <c r="F26" s="91" t="s">
        <v>85</v>
      </c>
      <c r="G26" s="1"/>
      <c r="H26" s="90"/>
      <c r="I26" s="122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90"/>
      <c r="F27" s="91"/>
      <c r="G27" s="1"/>
      <c r="H27" s="90"/>
      <c r="I27" s="122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-1</v>
      </c>
      <c r="D28" s="46" t="s">
        <v>310</v>
      </c>
      <c r="E28" s="1"/>
      <c r="F28" s="20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thickBot="1" x14ac:dyDescent="0.3">
      <c r="B29" s="1"/>
      <c r="C29" s="50">
        <v>1</v>
      </c>
      <c r="D29" s="154" t="s">
        <v>311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1"/>
    </row>
    <row r="30" spans="2:16" ht="39.950000000000003" customHeight="1" thickTop="1" x14ac:dyDescent="0.25">
      <c r="B30" s="1"/>
      <c r="C30" s="1">
        <v>1</v>
      </c>
      <c r="D30" s="1" t="s">
        <v>82</v>
      </c>
      <c r="E30" s="21" t="s">
        <v>294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 t="s">
        <v>295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20.100000000000001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>
        <v>1</v>
      </c>
      <c r="D33" s="1" t="s">
        <v>138</v>
      </c>
      <c r="E33" s="21" t="s">
        <v>302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303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20.100000000000001" customHeight="1" x14ac:dyDescent="0.25">
      <c r="B35" s="1"/>
      <c r="C35" s="1"/>
      <c r="D35" s="1"/>
      <c r="E35" s="2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5.1" customHeight="1" x14ac:dyDescent="0.25">
      <c r="B36" s="1"/>
      <c r="C36" s="1">
        <v>1</v>
      </c>
      <c r="D36" s="1" t="s">
        <v>306</v>
      </c>
      <c r="E36" s="21" t="s">
        <v>307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236</v>
      </c>
      <c r="E37" s="21" t="s">
        <v>308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237</v>
      </c>
      <c r="E38" s="21" t="s">
        <v>305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>
        <v>1</v>
      </c>
      <c r="D39" s="1" t="s">
        <v>292</v>
      </c>
      <c r="E39" s="21" t="s">
        <v>296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253</v>
      </c>
      <c r="E40" s="21" t="s">
        <v>254</v>
      </c>
      <c r="F40" s="2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277</v>
      </c>
      <c r="E41" s="21" t="s">
        <v>298</v>
      </c>
      <c r="F41" s="2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1"/>
      <c r="E42" s="21" t="s">
        <v>297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/>
      <c r="D43" s="1"/>
      <c r="E43" s="21" t="s">
        <v>304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/>
      <c r="D44" s="1"/>
      <c r="E44" s="1"/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thickBot="1" x14ac:dyDescent="0.3">
      <c r="B45" s="1"/>
      <c r="C45" s="50"/>
      <c r="D45" s="51" t="s">
        <v>245</v>
      </c>
      <c r="E45" s="50"/>
      <c r="F45" s="52"/>
      <c r="G45" s="50"/>
      <c r="H45" s="50"/>
      <c r="I45" s="50"/>
      <c r="J45" s="50"/>
      <c r="K45" s="50"/>
      <c r="L45" s="50"/>
      <c r="M45" s="50"/>
      <c r="N45" s="50"/>
      <c r="O45" s="50"/>
      <c r="P45" s="1"/>
    </row>
    <row r="46" spans="2:16" ht="39.75" customHeight="1" thickTop="1" x14ac:dyDescent="0.25">
      <c r="B46" s="1"/>
      <c r="C46" s="124">
        <v>1</v>
      </c>
      <c r="D46" s="46" t="s">
        <v>280</v>
      </c>
      <c r="E46" s="124"/>
      <c r="F46" s="123"/>
      <c r="G46" s="124"/>
      <c r="H46" s="124"/>
      <c r="I46" s="124"/>
      <c r="J46" s="124"/>
      <c r="K46" s="124"/>
      <c r="L46" s="124"/>
      <c r="M46" s="124"/>
      <c r="N46" s="124"/>
      <c r="O46" s="124"/>
      <c r="P46" s="1"/>
    </row>
    <row r="47" spans="2:16" ht="39.75" customHeight="1" x14ac:dyDescent="0.25">
      <c r="B47" s="1"/>
      <c r="C47" s="124">
        <v>1</v>
      </c>
      <c r="D47" s="46" t="s">
        <v>300</v>
      </c>
      <c r="E47" s="124"/>
      <c r="F47" s="123"/>
      <c r="G47" s="124"/>
      <c r="H47" s="124"/>
      <c r="I47" s="124"/>
      <c r="J47" s="124"/>
      <c r="K47" s="124"/>
      <c r="L47" s="124"/>
      <c r="M47" s="124"/>
      <c r="N47" s="124"/>
      <c r="O47" s="124"/>
      <c r="P47" s="1"/>
    </row>
    <row r="48" spans="2:16" ht="39.950000000000003" customHeight="1" x14ac:dyDescent="0.25">
      <c r="B48" s="1"/>
      <c r="C48" s="1">
        <v>0</v>
      </c>
      <c r="D48" s="46" t="s">
        <v>257</v>
      </c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3" t="s">
        <v>246</v>
      </c>
      <c r="E49" s="49"/>
      <c r="F49" s="49"/>
      <c r="G49" s="48"/>
      <c r="H49" s="48"/>
      <c r="I49" s="48"/>
      <c r="J49" s="48"/>
      <c r="K49" s="48"/>
      <c r="L49" s="48"/>
      <c r="M49" s="48"/>
      <c r="N49" s="48"/>
      <c r="O49" s="48"/>
      <c r="P49" s="1"/>
    </row>
    <row r="50" spans="2:16" ht="146.25" customHeight="1" x14ac:dyDescent="0.25">
      <c r="B50" s="1"/>
      <c r="C50" s="1"/>
      <c r="D50" s="39"/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20.100000000000001" customHeight="1" x14ac:dyDescent="0.25">
      <c r="B51" s="1"/>
      <c r="C51" s="1"/>
      <c r="D51" s="39"/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1"/>
      <c r="D52" s="53" t="s">
        <v>250</v>
      </c>
      <c r="E52" s="48"/>
      <c r="F52" s="49"/>
      <c r="G52" s="48"/>
      <c r="H52" s="48"/>
      <c r="I52" s="48"/>
      <c r="J52" s="48"/>
      <c r="K52" s="48"/>
      <c r="L52" s="48"/>
      <c r="M52" s="48"/>
      <c r="N52" s="48"/>
      <c r="O52" s="48"/>
      <c r="P52" s="1"/>
    </row>
    <row r="53" spans="2:16" ht="80.25" customHeight="1" x14ac:dyDescent="0.25">
      <c r="B53" s="1"/>
      <c r="C53" s="1"/>
      <c r="D53" s="39"/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.100000000000001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1"/>
      <c r="D55" s="53" t="s">
        <v>251</v>
      </c>
      <c r="E55" s="48"/>
      <c r="F55" s="49"/>
      <c r="G55" s="48"/>
      <c r="H55" s="48"/>
      <c r="I55" s="48"/>
      <c r="J55" s="48"/>
      <c r="K55" s="48"/>
      <c r="L55" s="48"/>
      <c r="M55" s="48"/>
      <c r="N55" s="48"/>
      <c r="O55" s="48"/>
      <c r="P55" s="1"/>
    </row>
    <row r="56" spans="2:16" ht="78.75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20.100000000000001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39.75" customHeight="1" thickBot="1" x14ac:dyDescent="0.3">
      <c r="B58" s="1"/>
      <c r="C58" s="1"/>
      <c r="D58" s="53" t="s">
        <v>247</v>
      </c>
      <c r="E58" s="48"/>
      <c r="F58" s="49"/>
      <c r="G58" s="48"/>
      <c r="H58" s="48"/>
      <c r="I58" s="48"/>
      <c r="J58" s="48"/>
      <c r="K58" s="48"/>
      <c r="L58" s="48"/>
      <c r="M58" s="48"/>
      <c r="N58" s="48"/>
      <c r="O58" s="48"/>
      <c r="P58" s="1"/>
    </row>
    <row r="59" spans="2:16" ht="39.950000000000003" customHeight="1" x14ac:dyDescent="0.25">
      <c r="B59" s="1"/>
      <c r="C59" s="1"/>
      <c r="D59" s="47" t="s">
        <v>248</v>
      </c>
      <c r="E59" s="1"/>
      <c r="F59" s="2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39.950000000000003" customHeight="1" x14ac:dyDescent="0.25">
      <c r="B60" s="1"/>
      <c r="C60" s="1"/>
      <c r="D60" s="47" t="s">
        <v>249</v>
      </c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216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8.1" customHeight="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14.1" customHeight="1" x14ac:dyDescent="0.25"/>
    <row r="64" spans="2:16" ht="39.950000000000003" hidden="1" customHeight="1" x14ac:dyDescent="0.25"/>
    <row r="65" ht="39.950000000000003" hidden="1" customHeight="1" x14ac:dyDescent="0.25"/>
    <row r="66" ht="0" hidden="1" customHeight="1" x14ac:dyDescent="0.25"/>
    <row r="67" ht="0" hidden="1" customHeight="1" x14ac:dyDescent="0.25"/>
    <row r="68" ht="0" hidden="1" customHeight="1" x14ac:dyDescent="0.25"/>
    <row r="69" ht="0" hidden="1" customHeight="1" x14ac:dyDescent="0.25"/>
    <row r="70" ht="0" hidden="1" customHeight="1" x14ac:dyDescent="0.25"/>
    <row r="71" ht="0" hidden="1" customHeight="1" x14ac:dyDescent="0.25"/>
    <row r="72" ht="0" hidden="1" customHeight="1" x14ac:dyDescent="0.25"/>
    <row r="73" ht="0" hidden="1" customHeight="1" x14ac:dyDescent="0.25"/>
    <row r="74" ht="0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H24 H26:H27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10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E40 E24:E27 C30:C1048576 C3:C28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148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82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252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33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219</v>
      </c>
      <c r="D9" s="27"/>
      <c r="E9" s="27"/>
      <c r="F9" s="27"/>
      <c r="G9" s="117" t="s">
        <v>279</v>
      </c>
      <c r="H9" s="149" t="s">
        <v>225</v>
      </c>
      <c r="I9" s="149"/>
      <c r="J9" s="149"/>
      <c r="K9" s="150" t="s">
        <v>242</v>
      </c>
      <c r="L9" s="150"/>
      <c r="M9" s="150"/>
    </row>
    <row r="10" spans="2:13" ht="39.950000000000003" customHeight="1" x14ac:dyDescent="0.25">
      <c r="B10" s="26"/>
      <c r="C10" s="27"/>
      <c r="D10" s="28" t="s">
        <v>3</v>
      </c>
      <c r="E10" s="28" t="s">
        <v>224</v>
      </c>
      <c r="F10" s="28" t="s">
        <v>41</v>
      </c>
      <c r="G10" s="118" t="s">
        <v>278</v>
      </c>
      <c r="H10" s="28" t="s">
        <v>234</v>
      </c>
      <c r="I10" s="28" t="s">
        <v>258</v>
      </c>
      <c r="J10" s="28" t="s">
        <v>259</v>
      </c>
      <c r="K10" s="28" t="s">
        <v>223</v>
      </c>
      <c r="L10" s="28" t="s">
        <v>243</v>
      </c>
      <c r="M10" s="28" t="s">
        <v>226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32">
        <v>1</v>
      </c>
      <c r="G11" s="119">
        <f>SUM(Store_Setting[[#This Row],[库存负差]])-SUM(Store_Setting[[#This Row],[已支取]], Store_Setting[[#This Row],[已存入]])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32">
        <v>2</v>
      </c>
      <c r="G12" s="119">
        <f>SUM(Store_Setting[[#This Row],[库存负差]])-SUM(Store_Setting[[#This Row],[已支取]], Store_Setting[[#This Row],[已存入]])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32">
        <v>3</v>
      </c>
      <c r="G13" s="119">
        <f>SUM(Store_Setting[[#This Row],[库存负差]])-SUM(Store_Setting[[#This Row],[已支取]], Store_Setting[[#This Row],[已存入]])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32">
        <v>4</v>
      </c>
      <c r="G14" s="119">
        <f>SUM(Store_Setting[[#This Row],[库存负差]])-SUM(Store_Setting[[#This Row],[已支取]], Store_Setting[[#This Row],[已存入]])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32">
        <v>5</v>
      </c>
      <c r="G15" s="119">
        <f>SUM(Store_Setting[[#This Row],[库存负差]])-SUM(Store_Setting[[#This Row],[已支取]], Store_Setting[[#This Row],[已存入]])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32">
        <v>6</v>
      </c>
      <c r="G16" s="119">
        <f>SUM(Store_Setting[[#This Row],[库存负差]])-SUM(Store_Setting[[#This Row],[已支取]], Store_Setting[[#This Row],[已存入]])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32">
        <v>7</v>
      </c>
      <c r="G17" s="119">
        <f>SUM(Store_Setting[[#This Row],[库存负差]])-SUM(Store_Setting[[#This Row],[已支取]], Store_Setting[[#This Row],[已存入]])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32">
        <v>8</v>
      </c>
      <c r="G18" s="119">
        <f>SUM(Store_Setting[[#This Row],[库存负差]])-SUM(Store_Setting[[#This Row],[已支取]], Store_Setting[[#This Row],[已存入]])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32">
        <v>9</v>
      </c>
      <c r="G19" s="119">
        <f>SUM(Store_Setting[[#This Row],[库存负差]])-SUM(Store_Setting[[#This Row],[已支取]], Store_Setting[[#This Row],[已存入]])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32">
        <v>10</v>
      </c>
      <c r="G20" s="119">
        <f>SUM(Store_Setting[[#This Row],[库存负差]])-SUM(Store_Setting[[#This Row],[已支取]], Store_Setting[[#This Row],[已存入]])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32">
        <v>11</v>
      </c>
      <c r="G21" s="119">
        <f>SUM(Store_Setting[[#This Row],[库存负差]])-SUM(Store_Setting[[#This Row],[已支取]], Store_Setting[[#This Row],[已存入]])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32">
        <v>12</v>
      </c>
      <c r="G22" s="119">
        <f>SUM(Store_Setting[[#This Row],[库存负差]])-SUM(Store_Setting[[#This Row],[已支取]], Store_Setting[[#This Row],[已存入]])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32">
        <v>13</v>
      </c>
      <c r="G23" s="119">
        <f>SUM(Store_Setting[[#This Row],[库存负差]])-SUM(Store_Setting[[#This Row],[已支取]], Store_Setting[[#This Row],[已存入]])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32">
        <v>14</v>
      </c>
      <c r="G24" s="119">
        <f>SUM(Store_Setting[[#This Row],[库存负差]])-SUM(Store_Setting[[#This Row],[已支取]], Store_Setting[[#This Row],[已存入]])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32">
        <v>15</v>
      </c>
      <c r="G25" s="119">
        <f>SUM(Store_Setting[[#This Row],[库存负差]])-SUM(Store_Setting[[#This Row],[已支取]], Store_Setting[[#This Row],[已存入]])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32">
        <v>16</v>
      </c>
      <c r="G26" s="119">
        <f>SUM(Store_Setting[[#This Row],[库存负差]])-SUM(Store_Setting[[#This Row],[已支取]], Store_Setting[[#This Row],[已存入]])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32">
        <v>17</v>
      </c>
      <c r="G27" s="119">
        <f>SUM(Store_Setting[[#This Row],[库存负差]])-SUM(Store_Setting[[#This Row],[已支取]], Store_Setting[[#This Row],[已存入]])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32">
        <v>18</v>
      </c>
      <c r="G28" s="119">
        <f>SUM(Store_Setting[[#This Row],[库存负差]])-SUM(Store_Setting[[#This Row],[已支取]], Store_Setting[[#This Row],[已存入]])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32">
        <v>19</v>
      </c>
      <c r="G29" s="119">
        <f>SUM(Store_Setting[[#This Row],[库存负差]])-SUM(Store_Setting[[#This Row],[已支取]], Store_Setting[[#This Row],[已存入]])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32">
        <v>20</v>
      </c>
      <c r="G30" s="119">
        <f>SUM(Store_Setting[[#This Row],[库存负差]])-SUM(Store_Setting[[#This Row],[已支取]], Store_Setting[[#This Row],[已存入]])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32">
        <v>21</v>
      </c>
      <c r="G31" s="119">
        <f>SUM(Store_Setting[[#This Row],[库存负差]])-SUM(Store_Setting[[#This Row],[已支取]], Store_Setting[[#This Row],[已存入]])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32">
        <v>22</v>
      </c>
      <c r="G32" s="119">
        <f>SUM(Store_Setting[[#This Row],[库存负差]])-SUM(Store_Setting[[#This Row],[已支取]], Store_Setting[[#This Row],[已存入]])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32">
        <v>23</v>
      </c>
      <c r="G33" s="119">
        <f>SUM(Store_Setting[[#This Row],[库存负差]])-SUM(Store_Setting[[#This Row],[已支取]], Store_Setting[[#This Row],[已存入]])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32">
        <v>24</v>
      </c>
      <c r="G34" s="119">
        <f>SUM(Store_Setting[[#This Row],[库存负差]])-SUM(Store_Setting[[#This Row],[已支取]], Store_Setting[[#This Row],[已存入]])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32">
        <v>25</v>
      </c>
      <c r="G35" s="119">
        <f>SUM(Store_Setting[[#This Row],[库存负差]])-SUM(Store_Setting[[#This Row],[已支取]], Store_Setting[[#This Row],[已存入]])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32">
        <v>26</v>
      </c>
      <c r="G36" s="119">
        <f>SUM(Store_Setting[[#This Row],[库存负差]])-SUM(Store_Setting[[#This Row],[已支取]], Store_Setting[[#This Row],[已存入]])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32">
        <v>27</v>
      </c>
      <c r="G37" s="119">
        <f>SUM(Store_Setting[[#This Row],[库存负差]])-SUM(Store_Setting[[#This Row],[已支取]], Store_Setting[[#This Row],[已存入]])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32">
        <v>28</v>
      </c>
      <c r="G38" s="119">
        <f>SUM(Store_Setting[[#This Row],[库存负差]])-SUM(Store_Setting[[#This Row],[已支取]], Store_Setting[[#This Row],[已存入]])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32">
        <v>29</v>
      </c>
      <c r="G39" s="119">
        <f>SUM(Store_Setting[[#This Row],[库存负差]])-SUM(Store_Setting[[#This Row],[已支取]], Store_Setting[[#This Row],[已存入]])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32">
        <v>30</v>
      </c>
      <c r="G40" s="119">
        <f>SUM(Store_Setting[[#This Row],[库存负差]])-SUM(Store_Setting[[#This Row],[已支取]], Store_Setting[[#This Row],[已存入]])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32">
        <v>31</v>
      </c>
      <c r="G41" s="119">
        <f>SUM(Store_Setting[[#This Row],[库存负差]])-SUM(Store_Setting[[#This Row],[已支取]], Store_Setting[[#This Row],[已存入]])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32">
        <v>32</v>
      </c>
      <c r="G42" s="119">
        <f>SUM(Store_Setting[[#This Row],[库存负差]])-SUM(Store_Setting[[#This Row],[已支取]], Store_Setting[[#This Row],[已存入]])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32">
        <v>33</v>
      </c>
      <c r="G43" s="119">
        <f>SUM(Store_Setting[[#This Row],[库存负差]])-SUM(Store_Setting[[#This Row],[已支取]], Store_Setting[[#This Row],[已存入]])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32">
        <v>34</v>
      </c>
      <c r="G44" s="119">
        <f>SUM(Store_Setting[[#This Row],[库存负差]])-SUM(Store_Setting[[#This Row],[已支取]], Store_Setting[[#This Row],[已存入]])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32">
        <v>35</v>
      </c>
      <c r="G45" s="119">
        <f>SUM(Store_Setting[[#This Row],[库存负差]])-SUM(Store_Setting[[#This Row],[已支取]], Store_Setting[[#This Row],[已存入]])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32">
        <v>36</v>
      </c>
      <c r="G46" s="119">
        <f>SUM(Store_Setting[[#This Row],[库存负差]])-SUM(Store_Setting[[#This Row],[已支取]], Store_Setting[[#This Row],[已存入]])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32">
        <v>37</v>
      </c>
      <c r="G47" s="119">
        <f>SUM(Store_Setting[[#This Row],[库存负差]])-SUM(Store_Setting[[#This Row],[已支取]], Store_Setting[[#This Row],[已存入]])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32">
        <v>38</v>
      </c>
      <c r="G48" s="119">
        <f>SUM(Store_Setting[[#This Row],[库存负差]])-SUM(Store_Setting[[#This Row],[已支取]], Store_Setting[[#This Row],[已存入]])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32">
        <v>39</v>
      </c>
      <c r="G49" s="119">
        <f>SUM(Store_Setting[[#This Row],[库存负差]])-SUM(Store_Setting[[#This Row],[已支取]], Store_Setting[[#This Row],[已存入]])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32">
        <v>40</v>
      </c>
      <c r="G50" s="119">
        <f>SUM(Store_Setting[[#This Row],[库存负差]])-SUM(Store_Setting[[#This Row],[已支取]], Store_Setting[[#This Row],[已存入]])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1"/>
    </row>
    <row r="52" spans="2:13" ht="39.950000000000003" customHeight="1" x14ac:dyDescent="0.25">
      <c r="B52" s="26" t="s">
        <v>15</v>
      </c>
      <c r="C52" s="27" t="s">
        <v>126</v>
      </c>
      <c r="D52" s="134" t="s">
        <v>284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35" t="s">
        <v>283</v>
      </c>
      <c r="E53" s="135" t="s">
        <v>284</v>
      </c>
      <c r="F53" s="135"/>
      <c r="G53" s="136"/>
      <c r="H53" s="136"/>
      <c r="I53" s="136"/>
      <c r="J53" s="136"/>
      <c r="K53" s="136"/>
      <c r="L53" s="136"/>
      <c r="M53" s="136"/>
    </row>
    <row r="54" spans="2:13" ht="39.950000000000003" customHeight="1" x14ac:dyDescent="0.25">
      <c r="B54" s="26"/>
      <c r="C54" s="27" t="s">
        <v>30</v>
      </c>
      <c r="D54" s="135"/>
      <c r="E54" s="135"/>
      <c r="F54" s="135"/>
      <c r="G54" s="136"/>
      <c r="H54" s="136"/>
      <c r="I54" s="136"/>
      <c r="J54" s="136"/>
      <c r="K54" s="136"/>
      <c r="L54" s="136"/>
      <c r="M54" s="136"/>
    </row>
    <row r="55" spans="2:13" ht="8.1" customHeight="1" x14ac:dyDescent="0.25">
      <c r="B55" s="115"/>
      <c r="D55" s="116"/>
      <c r="E55" s="116"/>
      <c r="F55" s="116"/>
      <c r="G55" s="116"/>
      <c r="H55" s="116"/>
      <c r="I55" s="116"/>
      <c r="J55" s="116"/>
      <c r="K55" s="116"/>
      <c r="L55" s="116"/>
      <c r="M55" s="116"/>
    </row>
    <row r="56" spans="2:13" ht="39.950000000000003" customHeight="1" x14ac:dyDescent="0.25">
      <c r="B56" s="26" t="s">
        <v>16</v>
      </c>
      <c r="C56" s="27" t="s">
        <v>128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9" t="s">
        <v>129</v>
      </c>
      <c r="E57" s="69" t="s">
        <v>130</v>
      </c>
      <c r="F57" s="69" t="s">
        <v>130</v>
      </c>
      <c r="G57" s="69" t="s">
        <v>130</v>
      </c>
      <c r="H57" s="69" t="s">
        <v>130</v>
      </c>
      <c r="I57" s="69" t="s">
        <v>130</v>
      </c>
      <c r="J57" s="30"/>
      <c r="K57" s="30"/>
      <c r="L57" s="30"/>
      <c r="M57" s="30"/>
    </row>
    <row r="58" spans="2:13" ht="39.950000000000003" customHeight="1" x14ac:dyDescent="0.25">
      <c r="B58" s="26"/>
      <c r="C58" s="77" t="s">
        <v>262</v>
      </c>
      <c r="D58" s="69" t="s">
        <v>130</v>
      </c>
      <c r="E58" s="78" t="s">
        <v>267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/>
    <row r="60" spans="2:13" ht="39.950000000000003" customHeight="1" x14ac:dyDescent="0.25">
      <c r="B60" s="26" t="s">
        <v>25</v>
      </c>
      <c r="C60" s="27" t="s">
        <v>5</v>
      </c>
      <c r="D60" s="30" t="s">
        <v>8</v>
      </c>
      <c r="E60" s="30" t="s">
        <v>9</v>
      </c>
      <c r="F60" s="12"/>
      <c r="G60" s="12"/>
      <c r="H60" s="12"/>
      <c r="I60" s="12"/>
      <c r="J60" s="12"/>
      <c r="K60" s="12"/>
      <c r="L60" s="12"/>
      <c r="M60" s="12"/>
    </row>
    <row r="61" spans="2:13" ht="8.1" customHeight="1" x14ac:dyDescent="0.25">
      <c r="B61" s="115"/>
      <c r="D61" s="116"/>
      <c r="E61" s="116"/>
      <c r="F61" s="116"/>
      <c r="G61" s="116"/>
      <c r="H61" s="116"/>
      <c r="I61" s="116"/>
      <c r="J61" s="116"/>
      <c r="K61" s="116"/>
      <c r="L61" s="116"/>
      <c r="M61" s="116"/>
    </row>
    <row r="62" spans="2:13" ht="39.950000000000003" customHeight="1" x14ac:dyDescent="0.25">
      <c r="B62" s="26" t="s">
        <v>220</v>
      </c>
      <c r="C62" s="27" t="s">
        <v>272</v>
      </c>
      <c r="D62" s="30" t="s">
        <v>235</v>
      </c>
      <c r="E62" s="30" t="s">
        <v>221</v>
      </c>
      <c r="F62" s="12"/>
      <c r="G62" s="12"/>
      <c r="H62" s="12"/>
      <c r="I62" s="12"/>
      <c r="J62" s="12"/>
      <c r="K62" s="12"/>
      <c r="L62" s="12"/>
      <c r="M62" s="12"/>
    </row>
    <row r="63" spans="2:13" ht="8.1" customHeight="1" x14ac:dyDescent="0.25">
      <c r="B63" s="115"/>
      <c r="D63" s="116"/>
      <c r="E63" s="116"/>
      <c r="F63" s="116"/>
      <c r="G63" s="116"/>
      <c r="H63" s="116"/>
      <c r="I63" s="116"/>
      <c r="J63" s="116"/>
      <c r="K63" s="116"/>
      <c r="L63" s="116"/>
      <c r="M63" s="116"/>
    </row>
    <row r="64" spans="2:13" ht="39.950000000000003" customHeight="1" x14ac:dyDescent="0.25">
      <c r="B64" s="26" t="s">
        <v>261</v>
      </c>
      <c r="C64" s="27" t="s">
        <v>227</v>
      </c>
      <c r="D64" s="134" t="s">
        <v>228</v>
      </c>
      <c r="E64" s="134" t="s">
        <v>229</v>
      </c>
      <c r="F64" s="134" t="s">
        <v>230</v>
      </c>
      <c r="G64" s="134" t="s">
        <v>263</v>
      </c>
      <c r="H64" s="134" t="s">
        <v>264</v>
      </c>
      <c r="I64" s="134" t="s">
        <v>265</v>
      </c>
      <c r="J64" s="134" t="s">
        <v>266</v>
      </c>
      <c r="K64" s="134"/>
      <c r="L64" s="134"/>
      <c r="M64" s="134"/>
    </row>
    <row r="65" spans="2:13" ht="39.950000000000003" customHeight="1" x14ac:dyDescent="0.25">
      <c r="B65" s="26"/>
      <c r="C65" s="27" t="s">
        <v>273</v>
      </c>
      <c r="D65" s="69" t="s">
        <v>129</v>
      </c>
      <c r="E65" s="78" t="s">
        <v>274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5"/>
      <c r="D66" s="116"/>
      <c r="E66" s="116"/>
      <c r="F66" s="116"/>
      <c r="G66" s="116"/>
      <c r="H66" s="116"/>
      <c r="I66" s="116"/>
      <c r="J66" s="116"/>
      <c r="K66" s="116"/>
      <c r="L66" s="116"/>
      <c r="M66" s="116"/>
    </row>
    <row r="67" spans="2:13" ht="39.950000000000003" customHeight="1" x14ac:dyDescent="0.25">
      <c r="B67" s="26" t="s">
        <v>270</v>
      </c>
      <c r="C67" s="27" t="s">
        <v>1</v>
      </c>
      <c r="D67" s="30" t="s">
        <v>10</v>
      </c>
      <c r="E67" s="30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26"/>
      <c r="C68" s="27" t="s">
        <v>279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133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131</v>
      </c>
      <c r="C73" s="36" t="s">
        <v>132</v>
      </c>
      <c r="D73" s="45"/>
      <c r="E73" s="45"/>
    </row>
    <row r="74" spans="2:13" ht="39.950000000000003" customHeight="1" x14ac:dyDescent="0.25">
      <c r="B74" s="31" t="s">
        <v>124</v>
      </c>
      <c r="C74" s="36" t="s">
        <v>290</v>
      </c>
      <c r="D74" s="36"/>
      <c r="E74" s="36"/>
    </row>
    <row r="75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8" customWidth="1"/>
    <col min="3" max="3" width="14.7109375" style="138" customWidth="1"/>
    <col min="4" max="4" width="15.7109375" style="138" customWidth="1"/>
    <col min="5" max="5" width="44.7109375" style="138" customWidth="1"/>
    <col min="6" max="6" width="5.7109375" style="139" customWidth="1"/>
    <col min="7" max="8" width="2.7109375" style="138" customWidth="1"/>
    <col min="9" max="16384" width="9.140625" style="138" hidden="1"/>
  </cols>
  <sheetData>
    <row r="1" spans="1:8" ht="6" customHeight="1" x14ac:dyDescent="0.25">
      <c r="A1" s="146"/>
      <c r="B1" s="146"/>
      <c r="C1" s="146"/>
      <c r="D1" s="146"/>
      <c r="E1" s="146"/>
      <c r="F1" s="147"/>
      <c r="G1" s="146"/>
      <c r="H1" s="146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5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6"/>
      <c r="G4" s="1"/>
    </row>
    <row r="5" spans="1:8" ht="35.1" customHeight="1" x14ac:dyDescent="0.25">
      <c r="B5" s="1"/>
      <c r="C5" s="9" t="s">
        <v>87</v>
      </c>
      <c r="D5" s="8"/>
      <c r="E5" s="10"/>
      <c r="F5" s="87"/>
      <c r="G5" s="1"/>
    </row>
    <row r="6" spans="1:8" ht="14.1" customHeight="1" x14ac:dyDescent="0.25">
      <c r="B6" s="1"/>
      <c r="C6" s="1"/>
      <c r="D6" s="1"/>
      <c r="E6" s="1"/>
      <c r="F6" s="86"/>
      <c r="G6" s="1"/>
    </row>
    <row r="7" spans="1:8" ht="35.1" customHeight="1" x14ac:dyDescent="0.25">
      <c r="B7" s="1"/>
      <c r="C7" s="1" t="s">
        <v>219</v>
      </c>
      <c r="D7" s="11" t="s">
        <v>3</v>
      </c>
      <c r="E7" s="34"/>
      <c r="F7" s="120">
        <v>-1</v>
      </c>
      <c r="G7" s="61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82"/>
      <c r="G8" s="61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82"/>
      <c r="G9" s="61"/>
    </row>
    <row r="10" spans="1:8" ht="15" customHeight="1" x14ac:dyDescent="0.25">
      <c r="B10" s="1"/>
      <c r="C10" s="1"/>
      <c r="D10" s="1"/>
      <c r="E10" s="1"/>
      <c r="F10" s="82"/>
      <c r="G10" s="61"/>
    </row>
    <row r="11" spans="1:8" ht="35.1" customHeight="1" x14ac:dyDescent="0.25">
      <c r="B11" s="1"/>
      <c r="C11" s="1" t="s">
        <v>233</v>
      </c>
      <c r="D11" s="11" t="s">
        <v>5</v>
      </c>
      <c r="E11" s="33"/>
      <c r="F11" s="121">
        <v>-1</v>
      </c>
      <c r="G11" s="61"/>
    </row>
    <row r="12" spans="1:8" ht="35.1" customHeight="1" x14ac:dyDescent="0.25">
      <c r="B12" s="1"/>
      <c r="C12" s="1"/>
      <c r="D12" s="11" t="s">
        <v>222</v>
      </c>
      <c r="E12" s="68"/>
      <c r="F12" s="121">
        <v>-1</v>
      </c>
      <c r="G12" s="61"/>
    </row>
    <row r="13" spans="1:8" ht="35.1" customHeight="1" x14ac:dyDescent="0.25">
      <c r="B13" s="1"/>
      <c r="C13" s="1"/>
      <c r="D13" s="11" t="s">
        <v>227</v>
      </c>
      <c r="E13" s="34"/>
      <c r="F13" s="120">
        <v>-1</v>
      </c>
      <c r="G13" s="61"/>
    </row>
    <row r="14" spans="1:8" ht="15" customHeight="1" x14ac:dyDescent="0.25">
      <c r="B14" s="1"/>
      <c r="C14" s="1"/>
      <c r="D14" s="1"/>
      <c r="E14" s="1"/>
      <c r="F14" s="82"/>
      <c r="G14" s="61"/>
    </row>
    <row r="15" spans="1:8" ht="35.1" customHeight="1" x14ac:dyDescent="0.25">
      <c r="B15" s="1"/>
      <c r="C15" s="1"/>
      <c r="D15" s="11" t="s">
        <v>7</v>
      </c>
      <c r="E15" s="14"/>
      <c r="F15" s="83"/>
      <c r="G15" s="61"/>
    </row>
    <row r="16" spans="1:8" ht="15" customHeight="1" x14ac:dyDescent="0.25">
      <c r="B16" s="1"/>
      <c r="C16" s="1"/>
      <c r="D16" s="1"/>
      <c r="E16" s="1"/>
      <c r="F16" s="82"/>
      <c r="G16" s="61"/>
    </row>
    <row r="17" spans="2:12" ht="35.1" customHeight="1" x14ac:dyDescent="0.25">
      <c r="B17" s="1"/>
      <c r="C17" s="1" t="s">
        <v>275</v>
      </c>
      <c r="D17" s="11" t="s">
        <v>284</v>
      </c>
      <c r="E17" s="33" t="s">
        <v>284</v>
      </c>
      <c r="F17" s="82"/>
      <c r="G17" s="61"/>
    </row>
    <row r="18" spans="2:12" ht="14.1" customHeight="1" x14ac:dyDescent="0.25">
      <c r="B18" s="1"/>
      <c r="C18" s="1"/>
      <c r="D18" s="1"/>
      <c r="E18" s="1"/>
      <c r="F18" s="86"/>
      <c r="G18" s="1"/>
    </row>
    <row r="19" spans="2:12" ht="14.1" customHeight="1" x14ac:dyDescent="0.25"/>
    <row r="20" spans="2:12" ht="39.950000000000003" hidden="1" customHeight="1" x14ac:dyDescent="0.25">
      <c r="L20" s="138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37" customWidth="1"/>
    <col min="4" max="4" width="12.7109375" style="93" customWidth="1"/>
    <col min="5" max="5" width="12.7109375" style="96" customWidth="1"/>
    <col min="6" max="6" width="12.7109375" style="93" customWidth="1"/>
    <col min="7" max="7" width="26.7109375" style="94" customWidth="1"/>
    <col min="8" max="8" width="18.7109375" style="93" customWidth="1"/>
    <col min="9" max="9" width="44.7109375" style="143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46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222</v>
      </c>
      <c r="F6" s="6" t="s">
        <v>227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7" t="s">
        <v>285</v>
      </c>
      <c r="D7" s="55" t="s">
        <v>235</v>
      </c>
      <c r="E7" s="16"/>
      <c r="F7" s="19"/>
      <c r="G7" s="92">
        <v>45268.505555555559</v>
      </c>
      <c r="H7" s="55" t="s">
        <v>284</v>
      </c>
      <c r="I7" s="140" t="s">
        <v>291</v>
      </c>
    </row>
  </sheetData>
  <sheetProtection deleteRows="0" selectLockedCells="1"/>
  <conditionalFormatting sqref="C7:I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06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39.950000000000003" customHeight="1" zeroHeight="1" x14ac:dyDescent="0.25"/>
  <cols>
    <col min="1" max="2" width="2.7109375" style="142" customWidth="1"/>
    <col min="3" max="3" width="14.7109375" style="142" customWidth="1"/>
    <col min="4" max="4" width="15.7109375" style="142" customWidth="1"/>
    <col min="5" max="5" width="44.7109375" style="142" customWidth="1"/>
    <col min="6" max="6" width="5.7109375" style="141" customWidth="1"/>
    <col min="7" max="8" width="2.7109375" style="141" customWidth="1"/>
    <col min="9" max="16384" width="9.140625" style="141" hidden="1"/>
  </cols>
  <sheetData>
    <row r="1" spans="1:8" ht="6" customHeight="1" x14ac:dyDescent="0.25">
      <c r="A1" s="58"/>
      <c r="B1" s="58"/>
      <c r="C1" s="58"/>
      <c r="D1" s="58"/>
      <c r="E1" s="58"/>
      <c r="F1" s="80"/>
      <c r="G1" s="80"/>
      <c r="H1" s="80"/>
    </row>
    <row r="2" spans="1:8" ht="54.95" customHeight="1" x14ac:dyDescent="0.25">
      <c r="A2" s="60"/>
      <c r="B2" s="59" t="str">
        <f>设置!D7 &amp;" - 新增会员"</f>
        <v>Yi - 新增会员</v>
      </c>
      <c r="C2" s="59"/>
      <c r="D2" s="59"/>
      <c r="E2" s="60"/>
      <c r="F2" s="81"/>
      <c r="G2" s="81"/>
      <c r="H2" s="81"/>
    </row>
    <row r="3" spans="1:8" ht="14.1" customHeight="1" x14ac:dyDescent="0.25"/>
    <row r="4" spans="1:8" ht="14.1" customHeight="1" x14ac:dyDescent="0.25">
      <c r="B4" s="61"/>
      <c r="C4" s="61"/>
      <c r="D4" s="61"/>
      <c r="E4" s="61"/>
      <c r="F4" s="61"/>
      <c r="G4" s="61"/>
    </row>
    <row r="5" spans="1:8" ht="35.1" customHeight="1" x14ac:dyDescent="0.25">
      <c r="B5" s="61"/>
      <c r="C5" s="62" t="s">
        <v>87</v>
      </c>
      <c r="D5" s="8"/>
      <c r="E5" s="63"/>
      <c r="F5" s="88"/>
      <c r="G5" s="82"/>
    </row>
    <row r="6" spans="1:8" ht="14.1" customHeight="1" x14ac:dyDescent="0.25">
      <c r="B6" s="61"/>
      <c r="C6" s="61"/>
      <c r="D6" s="61"/>
      <c r="E6" s="61"/>
      <c r="F6" s="82"/>
      <c r="G6" s="82"/>
    </row>
    <row r="7" spans="1:8" ht="35.1" customHeight="1" x14ac:dyDescent="0.25">
      <c r="B7" s="61"/>
      <c r="C7" s="64" t="s">
        <v>3</v>
      </c>
      <c r="D7" s="65" t="str">
        <f>CONCATENATE(IF(E9="","", _xlfn.CONCAT(E9)), IF(E10="","", _xlfn.CONCAT(E10)), IF(E11="","", _xlfn.CONCAT(" | ",E11)), IF(E15="","", _xlfn.CONCAT(" | ",E15)))</f>
        <v/>
      </c>
      <c r="E7" s="66"/>
      <c r="F7" s="89"/>
      <c r="G7" s="82"/>
    </row>
    <row r="8" spans="1:8" ht="14.1" customHeight="1" x14ac:dyDescent="0.25">
      <c r="B8" s="61"/>
      <c r="C8" s="61"/>
      <c r="D8" s="61"/>
      <c r="E8" s="61"/>
      <c r="F8" s="82"/>
      <c r="G8" s="82"/>
    </row>
    <row r="9" spans="1:8" ht="35.1" customHeight="1" x14ac:dyDescent="0.25">
      <c r="B9" s="61"/>
      <c r="C9" s="61" t="s">
        <v>86</v>
      </c>
      <c r="D9" s="67" t="s">
        <v>27</v>
      </c>
      <c r="E9" s="14"/>
      <c r="F9" s="120">
        <v>-1</v>
      </c>
      <c r="G9" s="82"/>
    </row>
    <row r="10" spans="1:8" ht="35.1" customHeight="1" x14ac:dyDescent="0.25">
      <c r="B10" s="61"/>
      <c r="C10" s="61"/>
      <c r="D10" s="67" t="s">
        <v>28</v>
      </c>
      <c r="E10" s="7"/>
      <c r="F10" s="121">
        <v>-1</v>
      </c>
      <c r="G10" s="82"/>
    </row>
    <row r="11" spans="1:8" ht="35.1" customHeight="1" x14ac:dyDescent="0.25">
      <c r="B11" s="61"/>
      <c r="C11" s="61"/>
      <c r="D11" s="67" t="s">
        <v>1</v>
      </c>
      <c r="E11" s="7"/>
      <c r="F11" s="121"/>
      <c r="G11" s="82"/>
    </row>
    <row r="12" spans="1:8" ht="35.1" customHeight="1" x14ac:dyDescent="0.25">
      <c r="B12" s="61"/>
      <c r="C12" s="61"/>
      <c r="D12" s="67" t="s">
        <v>22</v>
      </c>
      <c r="E12" s="7"/>
      <c r="F12" s="121"/>
      <c r="G12" s="82"/>
    </row>
    <row r="13" spans="1:8" ht="35.1" customHeight="1" x14ac:dyDescent="0.25">
      <c r="B13" s="61"/>
      <c r="C13" s="61"/>
      <c r="D13" s="67" t="s">
        <v>21</v>
      </c>
      <c r="E13" s="57"/>
      <c r="F13" s="121"/>
      <c r="G13" s="82"/>
    </row>
    <row r="14" spans="1:8" ht="15" customHeight="1" x14ac:dyDescent="0.25">
      <c r="B14" s="61"/>
      <c r="C14" s="61"/>
      <c r="D14" s="61"/>
      <c r="E14" s="61"/>
      <c r="F14" s="82"/>
      <c r="G14" s="82"/>
    </row>
    <row r="15" spans="1:8" ht="35.1" customHeight="1" x14ac:dyDescent="0.25">
      <c r="B15" s="61"/>
      <c r="C15" s="61" t="s">
        <v>90</v>
      </c>
      <c r="D15" s="67" t="s">
        <v>2</v>
      </c>
      <c r="E15" s="7"/>
      <c r="F15" s="121">
        <v>-1</v>
      </c>
      <c r="G15" s="82"/>
    </row>
    <row r="16" spans="1:8" ht="35.1" customHeight="1" x14ac:dyDescent="0.25">
      <c r="B16" s="61"/>
      <c r="C16" s="61"/>
      <c r="D16" s="67" t="s">
        <v>23</v>
      </c>
      <c r="E16" s="7"/>
      <c r="F16" s="121"/>
      <c r="G16" s="82"/>
    </row>
    <row r="17" spans="2:7" ht="35.1" customHeight="1" x14ac:dyDescent="0.25">
      <c r="B17" s="61"/>
      <c r="C17" s="61"/>
      <c r="D17" s="67" t="s">
        <v>24</v>
      </c>
      <c r="E17" s="14"/>
      <c r="F17" s="120"/>
      <c r="G17" s="82"/>
    </row>
    <row r="18" spans="2:7" ht="15" customHeight="1" x14ac:dyDescent="0.25">
      <c r="B18" s="61"/>
      <c r="C18" s="61"/>
      <c r="D18" s="61"/>
      <c r="E18" s="61"/>
      <c r="F18" s="82"/>
      <c r="G18" s="82"/>
    </row>
    <row r="19" spans="2:7" ht="35.1" customHeight="1" x14ac:dyDescent="0.25">
      <c r="B19" s="61"/>
      <c r="C19" s="61"/>
      <c r="D19" s="67" t="s">
        <v>7</v>
      </c>
      <c r="E19" s="14"/>
      <c r="F19" s="83"/>
      <c r="G19" s="82"/>
    </row>
    <row r="20" spans="2:7" ht="15" customHeight="1" x14ac:dyDescent="0.25">
      <c r="B20" s="61"/>
      <c r="C20" s="61"/>
      <c r="D20" s="61"/>
      <c r="E20" s="61"/>
      <c r="F20" s="82"/>
      <c r="G20" s="82"/>
    </row>
    <row r="21" spans="2:7" ht="35.1" customHeight="1" x14ac:dyDescent="0.25">
      <c r="B21" s="61"/>
      <c r="C21" s="61" t="s">
        <v>275</v>
      </c>
      <c r="D21" s="67" t="s">
        <v>284</v>
      </c>
      <c r="E21" s="7" t="s">
        <v>284</v>
      </c>
      <c r="F21" s="82"/>
      <c r="G21" s="82"/>
    </row>
    <row r="22" spans="2:7" ht="14.1" customHeight="1" x14ac:dyDescent="0.25">
      <c r="B22" s="61"/>
      <c r="C22" s="61"/>
      <c r="D22" s="61"/>
      <c r="E22" s="61"/>
      <c r="F22" s="82"/>
      <c r="G22" s="82"/>
    </row>
    <row r="23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whole" operator="greaterThanOrEqual" allowBlank="1" showInputMessage="1" showErrorMessage="1" sqref="E13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10" sqref="D10"/>
    </sheetView>
  </sheetViews>
  <sheetFormatPr defaultColWidth="0" defaultRowHeight="39.950000000000003" customHeight="1" x14ac:dyDescent="0.2"/>
  <cols>
    <col min="1" max="1" width="2.7109375" style="61" customWidth="1"/>
    <col min="2" max="2" width="8.7109375" style="61" customWidth="1"/>
    <col min="3" max="3" width="30.7109375" style="61" customWidth="1"/>
    <col min="4" max="123" width="12.7109375" style="61" customWidth="1"/>
    <col min="124" max="124" width="8.7109375" style="144" customWidth="1"/>
    <col min="125" max="125" width="14.7109375" style="145" customWidth="1"/>
    <col min="126" max="126" width="8.7109375" style="93" customWidth="1"/>
    <col min="127" max="127" width="24.7109375" style="106" customWidth="1"/>
    <col min="128" max="128" width="12.7109375" style="93" customWidth="1"/>
    <col min="129" max="129" width="20.7109375" style="106" customWidth="1"/>
    <col min="130" max="130" width="28.7109375" style="106" customWidth="1"/>
    <col min="131" max="131" width="44.7109375" style="106" customWidth="1"/>
    <col min="132" max="132" width="26.7109375" style="94" customWidth="1"/>
    <col min="133" max="133" width="18.7109375" style="84" customWidth="1"/>
    <col min="134" max="134" width="44.7109375" style="143" customWidth="1"/>
    <col min="135" max="135" width="2.7109375" style="1" customWidth="1"/>
    <col min="136" max="16384" width="9.140625" style="13" hidden="1"/>
  </cols>
  <sheetData>
    <row r="1" spans="1:135" s="71" customFormat="1" ht="6" customHeight="1" x14ac:dyDescent="0.2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  <c r="DS1" s="58"/>
      <c r="DT1" s="58"/>
      <c r="DU1" s="58"/>
      <c r="DV1" s="58"/>
      <c r="DW1" s="58"/>
      <c r="DX1" s="58"/>
      <c r="DY1" s="58"/>
      <c r="DZ1" s="80"/>
      <c r="EA1" s="80"/>
      <c r="EB1" s="58"/>
      <c r="EC1" s="80"/>
      <c r="ED1" s="80"/>
      <c r="EE1" s="58"/>
    </row>
    <row r="2" spans="1:135" s="70" customFormat="1" ht="54.95" customHeight="1" x14ac:dyDescent="0.2">
      <c r="A2" s="60"/>
      <c r="B2" s="59" t="str">
        <f>设置!D7 &amp;" - 会员详细信息"</f>
        <v>Yi - 会员详细信息</v>
      </c>
      <c r="C2" s="60"/>
      <c r="D2" s="15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81"/>
      <c r="EA2" s="81"/>
      <c r="EB2" s="60"/>
      <c r="EC2" s="81"/>
      <c r="ED2" s="81"/>
      <c r="EE2" s="60"/>
    </row>
    <row r="3" spans="1:135" ht="8.1" customHeight="1" x14ac:dyDescent="0.2">
      <c r="DT3" s="61"/>
      <c r="DU3" s="61"/>
      <c r="DV3" s="61"/>
      <c r="DW3" s="61"/>
      <c r="DX3" s="61"/>
      <c r="DY3" s="61"/>
      <c r="DZ3" s="82"/>
      <c r="EA3" s="82"/>
      <c r="EB3" s="61"/>
      <c r="EC3" s="82"/>
      <c r="ED3" s="82"/>
      <c r="EE3" s="102"/>
    </row>
    <row r="4" spans="1:135" ht="6" customHeight="1" x14ac:dyDescent="0.2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98"/>
      <c r="DB4" s="98"/>
      <c r="DC4" s="98"/>
      <c r="DD4" s="98"/>
      <c r="DE4" s="98"/>
      <c r="DF4" s="98"/>
      <c r="DG4" s="98"/>
      <c r="DH4" s="98"/>
      <c r="DI4" s="98"/>
      <c r="DJ4" s="98"/>
      <c r="DK4" s="98"/>
      <c r="DL4" s="98"/>
      <c r="DM4" s="98"/>
      <c r="DN4" s="98"/>
      <c r="DO4" s="98"/>
      <c r="DP4" s="98"/>
      <c r="DQ4" s="98"/>
      <c r="DR4" s="98"/>
      <c r="DS4" s="98"/>
      <c r="DT4" s="107"/>
      <c r="DU4" s="107"/>
      <c r="DV4" s="107"/>
      <c r="DW4" s="107"/>
      <c r="DX4" s="107"/>
      <c r="DY4" s="107"/>
      <c r="DZ4" s="111"/>
      <c r="EA4" s="111"/>
      <c r="EB4" s="107"/>
      <c r="EC4" s="111"/>
      <c r="ED4" s="111"/>
      <c r="EE4" s="102"/>
    </row>
    <row r="5" spans="1:135" ht="8.1" customHeight="1" x14ac:dyDescent="0.2">
      <c r="DT5" s="61"/>
      <c r="DU5" s="61"/>
      <c r="DV5" s="61"/>
      <c r="DW5" s="61"/>
      <c r="DX5" s="61"/>
      <c r="DY5" s="61"/>
      <c r="DZ5" s="82"/>
      <c r="EA5" s="82"/>
      <c r="EB5" s="61"/>
      <c r="EC5" s="82"/>
      <c r="ED5" s="82"/>
      <c r="EE5" s="102"/>
    </row>
    <row r="6" spans="1:135" ht="39.950000000000003" customHeight="1" x14ac:dyDescent="0.2">
      <c r="D6" s="99">
        <f>设置!F11</f>
        <v>1</v>
      </c>
      <c r="E6" s="153" t="str">
        <f>设置!F11 &amp;" - 历史记录"</f>
        <v>1 - 历史记录</v>
      </c>
      <c r="F6" s="153"/>
      <c r="G6" s="100">
        <f>设置!F12</f>
        <v>2</v>
      </c>
      <c r="H6" s="151" t="str">
        <f>设置!F12 &amp;" - 历史记录"</f>
        <v>2 - 历史记录</v>
      </c>
      <c r="I6" s="151"/>
      <c r="J6" s="99">
        <f>设置!F13</f>
        <v>3</v>
      </c>
      <c r="K6" s="153" t="str">
        <f>设置!F13 &amp;" - 历史记录"</f>
        <v>3 - 历史记录</v>
      </c>
      <c r="L6" s="153"/>
      <c r="M6" s="100">
        <f>设置!F14</f>
        <v>4</v>
      </c>
      <c r="N6" s="151" t="str">
        <f>设置!F14 &amp;" - 历史记录"</f>
        <v>4 - 历史记录</v>
      </c>
      <c r="O6" s="151"/>
      <c r="P6" s="99">
        <f>设置!F15</f>
        <v>5</v>
      </c>
      <c r="Q6" s="153" t="str">
        <f>设置!F15 &amp;" - 历史记录"</f>
        <v>5 - 历史记录</v>
      </c>
      <c r="R6" s="153"/>
      <c r="S6" s="100">
        <f>设置!F16</f>
        <v>6</v>
      </c>
      <c r="T6" s="151" t="str">
        <f>设置!F16 &amp;" - 历史记录"</f>
        <v>6 - 历史记录</v>
      </c>
      <c r="U6" s="151"/>
      <c r="V6" s="99">
        <f>设置!F17</f>
        <v>7</v>
      </c>
      <c r="W6" s="153" t="str">
        <f>设置!F17 &amp;" - 历史记录"</f>
        <v>7 - 历史记录</v>
      </c>
      <c r="X6" s="153"/>
      <c r="Y6" s="100">
        <f>设置!F18</f>
        <v>8</v>
      </c>
      <c r="Z6" s="151" t="str">
        <f>设置!F18 &amp;" - 历史记录"</f>
        <v>8 - 历史记录</v>
      </c>
      <c r="AA6" s="151"/>
      <c r="AB6" s="99">
        <f>设置!F19</f>
        <v>9</v>
      </c>
      <c r="AC6" s="153" t="str">
        <f>设置!F19 &amp;" - 历史记录"</f>
        <v>9 - 历史记录</v>
      </c>
      <c r="AD6" s="153"/>
      <c r="AE6" s="100">
        <f>设置!F20</f>
        <v>10</v>
      </c>
      <c r="AF6" s="151" t="str">
        <f>设置!F20 &amp;" - 历史记录"</f>
        <v>10 - 历史记录</v>
      </c>
      <c r="AG6" s="151"/>
      <c r="AH6" s="99">
        <f>设置!F21</f>
        <v>11</v>
      </c>
      <c r="AI6" s="153" t="str">
        <f>设置!F21 &amp;" - 历史记录"</f>
        <v>11 - 历史记录</v>
      </c>
      <c r="AJ6" s="153"/>
      <c r="AK6" s="100">
        <f>设置!F22</f>
        <v>12</v>
      </c>
      <c r="AL6" s="151" t="str">
        <f>设置!F22 &amp;" - 历史记录"</f>
        <v>12 - 历史记录</v>
      </c>
      <c r="AM6" s="151"/>
      <c r="AN6" s="99">
        <f>设置!F23</f>
        <v>13</v>
      </c>
      <c r="AO6" s="153" t="str">
        <f>设置!F23 &amp;" - 历史记录"</f>
        <v>13 - 历史记录</v>
      </c>
      <c r="AP6" s="153"/>
      <c r="AQ6" s="100">
        <f>设置!F24</f>
        <v>14</v>
      </c>
      <c r="AR6" s="151" t="str">
        <f>设置!F24 &amp;" - 历史记录"</f>
        <v>14 - 历史记录</v>
      </c>
      <c r="AS6" s="151"/>
      <c r="AT6" s="99">
        <f>设置!F25</f>
        <v>15</v>
      </c>
      <c r="AU6" s="153" t="str">
        <f>设置!F25 &amp;" - 历史记录"</f>
        <v>15 - 历史记录</v>
      </c>
      <c r="AV6" s="153"/>
      <c r="AW6" s="100">
        <f>设置!F26</f>
        <v>16</v>
      </c>
      <c r="AX6" s="151" t="str">
        <f>设置!F26 &amp;" - 历史记录"</f>
        <v>16 - 历史记录</v>
      </c>
      <c r="AY6" s="151"/>
      <c r="AZ6" s="99">
        <f>设置!F27</f>
        <v>17</v>
      </c>
      <c r="BA6" s="153" t="str">
        <f>设置!F27 &amp;" - 历史记录"</f>
        <v>17 - 历史记录</v>
      </c>
      <c r="BB6" s="153"/>
      <c r="BC6" s="100">
        <f>设置!F28</f>
        <v>18</v>
      </c>
      <c r="BD6" s="151" t="str">
        <f>设置!F28 &amp;" - 历史记录"</f>
        <v>18 - 历史记录</v>
      </c>
      <c r="BE6" s="151"/>
      <c r="BF6" s="99">
        <f>设置!F29</f>
        <v>19</v>
      </c>
      <c r="BG6" s="153" t="str">
        <f>设置!F29 &amp;" - 历史记录"</f>
        <v>19 - 历史记录</v>
      </c>
      <c r="BH6" s="153"/>
      <c r="BI6" s="100">
        <f>设置!F30</f>
        <v>20</v>
      </c>
      <c r="BJ6" s="151" t="str">
        <f>设置!F30 &amp;" - 历史记录"</f>
        <v>20 - 历史记录</v>
      </c>
      <c r="BK6" s="151"/>
      <c r="BL6" s="101">
        <f>设置!F31</f>
        <v>21</v>
      </c>
      <c r="BM6" s="152" t="str">
        <f>设置!F31 &amp;" - 历史记录"</f>
        <v>21 - 历史记录</v>
      </c>
      <c r="BN6" s="152"/>
      <c r="BO6" s="100">
        <f>设置!F32</f>
        <v>22</v>
      </c>
      <c r="BP6" s="151" t="str">
        <f>设置!F32 &amp;" - 历史记录"</f>
        <v>22 - 历史记录</v>
      </c>
      <c r="BQ6" s="151"/>
      <c r="BR6" s="101">
        <f>设置!F33</f>
        <v>23</v>
      </c>
      <c r="BS6" s="152" t="str">
        <f>设置!F33 &amp;" - 历史记录"</f>
        <v>23 - 历史记录</v>
      </c>
      <c r="BT6" s="152"/>
      <c r="BU6" s="100">
        <f>设置!F34</f>
        <v>24</v>
      </c>
      <c r="BV6" s="151" t="str">
        <f>设置!F34 &amp;" - 历史记录"</f>
        <v>24 - 历史记录</v>
      </c>
      <c r="BW6" s="151"/>
      <c r="BX6" s="101">
        <f>设置!F35</f>
        <v>25</v>
      </c>
      <c r="BY6" s="152" t="str">
        <f>设置!F35 &amp;" - 历史记录"</f>
        <v>25 - 历史记录</v>
      </c>
      <c r="BZ6" s="152"/>
      <c r="CA6" s="100">
        <f>设置!F36</f>
        <v>26</v>
      </c>
      <c r="CB6" s="151" t="str">
        <f>设置!F36 &amp;" - 历史记录"</f>
        <v>26 - 历史记录</v>
      </c>
      <c r="CC6" s="151"/>
      <c r="CD6" s="101">
        <f>设置!F37</f>
        <v>27</v>
      </c>
      <c r="CE6" s="152" t="str">
        <f>设置!F37 &amp;" - 历史记录"</f>
        <v>27 - 历史记录</v>
      </c>
      <c r="CF6" s="152"/>
      <c r="CG6" s="100">
        <f>设置!F38</f>
        <v>28</v>
      </c>
      <c r="CH6" s="151" t="str">
        <f>设置!F38 &amp;" - 历史记录"</f>
        <v>28 - 历史记录</v>
      </c>
      <c r="CI6" s="151"/>
      <c r="CJ6" s="101">
        <f>设置!F39</f>
        <v>29</v>
      </c>
      <c r="CK6" s="152" t="str">
        <f>设置!F39 &amp;" - 历史记录"</f>
        <v>29 - 历史记录</v>
      </c>
      <c r="CL6" s="152"/>
      <c r="CM6" s="100">
        <f>设置!F40</f>
        <v>30</v>
      </c>
      <c r="CN6" s="151" t="str">
        <f>设置!F40 &amp;" - 历史记录"</f>
        <v>30 - 历史记录</v>
      </c>
      <c r="CO6" s="151"/>
      <c r="CP6" s="101">
        <f>设置!F41</f>
        <v>31</v>
      </c>
      <c r="CQ6" s="152" t="str">
        <f>设置!F41 &amp;" - 历史记录"</f>
        <v>31 - 历史记录</v>
      </c>
      <c r="CR6" s="152"/>
      <c r="CS6" s="100">
        <f>设置!F42</f>
        <v>32</v>
      </c>
      <c r="CT6" s="151" t="str">
        <f>设置!F42 &amp;" - 历史记录"</f>
        <v>32 - 历史记录</v>
      </c>
      <c r="CU6" s="151"/>
      <c r="CV6" s="101">
        <f>设置!F43</f>
        <v>33</v>
      </c>
      <c r="CW6" s="152" t="str">
        <f>设置!F43 &amp;" - 历史记录"</f>
        <v>33 - 历史记录</v>
      </c>
      <c r="CX6" s="152"/>
      <c r="CY6" s="100">
        <f>设置!F44</f>
        <v>34</v>
      </c>
      <c r="CZ6" s="151" t="str">
        <f>设置!F44 &amp;" - 历史记录"</f>
        <v>34 - 历史记录</v>
      </c>
      <c r="DA6" s="151"/>
      <c r="DB6" s="101">
        <f>设置!F45</f>
        <v>35</v>
      </c>
      <c r="DC6" s="152" t="str">
        <f>设置!F45 &amp;" - 历史记录"</f>
        <v>35 - 历史记录</v>
      </c>
      <c r="DD6" s="152"/>
      <c r="DE6" s="100">
        <f>设置!F46</f>
        <v>36</v>
      </c>
      <c r="DF6" s="151" t="str">
        <f>设置!F46 &amp;" - 历史记录"</f>
        <v>36 - 历史记录</v>
      </c>
      <c r="DG6" s="151"/>
      <c r="DH6" s="101">
        <f>设置!F47</f>
        <v>37</v>
      </c>
      <c r="DI6" s="152" t="str">
        <f>设置!F47 &amp;" - 历史记录"</f>
        <v>37 - 历史记录</v>
      </c>
      <c r="DJ6" s="152"/>
      <c r="DK6" s="100">
        <f>设置!F48</f>
        <v>38</v>
      </c>
      <c r="DL6" s="151" t="str">
        <f>设置!F48 &amp;" - 历史记录"</f>
        <v>38 - 历史记录</v>
      </c>
      <c r="DM6" s="151"/>
      <c r="DN6" s="101">
        <f>设置!F49</f>
        <v>39</v>
      </c>
      <c r="DO6" s="152" t="str">
        <f>设置!F49 &amp;" - 历史记录"</f>
        <v>39 - 历史记录</v>
      </c>
      <c r="DP6" s="152"/>
      <c r="DQ6" s="100">
        <f>设置!F50</f>
        <v>40</v>
      </c>
      <c r="DR6" s="151" t="str">
        <f>设置!F50 &amp;" - 历史记录"</f>
        <v>40 - 历史记录</v>
      </c>
      <c r="DS6" s="151"/>
      <c r="DT6" s="153" t="s">
        <v>72</v>
      </c>
      <c r="DU6" s="153"/>
      <c r="DV6" s="153"/>
      <c r="DW6" s="153"/>
      <c r="DX6" s="153"/>
      <c r="DY6" s="153" t="s">
        <v>88</v>
      </c>
      <c r="DZ6" s="153"/>
      <c r="EA6" s="153"/>
      <c r="EB6" s="153" t="s">
        <v>276</v>
      </c>
      <c r="EC6" s="153"/>
      <c r="ED6" s="114"/>
      <c r="EE6" s="102"/>
    </row>
    <row r="7" spans="1:135" ht="8.1" customHeight="1" x14ac:dyDescent="0.2">
      <c r="DT7" s="61"/>
      <c r="DU7" s="61"/>
      <c r="DV7" s="61"/>
      <c r="DW7" s="61"/>
      <c r="DX7" s="61"/>
      <c r="DY7" s="61"/>
      <c r="DZ7" s="82"/>
      <c r="EA7" s="82"/>
      <c r="EB7" s="61"/>
      <c r="EC7" s="82"/>
      <c r="ED7" s="82"/>
      <c r="EE7" s="102"/>
    </row>
    <row r="8" spans="1:135" ht="39.950000000000003" customHeight="1" x14ac:dyDescent="0.2">
      <c r="A8" s="102"/>
      <c r="B8" s="103" t="s">
        <v>0</v>
      </c>
      <c r="C8" s="103" t="s">
        <v>3</v>
      </c>
      <c r="D8" s="103" t="s">
        <v>125</v>
      </c>
      <c r="E8" s="103" t="s">
        <v>81</v>
      </c>
      <c r="F8" s="103" t="s">
        <v>80</v>
      </c>
      <c r="G8" s="103" t="s">
        <v>71</v>
      </c>
      <c r="H8" s="103" t="s">
        <v>79</v>
      </c>
      <c r="I8" s="103" t="s">
        <v>78</v>
      </c>
      <c r="J8" s="103" t="s">
        <v>58</v>
      </c>
      <c r="K8" s="103" t="s">
        <v>42</v>
      </c>
      <c r="L8" s="103" t="s">
        <v>77</v>
      </c>
      <c r="M8" s="103" t="s">
        <v>59</v>
      </c>
      <c r="N8" s="103" t="s">
        <v>43</v>
      </c>
      <c r="O8" s="103" t="s">
        <v>76</v>
      </c>
      <c r="P8" s="103" t="s">
        <v>60</v>
      </c>
      <c r="Q8" s="103" t="s">
        <v>44</v>
      </c>
      <c r="R8" s="103" t="s">
        <v>75</v>
      </c>
      <c r="S8" s="103" t="s">
        <v>61</v>
      </c>
      <c r="T8" s="103" t="s">
        <v>45</v>
      </c>
      <c r="U8" s="103" t="s">
        <v>68</v>
      </c>
      <c r="V8" s="103" t="s">
        <v>62</v>
      </c>
      <c r="W8" s="103" t="s">
        <v>46</v>
      </c>
      <c r="X8" s="103" t="s">
        <v>51</v>
      </c>
      <c r="Y8" s="103" t="s">
        <v>63</v>
      </c>
      <c r="Z8" s="103" t="s">
        <v>47</v>
      </c>
      <c r="AA8" s="103" t="s">
        <v>52</v>
      </c>
      <c r="AB8" s="103" t="s">
        <v>64</v>
      </c>
      <c r="AC8" s="103" t="s">
        <v>48</v>
      </c>
      <c r="AD8" s="103" t="s">
        <v>53</v>
      </c>
      <c r="AE8" s="103" t="s">
        <v>65</v>
      </c>
      <c r="AF8" s="103" t="s">
        <v>49</v>
      </c>
      <c r="AG8" s="103" t="s">
        <v>54</v>
      </c>
      <c r="AH8" s="103" t="s">
        <v>66</v>
      </c>
      <c r="AI8" s="103" t="s">
        <v>50</v>
      </c>
      <c r="AJ8" s="103" t="s">
        <v>55</v>
      </c>
      <c r="AK8" s="103" t="s">
        <v>67</v>
      </c>
      <c r="AL8" s="103" t="s">
        <v>56</v>
      </c>
      <c r="AM8" s="103" t="s">
        <v>57</v>
      </c>
      <c r="AN8" s="103" t="s">
        <v>100</v>
      </c>
      <c r="AO8" s="103" t="s">
        <v>101</v>
      </c>
      <c r="AP8" s="103" t="s">
        <v>99</v>
      </c>
      <c r="AQ8" s="103" t="s">
        <v>104</v>
      </c>
      <c r="AR8" s="103" t="s">
        <v>103</v>
      </c>
      <c r="AS8" s="103" t="s">
        <v>102</v>
      </c>
      <c r="AT8" s="103" t="s">
        <v>110</v>
      </c>
      <c r="AU8" s="103" t="s">
        <v>109</v>
      </c>
      <c r="AV8" s="103" t="s">
        <v>107</v>
      </c>
      <c r="AW8" s="103" t="s">
        <v>106</v>
      </c>
      <c r="AX8" s="103" t="s">
        <v>105</v>
      </c>
      <c r="AY8" s="103" t="s">
        <v>108</v>
      </c>
      <c r="AZ8" s="103" t="s">
        <v>113</v>
      </c>
      <c r="BA8" s="103" t="s">
        <v>112</v>
      </c>
      <c r="BB8" s="103" t="s">
        <v>111</v>
      </c>
      <c r="BC8" s="103" t="s">
        <v>114</v>
      </c>
      <c r="BD8" s="103" t="s">
        <v>115</v>
      </c>
      <c r="BE8" s="103" t="s">
        <v>116</v>
      </c>
      <c r="BF8" s="103" t="s">
        <v>117</v>
      </c>
      <c r="BG8" s="103" t="s">
        <v>118</v>
      </c>
      <c r="BH8" s="103" t="s">
        <v>119</v>
      </c>
      <c r="BI8" s="103" t="s">
        <v>120</v>
      </c>
      <c r="BJ8" s="103" t="s">
        <v>121</v>
      </c>
      <c r="BK8" s="103" t="s">
        <v>122</v>
      </c>
      <c r="BL8" s="103" t="s">
        <v>160</v>
      </c>
      <c r="BM8" s="103" t="s">
        <v>161</v>
      </c>
      <c r="BN8" s="103" t="s">
        <v>159</v>
      </c>
      <c r="BO8" s="103" t="s">
        <v>162</v>
      </c>
      <c r="BP8" s="103" t="s">
        <v>163</v>
      </c>
      <c r="BQ8" s="103" t="s">
        <v>164</v>
      </c>
      <c r="BR8" s="103" t="s">
        <v>165</v>
      </c>
      <c r="BS8" s="103" t="s">
        <v>166</v>
      </c>
      <c r="BT8" s="103" t="s">
        <v>167</v>
      </c>
      <c r="BU8" s="103" t="s">
        <v>168</v>
      </c>
      <c r="BV8" s="103" t="s">
        <v>169</v>
      </c>
      <c r="BW8" s="103" t="s">
        <v>170</v>
      </c>
      <c r="BX8" s="103" t="s">
        <v>171</v>
      </c>
      <c r="BY8" s="103" t="s">
        <v>172</v>
      </c>
      <c r="BZ8" s="103" t="s">
        <v>173</v>
      </c>
      <c r="CA8" s="103" t="s">
        <v>174</v>
      </c>
      <c r="CB8" s="103" t="s">
        <v>175</v>
      </c>
      <c r="CC8" s="103" t="s">
        <v>176</v>
      </c>
      <c r="CD8" s="103" t="s">
        <v>177</v>
      </c>
      <c r="CE8" s="103" t="s">
        <v>178</v>
      </c>
      <c r="CF8" s="103" t="s">
        <v>179</v>
      </c>
      <c r="CG8" s="103" t="s">
        <v>180</v>
      </c>
      <c r="CH8" s="103" t="s">
        <v>181</v>
      </c>
      <c r="CI8" s="103" t="s">
        <v>182</v>
      </c>
      <c r="CJ8" s="103" t="s">
        <v>183</v>
      </c>
      <c r="CK8" s="103" t="s">
        <v>184</v>
      </c>
      <c r="CL8" s="103" t="s">
        <v>185</v>
      </c>
      <c r="CM8" s="103" t="s">
        <v>186</v>
      </c>
      <c r="CN8" s="103" t="s">
        <v>187</v>
      </c>
      <c r="CO8" s="103" t="s">
        <v>188</v>
      </c>
      <c r="CP8" s="103" t="s">
        <v>189</v>
      </c>
      <c r="CQ8" s="103" t="s">
        <v>190</v>
      </c>
      <c r="CR8" s="103" t="s">
        <v>191</v>
      </c>
      <c r="CS8" s="103" t="s">
        <v>192</v>
      </c>
      <c r="CT8" s="103" t="s">
        <v>193</v>
      </c>
      <c r="CU8" s="103" t="s">
        <v>194</v>
      </c>
      <c r="CV8" s="103" t="s">
        <v>195</v>
      </c>
      <c r="CW8" s="103" t="s">
        <v>196</v>
      </c>
      <c r="CX8" s="103" t="s">
        <v>197</v>
      </c>
      <c r="CY8" s="103" t="s">
        <v>198</v>
      </c>
      <c r="CZ8" s="103" t="s">
        <v>199</v>
      </c>
      <c r="DA8" s="103" t="s">
        <v>200</v>
      </c>
      <c r="DB8" s="103" t="s">
        <v>201</v>
      </c>
      <c r="DC8" s="103" t="s">
        <v>202</v>
      </c>
      <c r="DD8" s="103" t="s">
        <v>203</v>
      </c>
      <c r="DE8" s="103" t="s">
        <v>204</v>
      </c>
      <c r="DF8" s="103" t="s">
        <v>205</v>
      </c>
      <c r="DG8" s="103" t="s">
        <v>206</v>
      </c>
      <c r="DH8" s="103" t="s">
        <v>208</v>
      </c>
      <c r="DI8" s="103" t="s">
        <v>209</v>
      </c>
      <c r="DJ8" s="103" t="s">
        <v>207</v>
      </c>
      <c r="DK8" s="103" t="s">
        <v>210</v>
      </c>
      <c r="DL8" s="103" t="s">
        <v>211</v>
      </c>
      <c r="DM8" s="103" t="s">
        <v>212</v>
      </c>
      <c r="DN8" s="103" t="s">
        <v>213</v>
      </c>
      <c r="DO8" s="103" t="s">
        <v>214</v>
      </c>
      <c r="DP8" s="103" t="s">
        <v>215</v>
      </c>
      <c r="DQ8" s="103" t="s">
        <v>216</v>
      </c>
      <c r="DR8" s="103" t="s">
        <v>217</v>
      </c>
      <c r="DS8" s="103" t="s">
        <v>218</v>
      </c>
      <c r="DT8" s="103" t="s">
        <v>27</v>
      </c>
      <c r="DU8" s="103" t="s">
        <v>28</v>
      </c>
      <c r="DV8" s="103" t="s">
        <v>1</v>
      </c>
      <c r="DW8" s="103" t="s">
        <v>22</v>
      </c>
      <c r="DX8" s="103" t="s">
        <v>21</v>
      </c>
      <c r="DY8" s="103" t="s">
        <v>2</v>
      </c>
      <c r="DZ8" s="112" t="s">
        <v>23</v>
      </c>
      <c r="EA8" s="112" t="s">
        <v>24</v>
      </c>
      <c r="EB8" s="108" t="s">
        <v>73</v>
      </c>
      <c r="EC8" s="112" t="s">
        <v>74</v>
      </c>
      <c r="ED8" s="112" t="s">
        <v>7</v>
      </c>
      <c r="EE8" s="102"/>
    </row>
    <row r="9" spans="1:135" ht="39.950000000000003" customHeight="1" x14ac:dyDescent="0.2">
      <c r="B9" s="56" cm="1">
        <f t="array" ref="B9">SN</f>
        <v>1</v>
      </c>
      <c r="C9" s="104" t="str" cm="1">
        <f t="array" ref="C9">GUID</f>
        <v>冯毅 | 男 | 9955</v>
      </c>
      <c r="D9" s="105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5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5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5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5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5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5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5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5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5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5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5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5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5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5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5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5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5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5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5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72" t="s">
        <v>231</v>
      </c>
      <c r="DU9" s="73" t="s">
        <v>232</v>
      </c>
      <c r="DV9" s="74" t="s">
        <v>10</v>
      </c>
      <c r="DW9" s="74" t="s">
        <v>127</v>
      </c>
      <c r="DX9" s="55"/>
      <c r="DY9" s="74" t="s">
        <v>286</v>
      </c>
      <c r="DZ9" s="74" t="s">
        <v>269</v>
      </c>
      <c r="EA9" s="74" t="s">
        <v>127</v>
      </c>
      <c r="EB9" s="92">
        <v>45268.505555555559</v>
      </c>
      <c r="EC9" s="113"/>
      <c r="ED9" s="140" t="s">
        <v>291</v>
      </c>
      <c r="EE9" s="13"/>
    </row>
    <row r="10" spans="1:135" ht="39.950000000000003" customHeight="1" x14ac:dyDescent="0.2">
      <c r="B10" s="54" cm="1">
        <f t="array" ref="B10">SN</f>
        <v>2</v>
      </c>
      <c r="C10" s="125" t="str" cm="1">
        <f t="array" ref="C10">GUID</f>
        <v>李怡 | 女 | 7551</v>
      </c>
      <c r="D10" s="126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6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6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6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6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6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6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6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6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6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6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6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6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6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6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6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6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6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6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6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72" t="s">
        <v>281</v>
      </c>
      <c r="DU10" s="73" t="s">
        <v>282</v>
      </c>
      <c r="DV10" s="74" t="s">
        <v>11</v>
      </c>
      <c r="DW10" s="74" t="s">
        <v>127</v>
      </c>
      <c r="DX10" s="55"/>
      <c r="DY10" s="74" t="s">
        <v>287</v>
      </c>
      <c r="DZ10" s="74"/>
      <c r="EA10" s="74"/>
      <c r="EB10" s="92">
        <v>45268.505555555559</v>
      </c>
      <c r="EC10" s="113"/>
      <c r="ED10" s="140" t="s">
        <v>291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61" customWidth="1"/>
    <col min="2" max="2" width="8.7109375" style="61" customWidth="1"/>
    <col min="3" max="3" width="30.7109375" style="95" customWidth="1"/>
    <col min="4" max="43" width="12.7109375" style="96" customWidth="1"/>
    <col min="44" max="44" width="12.7109375" style="93" customWidth="1"/>
    <col min="45" max="45" width="26.7109375" style="94" customWidth="1"/>
    <col min="46" max="46" width="18.7109375" style="93" customWidth="1"/>
    <col min="47" max="47" width="44.7109375" style="128" customWidth="1"/>
    <col min="48" max="48" width="2.7109375" style="61" customWidth="1"/>
    <col min="49" max="49" width="14.7109375" style="61" hidden="1" customWidth="1"/>
    <col min="50" max="50" width="8.7109375" style="61" hidden="1" customWidth="1"/>
    <col min="51" max="51" width="20.7109375" style="61" hidden="1" customWidth="1"/>
    <col min="52" max="52" width="0" style="61" hidden="1" customWidth="1"/>
    <col min="53" max="16384" width="9.140625" style="61" hidden="1"/>
  </cols>
  <sheetData>
    <row r="1" spans="2:47" s="109" customFormat="1" ht="6" customHeight="1" x14ac:dyDescent="0.25"/>
    <row r="2" spans="2:47" s="60" customFormat="1" ht="54.95" customHeight="1" x14ac:dyDescent="0.25">
      <c r="B2" s="59" t="str">
        <f>设置!D7 &amp;" - 历史记录"</f>
        <v>Yi - 历史记录</v>
      </c>
      <c r="D2" s="110"/>
    </row>
    <row r="3" spans="2:47" ht="8.1" customHeight="1" x14ac:dyDescent="0.25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</row>
    <row r="4" spans="2:47" s="102" customFormat="1" ht="6" customHeight="1" x14ac:dyDescent="0.2">
      <c r="B4" s="98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</row>
    <row r="5" spans="2:47" ht="8.1" customHeight="1" x14ac:dyDescent="0.2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</row>
    <row r="6" spans="2:47" s="102" customFormat="1" ht="39.950000000000003" customHeight="1" x14ac:dyDescent="0.2">
      <c r="D6" s="99">
        <f>设置!F11</f>
        <v>1</v>
      </c>
      <c r="E6" s="100">
        <f>设置!F12</f>
        <v>2</v>
      </c>
      <c r="F6" s="99">
        <f>设置!F13</f>
        <v>3</v>
      </c>
      <c r="G6" s="100">
        <f>设置!F14</f>
        <v>4</v>
      </c>
      <c r="H6" s="99">
        <f>设置!F15</f>
        <v>5</v>
      </c>
      <c r="I6" s="100">
        <f>设置!F16</f>
        <v>6</v>
      </c>
      <c r="J6" s="99">
        <f>设置!F17</f>
        <v>7</v>
      </c>
      <c r="K6" s="100">
        <f>设置!F18</f>
        <v>8</v>
      </c>
      <c r="L6" s="99">
        <f>设置!F19</f>
        <v>9</v>
      </c>
      <c r="M6" s="100">
        <f>设置!F20</f>
        <v>10</v>
      </c>
      <c r="N6" s="99">
        <f>设置!F21</f>
        <v>11</v>
      </c>
      <c r="O6" s="100">
        <f>设置!F22</f>
        <v>12</v>
      </c>
      <c r="P6" s="99">
        <f>设置!F23</f>
        <v>13</v>
      </c>
      <c r="Q6" s="100">
        <f>设置!F24</f>
        <v>14</v>
      </c>
      <c r="R6" s="99">
        <f>设置!F25</f>
        <v>15</v>
      </c>
      <c r="S6" s="100">
        <f>设置!F26</f>
        <v>16</v>
      </c>
      <c r="T6" s="99">
        <f>设置!F27</f>
        <v>17</v>
      </c>
      <c r="U6" s="100">
        <f>设置!F28</f>
        <v>18</v>
      </c>
      <c r="V6" s="99">
        <f>设置!F29</f>
        <v>19</v>
      </c>
      <c r="W6" s="100">
        <f>设置!F30</f>
        <v>20</v>
      </c>
      <c r="X6" s="99">
        <f>设置!F31</f>
        <v>21</v>
      </c>
      <c r="Y6" s="100">
        <f>设置!F32</f>
        <v>22</v>
      </c>
      <c r="Z6" s="99">
        <f>设置!F33</f>
        <v>23</v>
      </c>
      <c r="AA6" s="100">
        <f>设置!F34</f>
        <v>24</v>
      </c>
      <c r="AB6" s="99">
        <f>设置!F35</f>
        <v>25</v>
      </c>
      <c r="AC6" s="100">
        <f>设置!F36</f>
        <v>26</v>
      </c>
      <c r="AD6" s="99">
        <f>设置!F37</f>
        <v>27</v>
      </c>
      <c r="AE6" s="100">
        <f>设置!F38</f>
        <v>28</v>
      </c>
      <c r="AF6" s="99">
        <f>设置!F39</f>
        <v>29</v>
      </c>
      <c r="AG6" s="100">
        <f>设置!F40</f>
        <v>30</v>
      </c>
      <c r="AH6" s="99">
        <f>设置!F41</f>
        <v>31</v>
      </c>
      <c r="AI6" s="100">
        <f>设置!F42</f>
        <v>32</v>
      </c>
      <c r="AJ6" s="99">
        <f>设置!F43</f>
        <v>33</v>
      </c>
      <c r="AK6" s="100">
        <f>设置!F44</f>
        <v>34</v>
      </c>
      <c r="AL6" s="99">
        <f>设置!F45</f>
        <v>35</v>
      </c>
      <c r="AM6" s="100">
        <f>设置!F46</f>
        <v>36</v>
      </c>
      <c r="AN6" s="99">
        <f>设置!F47</f>
        <v>37</v>
      </c>
      <c r="AO6" s="100">
        <f>设置!F48</f>
        <v>38</v>
      </c>
      <c r="AP6" s="99">
        <f>设置!F49</f>
        <v>39</v>
      </c>
      <c r="AQ6" s="100">
        <f>设置!F50</f>
        <v>40</v>
      </c>
      <c r="AR6" s="153" t="s">
        <v>83</v>
      </c>
      <c r="AS6" s="153"/>
      <c r="AT6" s="153"/>
      <c r="AU6" s="153"/>
    </row>
    <row r="7" spans="2:47" s="102" customFormat="1" ht="8.1" customHeight="1" x14ac:dyDescent="0.2"/>
    <row r="8" spans="2:47" ht="39.950000000000003" customHeight="1" x14ac:dyDescent="0.25">
      <c r="B8" s="103" t="s">
        <v>0</v>
      </c>
      <c r="C8" s="103" t="s">
        <v>3</v>
      </c>
      <c r="D8" s="103" t="s">
        <v>69</v>
      </c>
      <c r="E8" s="103" t="s">
        <v>70</v>
      </c>
      <c r="F8" s="103" t="s">
        <v>31</v>
      </c>
      <c r="G8" s="103" t="s">
        <v>32</v>
      </c>
      <c r="H8" s="103" t="s">
        <v>33</v>
      </c>
      <c r="I8" s="103" t="s">
        <v>34</v>
      </c>
      <c r="J8" s="103" t="s">
        <v>35</v>
      </c>
      <c r="K8" s="103" t="s">
        <v>36</v>
      </c>
      <c r="L8" s="103" t="s">
        <v>37</v>
      </c>
      <c r="M8" s="103" t="s">
        <v>39</v>
      </c>
      <c r="N8" s="103" t="s">
        <v>38</v>
      </c>
      <c r="O8" s="103" t="s">
        <v>40</v>
      </c>
      <c r="P8" s="103" t="s">
        <v>91</v>
      </c>
      <c r="Q8" s="103" t="s">
        <v>92</v>
      </c>
      <c r="R8" s="103" t="s">
        <v>93</v>
      </c>
      <c r="S8" s="103" t="s">
        <v>94</v>
      </c>
      <c r="T8" s="103" t="s">
        <v>95</v>
      </c>
      <c r="U8" s="103" t="s">
        <v>96</v>
      </c>
      <c r="V8" s="103" t="s">
        <v>97</v>
      </c>
      <c r="W8" s="103" t="s">
        <v>98</v>
      </c>
      <c r="X8" s="103" t="s">
        <v>140</v>
      </c>
      <c r="Y8" s="103" t="s">
        <v>141</v>
      </c>
      <c r="Z8" s="103" t="s">
        <v>142</v>
      </c>
      <c r="AA8" s="103" t="s">
        <v>143</v>
      </c>
      <c r="AB8" s="103" t="s">
        <v>144</v>
      </c>
      <c r="AC8" s="103" t="s">
        <v>145</v>
      </c>
      <c r="AD8" s="103" t="s">
        <v>146</v>
      </c>
      <c r="AE8" s="103" t="s">
        <v>147</v>
      </c>
      <c r="AF8" s="103" t="s">
        <v>148</v>
      </c>
      <c r="AG8" s="103" t="s">
        <v>149</v>
      </c>
      <c r="AH8" s="103" t="s">
        <v>139</v>
      </c>
      <c r="AI8" s="103" t="s">
        <v>150</v>
      </c>
      <c r="AJ8" s="103" t="s">
        <v>151</v>
      </c>
      <c r="AK8" s="103" t="s">
        <v>152</v>
      </c>
      <c r="AL8" s="103" t="s">
        <v>153</v>
      </c>
      <c r="AM8" s="103" t="s">
        <v>154</v>
      </c>
      <c r="AN8" s="103" t="s">
        <v>155</v>
      </c>
      <c r="AO8" s="103" t="s">
        <v>156</v>
      </c>
      <c r="AP8" s="103" t="s">
        <v>157</v>
      </c>
      <c r="AQ8" s="103" t="s">
        <v>158</v>
      </c>
      <c r="AR8" s="103" t="s">
        <v>5</v>
      </c>
      <c r="AS8" s="103" t="s">
        <v>4</v>
      </c>
      <c r="AT8" s="103" t="s">
        <v>6</v>
      </c>
      <c r="AU8" s="103" t="s">
        <v>7</v>
      </c>
    </row>
    <row r="9" spans="2:47" ht="39.75" customHeight="1" x14ac:dyDescent="0.25">
      <c r="B9" s="56" cm="1">
        <f t="array" ref="B9">SN</f>
        <v>1</v>
      </c>
      <c r="C9" s="75" t="s">
        <v>289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55" t="s">
        <v>9</v>
      </c>
      <c r="AS9" s="92">
        <v>45268.505555555559</v>
      </c>
      <c r="AT9" s="55"/>
      <c r="AU9" s="97" t="s">
        <v>291</v>
      </c>
    </row>
    <row r="10" spans="2:47" ht="39.950000000000003" customHeight="1" x14ac:dyDescent="0.25">
      <c r="B10" s="54" cm="1">
        <f t="array" ref="B10">SN</f>
        <v>2</v>
      </c>
      <c r="C10" s="127" t="s">
        <v>288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55" t="s">
        <v>9</v>
      </c>
      <c r="AS10" s="92">
        <v>45268.505555555559</v>
      </c>
      <c r="AT10" s="55"/>
      <c r="AU10" s="97" t="s">
        <v>291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2023-12-13T10:04:48Z</cp:lastPrinted>
  <dcterms:created xsi:type="dcterms:W3CDTF">2023-11-27T09:49:08Z</dcterms:created>
  <dcterms:modified xsi:type="dcterms:W3CDTF">2023-12-14T07:42:38Z</dcterms:modified>
</cp:coreProperties>
</file>