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E647DE6-5762-425E-A974-A647EC699AD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<sst xmlns="http://schemas.openxmlformats.org/spreadsheetml/2006/main" count="688" uniqueCount="466">
  <si>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</si>
  <si>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</si>
  <si>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</si>
  <si>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</si>
  <si>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</si>
  <si>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</si>
  <si>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</si>
  <si>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</si>
  <si>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</si>
  <si>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</si>
  <si>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</si>
  <si>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</si>
  <si>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</si>
  <si>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</si>
  <si>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</si>
  <si>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</si>
  <si>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</si>
  <si>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</si>
  <si>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</si>
  <si>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</si>
  <si>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</si>
  <si>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</si>
  <si>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</si>
  <si>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</si>
  <si>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</si>
  <si>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</si>
  <si>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</si>
  <si>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</si>
  <si>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</si>
  <si>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</si>
  <si>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</si>
  <si>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</si>
  <si>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</si>
  <si>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</si>
  <si>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</si>
  <si>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</si>
  <si>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</si>
  <si>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</si>
  <si>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</si>
  <si>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</si>
  <si>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</si>
  <si>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</si>
  <si>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</si>
  <si>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</si>
  <si>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</si>
  <si>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</si>
  <si>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</si>
  <si>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</si>
  <si>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</si>
  <si>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</si>
  <si>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</si>
  <si>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</si>
  <si>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</si>
  <si>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</si>
  <si>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</si>
  <si>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</si>
  <si>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</si>
  <si>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</si>
  <si>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</si>
  <si>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</si>
  <si>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</si>
  <si>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</si>
  <si>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</si>
  <si>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</si>
  <si>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</si>
  <si>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</si>
  <si>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</si>
  <si>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</si>
  <si>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</si>
  <si>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</si>
  <si>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</si>
  <si>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</si>
  <si>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</si>
  <si>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</si>
  <si>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</si>
  <si>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</si>
  <si>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</si>
  <si>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</si>
  <si>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</si>
  <si>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</si>
  <si>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</si>
  <si>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</si>
  <si>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</si>
  <si>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</si>
  <si>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</si>
  <si>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</si>
  <si>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</si>
  <si>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</si>
  <si>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</si>
  <si>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</si>
  <si>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</si>
  <si>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</si>
  <si>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</si>
  <si>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</si>
  <si>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</si>
  <si>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</si>
  <si>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</si>
  <si>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</si>
  <si>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</si>
  <si>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</si>
  <si>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</si>
  <si>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</si>
  <si>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</si>
  <si>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</si>
  <si>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</si>
  <si>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</si>
  <si>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</si>
  <si>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</si>
  <si>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</si>
  <si>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</si>
  <si>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</si>
  <si>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</si>
  <si>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</si>
  <si>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</si>
  <si>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</si>
  <si>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</si>
  <si>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</si>
  <si>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</si>
  <si>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</si>
  <si>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</si>
  <si>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</si>
  <si>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</si>
  <si>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</si>
  <si>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</si>
  <si>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</si>
  <si>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</si>
  <si>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</si>
  <si>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</si>
  <si>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</si>
  <si>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</si>
  <si>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</si>
  <si>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</si>
  <si>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</si>
  <si>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</si>
  <si>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</si>
  <si>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</si>
  <si>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</si>
  <si>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</si>
  <si>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</si>
  <si>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</si>
  <si>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</si>
  <si>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</si>
  <si>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</si>
  <si>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</si>
  <si>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</si>
  <si>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</si>
  <si>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</si>
  <si>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</si>
  <si>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</si>
  <si>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</si>
  <si>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</si>
  <si>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</si>
  <si>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</si>
  <si>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</si>
  <si>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</si>
  <si>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</si>
  <si>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</si>
  <si>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</si>
  <si>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</si>
  <si>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</si>
  <si>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</si>
  <si>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</si>
  <si>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</si>
  <si>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</si>
  <si>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</si>
  <si>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</si>
  <si>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</si>
  <si>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</si>
  <si>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</si>
  <si>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</si>
  <si>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</si>
  <si>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</si>
  <si>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</si>
  <si>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</si>
  <si>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</si>
  <si>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</si>
  <si>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</si>
  <si>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</si>
  <si>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</si>
  <si>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</si>
  <si>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</si>
  <si>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</si>
  <si>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</si>
  <si>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</si>
  <si>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</si>
  <si>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</si>
  <si>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</si>
  <si>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</si>
  <si>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</si>
  <si>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</si>
  <si>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</si>
  <si>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</si>
  <si>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</si>
  <si>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</si>
  <si>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</si>
  <si>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</si>
  <si>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</si>
  <si>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</si>
  <si>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</si>
  <si>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</si>
  <si>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</si>
  <si>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</si>
  <si>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</si>
  <si>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</si>
  <si>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</si>
  <si>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</si>
  <si>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</si>
  <si>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</si>
  <si>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</si>
  <si>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</si>
  <si>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</si>
  <si>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</si>
  <si>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</si>
  <si>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</si>
  <si>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</si>
  <si>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</si>
  <si>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</si>
  <si>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</si>
  <si>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</si>
  <si>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</si>
  <si>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</si>
  <si>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</si>
  <si>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</si>
  <si>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</si>
  <si>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</si>
  <si>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</si>
  <si>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</si>
  <si>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</si>
  <si>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</si>
  <si>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</si>
  <si>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</si>
  <si>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</si>
  <si>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</si>
  <si>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</si>
  <si>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</si>
  <si>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</si>
  <si>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</si>
  <si>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</si>
  <si>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</si>
  <si>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</si>
  <si>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</si>
  <si>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</si>
  <si>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</si>
  <si>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</si>
  <si>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</si>
  <si>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</si>
  <si>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</si>
  <si>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</si>
  <si>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</si>
  <si>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</si>
  <si>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</si>
  <si>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</si>
  <si>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</si>
  <si>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</si>
  <si>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</si>
  <si>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</si>
  <si>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</si>
  <si>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</si>
  <si>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</si>
  <si>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</si>
  <si>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</si>
  <si>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</si>
  <si>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</si>
  <si>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</si>
  <si>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</si>
  <si>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</si>
  <si>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</si>
  <si>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</si>
  <si>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</si>
  <si>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</si>
  <si>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</si>
  <si>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</si>
  <si>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</si>
  <si>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</si>
  <si>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</si>
  <si>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</si>
  <si>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</si>
  <si>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</si>
  <si>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</si>
  <si>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</si>
  <si>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</si>
  <si>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</si>
  <si>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</si>
  <si>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</si>
  <si>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</si>
  <si>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</si>
  <si>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</si>
  <si>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</si>
  <si>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</si>
  <si>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</si>
  <si>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</si>
  <si>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</si>
  <si>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</si>
  <si>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</si>
  <si>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</si>
  <si>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</si>
  <si>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</si>
  <si>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</si>
  <si>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</si>
  <si>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</si>
  <si>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</si>
  <si>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</si>
  <si>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</si>
  <si>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</si>
  <si>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</si>
  <si>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</si>
  <si>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</si>
  <si>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</si>
  <si>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</si>
  <si>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</si>
  <si>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</si>
  <si>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</si>
  <si>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</si>
  <si>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</si>
  <si>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</si>
  <si>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</si>
  <si>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</si>
  <si>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</si>
  <si>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</si>
  <si>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</si>
  <si>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</si>
  <si>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</si>
  <si>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</si>
  <si>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</si>
  <si>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</si>
  <si>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</si>
  <si>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</si>
  <si>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</si>
  <si>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</si>
  <si>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</si>
  <si>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</si>
  <si>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</si>
  <si>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</si>
  <si>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</si>
  <si>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</si>
  <si>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</si>
  <si>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</si>
  <si>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</si>
  <si>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</si>
  <si>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</si>
  <si>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</si>
  <si>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</si>
  <si>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</si>
  <si>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</si>
  <si>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</si>
  <si>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</si>
  <si>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</si>
  <si>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</si>
  <si>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</si>
  <si>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</si>
  <si>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</si>
  <si>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</si>
  <si>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</si>
  <si>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</si>
  <si>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</si>
  <si>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</si>
  <si>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</si>
  <si>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</si>
  <si>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</si>
  <si>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</si>
  <si>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</si>
  <si>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</si>
  <si>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</si>
  <si>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</si>
  <si>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</si>
  <si>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</si>
  <si>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</si>
  <si>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</si>
  <si>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</si>
  <si>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</si>
  <si>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</si>
  <si>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</si>
  <si>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</si>
  <si>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</si>
  <si>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</si>
  <si>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</si>
  <si>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</si>
  <si>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</si>
  <si>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</si>
  <si>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</si>
  <si>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</si>
  <si>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</si>
  <si>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</si>
  <si>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</si>
  <si>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</si>
  <si>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</si>
  <si>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</si>
  <si>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</si>
  <si>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</si>
  <si>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</si>
  <si>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</si>
  <si>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</si>
  <si>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</si>
  <si>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</si>
  <si>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</si>
  <si>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</si>
  <si>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</si>
  <si>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</si>
  <si>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</si>
  <si>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</si>
  <si>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</si>
  <si>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</si>
  <si>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</si>
  <si>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</si>
  <si>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</si>
  <si>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</si>
  <si>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</si>
  <si>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</si>
  <si>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</si>
  <si>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</si>
  <si>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</si>
  <si>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</si>
  <si>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</si>
  <si>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</si>
  <si>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</si>
  <si>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</si>
  <si>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</si>
  <si>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</si>
  <si>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</si>
  <si>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</si>
  <si>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</si>
  <si>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</si>
  <si>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</si>
  <si>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</si>
  <si>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</si>
  <si>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</si>
  <si>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</si>
  <si>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</si>
  <si>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</si>
  <si>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</si>
  <si>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</si>
  <si>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</si>
  <si>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</si>
  <si>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</si>
  <si>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</si>
  <si>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</si>
  <si>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</si>
  <si>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</si>
  <si>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</si>
  <si>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</si>
  <si>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</si>
  <si>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</si>
  <si>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</si>
  <si>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</si>
  <si>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</si>
  <si>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</si>
  <si>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</si>
  <si>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</si>
  <si>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</si>
  <si>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</si>
  <si>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</si>
  <si>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</si>
  <si>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</si>
  <si>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</si>
  <si>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</si>
  <si>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</si>
  <si>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</si>
  <si>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</si>
  <si>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</si>
  <si>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</si>
  <si>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</si>
  <si>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</si>
  <si>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</si>
  <si>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</si>
  <si>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</si>
  <si>
    <t>即时状态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</si>
</sst>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Row],[唯一识别码]],Store_History[类型],$D$80)</f>
        <v>0</v>
      </c>
      <c r="M11" s="25">
        <f>SUMIFS(Store_History[数量],Store_History[唯一识别码],Store_Setting[[#This Row],[唯一识别码]],Store_History[类型],$E$80)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Row],[唯一识别码]],Store_History[类型],$D$80)</f>
        <v>0</v>
      </c>
      <c r="M12" s="25">
        <f>SUMIFS(Store_History[数量],Store_History[唯一识别码],Store_Setting[[#This Row],[唯一识别码]],Store_History[类型],$E$80)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Row],[唯一识别码]],Store_History[类型],$D$80)</f>
        <v>0</v>
      </c>
      <c r="M13" s="25">
        <f>SUMIFS(Store_History[数量],Store_History[唯一识别码],Store_Setting[[#This Row],[唯一识别码]],Store_History[类型],$E$80)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Row],[唯一识别码]],Store_History[类型],$D$80)</f>
        <v>0</v>
      </c>
      <c r="M14" s="25">
        <f>SUMIFS(Store_History[数量],Store_History[唯一识别码],Store_Setting[[#This Row],[唯一识别码]],Store_History[类型],$E$80)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Row],[唯一识别码]],Store_History[类型],$D$80)</f>
        <v>0</v>
      </c>
      <c r="M15" s="25">
        <f>SUMIFS(Store_History[数量],Store_History[唯一识别码],Store_Setting[[#This Row],[唯一识别码]],Store_History[类型],$E$80)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Row],[唯一识别码]],Store_History[类型],$D$80)</f>
        <v>0</v>
      </c>
      <c r="M16" s="25">
        <f>SUMIFS(Store_History[数量],Store_History[唯一识别码],Store_Setting[[#This Row],[唯一识别码]],Store_History[类型],$E$80)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Row],[唯一识别码]],Store_History[类型],$D$80)</f>
        <v>0</v>
      </c>
      <c r="M17" s="25">
        <f>SUMIFS(Store_History[数量],Store_History[唯一识别码],Store_Setting[[#This Row],[唯一识别码]],Store_History[类型],$E$80)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Row],[唯一识别码]],Store_History[类型],$D$80)</f>
        <v>0</v>
      </c>
      <c r="M18" s="25">
        <f>SUMIFS(Store_History[数量],Store_History[唯一识别码],Store_Setting[[#This Row],[唯一识别码]],Store_History[类型],$E$80)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Row],[唯一识别码]],Store_History[类型],$D$80)</f>
        <v>0</v>
      </c>
      <c r="M19" s="25">
        <f>SUMIFS(Store_History[数量],Store_History[唯一识别码],Store_Setting[[#This Row],[唯一识别码]],Store_History[类型],$E$80)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Row],[唯一识别码]],Store_History[类型],$D$80)</f>
        <v>0</v>
      </c>
      <c r="M20" s="25">
        <f>SUMIFS(Store_History[数量],Store_History[唯一识别码],Store_Setting[[#This Row],[唯一识别码]],Store_History[类型],$E$80)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Row],[唯一识别码]],Store_History[类型],$D$80)</f>
        <v>0</v>
      </c>
      <c r="M21" s="25">
        <f>SUMIFS(Store_History[数量],Store_History[唯一识别码],Store_Setting[[#This Row],[唯一识别码]],Store_History[类型],$E$80)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Row],[唯一识别码]],Store_History[类型],$D$80)</f>
        <v>0</v>
      </c>
      <c r="M22" s="25">
        <f>SUMIFS(Store_History[数量],Store_History[唯一识别码],Store_Setting[[#This Row],[唯一识别码]],Store_History[类型],$E$80)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Row],[唯一识别码]],Store_History[类型],$D$80)</f>
        <v>0</v>
      </c>
      <c r="M23" s="25">
        <f>SUMIFS(Store_History[数量],Store_History[唯一识别码],Store_Setting[[#This Row],[唯一识别码]],Store_History[类型],$E$80)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Row],[唯一识别码]],Store_History[类型],$D$80)</f>
        <v>0</v>
      </c>
      <c r="M24" s="25">
        <f>SUMIFS(Store_History[数量],Store_History[唯一识别码],Store_Setting[[#This Row],[唯一识别码]],Store_History[类型],$E$80)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Row],[唯一识别码]],Store_History[类型],$D$80)</f>
        <v>0</v>
      </c>
      <c r="M25" s="25">
        <f>SUMIFS(Store_History[数量],Store_History[唯一识别码],Store_Setting[[#This Row],[唯一识别码]],Store_History[类型],$E$80)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Row],[唯一识别码]],Store_History[类型],$D$80)</f>
        <v>0</v>
      </c>
      <c r="M26" s="25">
        <f>SUMIFS(Store_History[数量],Store_History[唯一识别码],Store_Setting[[#This Row],[唯一识别码]],Store_History[类型],$E$80)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Row],[唯一识别码]],Store_History[类型],$D$80)</f>
        <v>0</v>
      </c>
      <c r="M27" s="25">
        <f>SUMIFS(Store_History[数量],Store_History[唯一识别码],Store_Setting[[#This Row],[唯一识别码]],Store_History[类型],$E$80)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Row],[唯一识别码]],Store_History[类型],$D$80)</f>
        <v>0</v>
      </c>
      <c r="M28" s="25">
        <f>SUMIFS(Store_History[数量],Store_History[唯一识别码],Store_Setting[[#This Row],[唯一识别码]],Store_History[类型],$E$80)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Row],[唯一识别码]],Store_History[类型],$D$80)</f>
        <v>0</v>
      </c>
      <c r="M29" s="25">
        <f>SUMIFS(Store_History[数量],Store_History[唯一识别码],Store_Setting[[#This Row],[唯一识别码]],Store_History[类型],$E$80)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Row],[唯一识别码]],Store_History[类型],$D$80)</f>
        <v>0</v>
      </c>
      <c r="M30" s="25">
        <f>SUMIFS(Store_History[数量],Store_History[唯一识别码],Store_Setting[[#This Row],[唯一识别码]],Store_History[类型],$E$80)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Row],[唯一识别码]],Store_History[类型],$D$80)</f>
        <v>0</v>
      </c>
      <c r="M31" s="25">
        <f>SUMIFS(Store_History[数量],Store_History[唯一识别码],Store_Setting[[#This Row],[唯一识别码]],Store_History[类型],$E$80)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Row],[唯一识别码]],Store_History[类型],$D$80)</f>
        <v>0</v>
      </c>
      <c r="M32" s="25">
        <f>SUMIFS(Store_History[数量],Store_History[唯一识别码],Store_Setting[[#This Row],[唯一识别码]],Store_History[类型],$E$80)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Row],[唯一识别码]],Store_History[类型],$D$80)</f>
        <v>0</v>
      </c>
      <c r="M33" s="25">
        <f>SUMIFS(Store_History[数量],Store_History[唯一识别码],Store_Setting[[#This Row],[唯一识别码]],Store_History[类型],$E$80)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Row],[唯一识别码]],Store_History[类型],$D$80)</f>
        <v>0</v>
      </c>
      <c r="M34" s="25">
        <f>SUMIFS(Store_History[数量],Store_History[唯一识别码],Store_Setting[[#This Row],[唯一识别码]],Store_History[类型],$E$80)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Row],[唯一识别码]],Store_History[类型],$D$80)</f>
        <v>0</v>
      </c>
      <c r="M35" s="25">
        <f>SUMIFS(Store_History[数量],Store_History[唯一识别码],Store_Setting[[#This Row],[唯一识别码]],Store_History[类型],$E$80)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Row],[唯一识别码]],Store_History[类型],$D$80)</f>
        <v>0</v>
      </c>
      <c r="M36" s="25">
        <f>SUMIFS(Store_History[数量],Store_History[唯一识别码],Store_Setting[[#This Row],[唯一识别码]],Store_History[类型],$E$80)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Row],[唯一识别码]],Store_History[类型],$D$80)</f>
        <v>0</v>
      </c>
      <c r="M37" s="25">
        <f>SUMIFS(Store_History[数量],Store_History[唯一识别码],Store_Setting[[#This Row],[唯一识别码]],Store_History[类型],$E$80)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Row],[唯一识别码]],Store_History[类型],$D$80)</f>
        <v>0</v>
      </c>
      <c r="M38" s="25">
        <f>SUMIFS(Store_History[数量],Store_History[唯一识别码],Store_Setting[[#This Row],[唯一识别码]],Store_History[类型],$E$80)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Row],[唯一识别码]],Store_History[类型],$D$80)</f>
        <v>0</v>
      </c>
      <c r="M39" s="25">
        <f>SUMIFS(Store_History[数量],Store_History[唯一识别码],Store_Setting[[#This Row],[唯一识别码]],Store_History[类型],$E$80)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Row],[唯一识别码]],Store_History[类型],$D$80)</f>
        <v>0</v>
      </c>
      <c r="M40" s="25">
        <f>SUMIFS(Store_History[数量],Store_History[唯一识别码],Store_Setting[[#This Row],[唯一识别码]],Store_History[类型],$E$80)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Row],[唯一识别码]],Store_History[类型],$D$80)</f>
        <v>0</v>
      </c>
      <c r="M41" s="25">
        <f>SUMIFS(Store_History[数量],Store_History[唯一识别码],Store_Setting[[#This Row],[唯一识别码]],Store_History[类型],$E$80)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Row],[唯一识别码]],Store_History[类型],$D$80)</f>
        <v>0</v>
      </c>
      <c r="M42" s="25">
        <f>SUMIFS(Store_History[数量],Store_History[唯一识别码],Store_Setting[[#This Row],[唯一识别码]],Store_History[类型],$E$80)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Row],[唯一识别码]],Store_History[类型],$D$80)</f>
        <v>0</v>
      </c>
      <c r="M43" s="25">
        <f>SUMIFS(Store_History[数量],Store_History[唯一识别码],Store_Setting[[#This Row],[唯一识别码]],Store_History[类型],$E$80)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Row],[唯一识别码]],Store_History[类型],$D$80)</f>
        <v>0</v>
      </c>
      <c r="M44" s="25">
        <f>SUMIFS(Store_History[数量],Store_History[唯一识别码],Store_Setting[[#This Row],[唯一识别码]],Store_History[类型],$E$80)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Row],[唯一识别码]],Store_History[类型],$D$80)</f>
        <v>0</v>
      </c>
      <c r="M45" s="25">
        <f>SUMIFS(Store_History[数量],Store_History[唯一识别码],Store_Setting[[#This Row],[唯一识别码]],Store_History[类型],$E$80)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Row],[唯一识别码]],Store_History[类型],$D$80)</f>
        <v>0</v>
      </c>
      <c r="M46" s="25">
        <f>SUMIFS(Store_History[数量],Store_History[唯一识别码],Store_Setting[[#This Row],[唯一识别码]],Store_History[类型],$E$80)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Row],[唯一识别码]],Store_History[类型],$D$80)</f>
        <v>0</v>
      </c>
      <c r="M47" s="25">
        <f>SUMIFS(Store_History[数量],Store_History[唯一识别码],Store_Setting[[#This Row],[唯一识别码]],Store_History[类型],$E$80)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Row],[唯一识别码]],Store_History[类型],$D$80)</f>
        <v>0</v>
      </c>
      <c r="M48" s="25">
        <f>SUMIFS(Store_History[数量],Store_History[唯一识别码],Store_Setting[[#This Row],[唯一识别码]],Store_History[类型],$E$80)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Row],[唯一识别码]],Store_History[类型],$D$80)</f>
        <v>0</v>
      </c>
      <c r="M49" s="25">
        <f>SUMIFS(Store_History[数量],Store_History[唯一识别码],Store_Setting[[#This Row],[唯一识别码]],Store_History[类型],$E$80)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Row],[唯一识别码]],Store_History[类型],$D$80)</f>
        <v>0</v>
      </c>
      <c r="M50" s="25">
        <f>SUMIFS(Store_History[数量],Store_History[唯一识别码],Store_Setting[[#This Row],[唯一识别码]],Store_History[类型],$E$80)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465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462</v>
      </c>
      <c r="E70" s="18">
        <v>1</v>
      </c>
      <c r="F70" s="71" t="s">
        <v>463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464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40" customHeight="1">
      <c r="B75" s="60" t="s">
        <v>231</v>
      </c>
      <c r="C75" s="61" t="s">
        <v>457</v>
      </c>
      <c r="D75" s="68" t="s">
        <v>458</v>
      </c>
      <c r="E75" s="18" t="s">
        <v>124</v>
      </c>
      <c r="F75" s="71" t="s">
        <v>460</v>
      </c>
      <c r="G75" s="70"/>
      <c r="H75" s="70"/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68" t="s">
        <v>461</v>
      </c>
      <c r="E76" s="88"/>
      <c r="F76" s="87"/>
      <c r="G76" s="87"/>
      <c r="H76" s="87"/>
      <c r="I76" s="87"/>
      <c r="J76" s="87"/>
      <c r="K76" s="87"/>
      <c r="L76" s="87"/>
      <c r="M76" s="87"/>
      <c r="N76" s="87"/>
      <c r="O76" s="62"/>
    </row>
    <row r="77" spans="2:15" ht="8.25" hidden="1" customHeight="1"/>
    <row r="78" spans="2:15" ht="40" hidden="1" customHeight="1">
      <c r="B78" s="73" t="s">
        <v>238</v>
      </c>
      <c r="C78" s="61" t="s">
        <v>5</v>
      </c>
      <c r="D78" s="74" t="s">
        <v>8</v>
      </c>
      <c r="E78" s="74" t="s">
        <v>9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</row>
    <row r="79" spans="2:15" ht="8.25" hidden="1" customHeight="1">
      <c r="B79" s="66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</row>
    <row r="80" spans="2:15" ht="40" hidden="1" customHeight="1">
      <c r="B80" s="73" t="s">
        <v>420</v>
      </c>
      <c r="C80" s="61" t="s">
        <v>252</v>
      </c>
      <c r="D80" s="74" t="s">
        <v>225</v>
      </c>
      <c r="E80" s="74" t="s">
        <v>211</v>
      </c>
      <c r="F80" s="75"/>
      <c r="G80" s="75"/>
      <c r="H80" s="75"/>
      <c r="I80" s="75"/>
      <c r="J80" s="75"/>
      <c r="K80" s="75"/>
      <c r="L80" s="75"/>
      <c r="M80" s="75"/>
      <c r="N80" s="75"/>
      <c r="O80" s="75"/>
    </row>
    <row r="81" spans="2:15" ht="8.25" hidden="1" customHeight="1">
      <c r="B81" s="66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</row>
    <row r="82" spans="2:15" ht="40" hidden="1" customHeight="1">
      <c r="B82" s="73" t="s">
        <v>459</v>
      </c>
      <c r="C82" s="61" t="s">
        <v>1</v>
      </c>
      <c r="D82" s="74" t="s">
        <v>10</v>
      </c>
      <c r="E82" s="74" t="s">
        <v>11</v>
      </c>
      <c r="F82" s="75"/>
      <c r="G82" s="75"/>
      <c r="H82" s="75"/>
      <c r="I82" s="75"/>
      <c r="J82" s="75"/>
      <c r="K82" s="75"/>
      <c r="L82" s="75"/>
      <c r="M82" s="75"/>
      <c r="N82" s="75"/>
      <c r="O82" s="75"/>
    </row>
    <row r="83" spans="2:15" ht="8.25" customHeight="1">
      <c r="B83" s="66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</row>
    <row r="84" spans="2:15" ht="40" customHeight="1">
      <c r="B84" s="73" t="s">
        <v>243</v>
      </c>
      <c r="C84" s="76" t="s">
        <v>119</v>
      </c>
      <c r="D84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70"/>
      <c r="F84" s="61"/>
      <c r="G84" s="61"/>
      <c r="H84" s="61"/>
      <c r="I84" s="61"/>
      <c r="J84" s="61"/>
      <c r="K84" s="61"/>
      <c r="L84" s="61"/>
      <c r="M84" s="61"/>
      <c r="N84" s="61"/>
      <c r="O84" s="61"/>
    </row>
    <row r="85" spans="2:15" ht="40" customHeight="1">
      <c r="B85" s="73"/>
      <c r="C85" s="76" t="s">
        <v>255</v>
      </c>
      <c r="D85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128</v>
      </c>
      <c r="D86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70"/>
      <c r="F86" s="61"/>
      <c r="G86" s="61"/>
      <c r="H86" s="61"/>
      <c r="I86" s="77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26</v>
      </c>
      <c r="D87" s="71" t="str">
        <f>_xlfn.CONCAT("共有 ", COUNTA(Get_Staff_Member)," 位员工")</f>
        <v>共有 2 位员工</v>
      </c>
      <c r="E87" s="70"/>
      <c r="F87" s="61"/>
      <c r="G87" s="61"/>
      <c r="H87" s="61"/>
      <c r="I87" s="61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217</v>
      </c>
      <c r="D88" s="71" t="str">
        <f>_xlfn.CONCAT("已设置 ", COUNTA(Get_Work_Unit)," 个单位")</f>
        <v>已设置 7 个单位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16.100000000000001" customHeight="1"/>
    <row r="90" spans="2:15" ht="40" customHeight="1">
      <c r="B90" s="78" t="s">
        <v>17</v>
      </c>
      <c r="C90" s="78"/>
      <c r="D90" s="78"/>
      <c r="E90" s="78"/>
    </row>
    <row r="91" spans="2:15" ht="40" customHeight="1">
      <c r="B91" s="79" t="s">
        <v>19</v>
      </c>
      <c r="C91" s="7" t="s">
        <v>127</v>
      </c>
      <c r="D91" s="8"/>
      <c r="E91" s="8"/>
    </row>
    <row r="92" spans="2:15" ht="40" customHeight="1">
      <c r="B92" s="79" t="s">
        <v>20</v>
      </c>
      <c r="C92" s="80" t="s">
        <v>18</v>
      </c>
      <c r="D92" s="81"/>
      <c r="E92" s="81"/>
    </row>
    <row r="93" spans="2:15" ht="40" customHeight="1">
      <c r="B93" s="79" t="s">
        <v>125</v>
      </c>
      <c r="C93" s="7" t="s">
        <v>126</v>
      </c>
      <c r="D93" s="8"/>
      <c r="E93" s="8"/>
    </row>
    <row r="94" spans="2:15" ht="40" customHeight="1">
      <c r="B94" s="79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4" t="str">
        <f>_xlfn.CONCAT(设置!F11," - 历史记录")</f>
        <v>1 - 历史记录</v>
      </c>
      <c r="F4" s="104"/>
      <c r="G4" s="50" t="str">
        <f>_xlfn.CONCAT(设置!F12)</f>
        <v>2</v>
      </c>
      <c r="H4" s="106" t="str">
        <f>_xlfn.CONCAT(设置!F12," - 历史记录")</f>
        <v>2 - 历史记录</v>
      </c>
      <c r="I4" s="106"/>
      <c r="J4" s="49" t="str">
        <f>_xlfn.CONCAT(设置!F13)</f>
        <v/>
      </c>
      <c r="K4" s="104" t="str">
        <f>_xlfn.CONCAT(设置!F13," - 历史记录")</f>
        <v xml:space="preserve"> - 历史记录</v>
      </c>
      <c r="L4" s="104"/>
      <c r="M4" s="50" t="str">
        <f>_xlfn.CONCAT(设置!F14)</f>
        <v/>
      </c>
      <c r="N4" s="106" t="str">
        <f>_xlfn.CONCAT(设置!F14," - 历史记录")</f>
        <v xml:space="preserve"> - 历史记录</v>
      </c>
      <c r="O4" s="106"/>
      <c r="P4" s="49" t="str">
        <f>_xlfn.CONCAT(设置!F15)</f>
        <v/>
      </c>
      <c r="Q4" s="104" t="str">
        <f>_xlfn.CONCAT(设置!F15," - 历史记录")</f>
        <v xml:space="preserve"> - 历史记录</v>
      </c>
      <c r="R4" s="104"/>
      <c r="S4" s="50" t="str">
        <f>_xlfn.CONCAT(设置!F16)</f>
        <v/>
      </c>
      <c r="T4" s="106" t="str">
        <f>_xlfn.CONCAT(设置!F16," - 历史记录")</f>
        <v xml:space="preserve"> - 历史记录</v>
      </c>
      <c r="U4" s="106"/>
      <c r="V4" s="49" t="str">
        <f>_xlfn.CONCAT(设置!F17)</f>
        <v/>
      </c>
      <c r="W4" s="104" t="str">
        <f>_xlfn.CONCAT(设置!F17," - 历史记录")</f>
        <v xml:space="preserve"> - 历史记录</v>
      </c>
      <c r="X4" s="104"/>
      <c r="Y4" s="50" t="str">
        <f>_xlfn.CONCAT(设置!F18)</f>
        <v/>
      </c>
      <c r="Z4" s="106" t="str">
        <f>_xlfn.CONCAT(设置!F18," - 历史记录")</f>
        <v xml:space="preserve"> - 历史记录</v>
      </c>
      <c r="AA4" s="106"/>
      <c r="AB4" s="49" t="str">
        <f>_xlfn.CONCAT(设置!F19)</f>
        <v/>
      </c>
      <c r="AC4" s="104" t="str">
        <f>_xlfn.CONCAT(设置!F19," - 历史记录")</f>
        <v xml:space="preserve"> - 历史记录</v>
      </c>
      <c r="AD4" s="104"/>
      <c r="AE4" s="50" t="str">
        <f>_xlfn.CONCAT(设置!F20)</f>
        <v/>
      </c>
      <c r="AF4" s="106" t="str">
        <f>_xlfn.CONCAT(设置!F20," - 历史记录")</f>
        <v xml:space="preserve"> - 历史记录</v>
      </c>
      <c r="AG4" s="106"/>
      <c r="AH4" s="49" t="str">
        <f>_xlfn.CONCAT(设置!F21)</f>
        <v/>
      </c>
      <c r="AI4" s="104" t="str">
        <f>_xlfn.CONCAT(设置!F21," - 历史记录")</f>
        <v xml:space="preserve"> - 历史记录</v>
      </c>
      <c r="AJ4" s="104"/>
      <c r="AK4" s="50" t="str">
        <f>_xlfn.CONCAT(设置!F22)</f>
        <v/>
      </c>
      <c r="AL4" s="106" t="str">
        <f>_xlfn.CONCAT(设置!F22," - 历史记录")</f>
        <v xml:space="preserve"> - 历史记录</v>
      </c>
      <c r="AM4" s="106"/>
      <c r="AN4" s="49" t="str">
        <f>_xlfn.CONCAT(设置!F23)</f>
        <v/>
      </c>
      <c r="AO4" s="104" t="str">
        <f>_xlfn.CONCAT(设置!F23, " - 历史记录")</f>
        <v xml:space="preserve"> - 历史记录</v>
      </c>
      <c r="AP4" s="104"/>
      <c r="AQ4" s="50" t="str">
        <f>_xlfn.CONCAT(设置!F24)</f>
        <v/>
      </c>
      <c r="AR4" s="106" t="str">
        <f>_xlfn.CONCAT(设置!F24, " - 历史记录")</f>
        <v xml:space="preserve"> - 历史记录</v>
      </c>
      <c r="AS4" s="106"/>
      <c r="AT4" s="49" t="str">
        <f>_xlfn.CONCAT(设置!F25)</f>
        <v/>
      </c>
      <c r="AU4" s="104" t="str">
        <f>_xlfn.CONCAT(设置!F25," - 历史记录")</f>
        <v xml:space="preserve"> - 历史记录</v>
      </c>
      <c r="AV4" s="104"/>
      <c r="AW4" s="50" t="str">
        <f>_xlfn.CONCAT(设置!F26)</f>
        <v/>
      </c>
      <c r="AX4" s="106" t="str">
        <f>_xlfn.CONCAT(设置!F26," - 历史记录")</f>
        <v xml:space="preserve"> - 历史记录</v>
      </c>
      <c r="AY4" s="106"/>
      <c r="AZ4" s="49" t="str">
        <f>_xlfn.CONCAT(设置!F27)</f>
        <v/>
      </c>
      <c r="BA4" s="104" t="str">
        <f>_xlfn.CONCAT(设置!F27," - 历史记录")</f>
        <v xml:space="preserve"> - 历史记录</v>
      </c>
      <c r="BB4" s="104"/>
      <c r="BC4" s="50" t="str">
        <f>_xlfn.CONCAT(设置!F28)</f>
        <v/>
      </c>
      <c r="BD4" s="106" t="str">
        <f>_xlfn.CONCAT(设置!F28," - 历史记录")</f>
        <v xml:space="preserve"> - 历史记录</v>
      </c>
      <c r="BE4" s="106"/>
      <c r="BF4" s="49" t="str">
        <f>_xlfn.CONCAT(设置!F29)</f>
        <v/>
      </c>
      <c r="BG4" s="104" t="str">
        <f>_xlfn.CONCAT(设置!F29," - 历史记录")</f>
        <v xml:space="preserve"> - 历史记录</v>
      </c>
      <c r="BH4" s="104"/>
      <c r="BI4" s="50" t="str">
        <f>_xlfn.CONCAT(设置!F30)</f>
        <v/>
      </c>
      <c r="BJ4" s="106" t="str">
        <f>_xlfn.CONCAT(设置!F30," - 历史记录")</f>
        <v xml:space="preserve"> - 历史记录</v>
      </c>
      <c r="BK4" s="106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6" t="str">
        <f>_xlfn.CONCAT(设置!F32," - 历史记录")</f>
        <v xml:space="preserve"> - 历史记录</v>
      </c>
      <c r="BQ4" s="106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6" t="str">
        <f>_xlfn.CONCAT(设置!F34," - 历史记录")</f>
        <v xml:space="preserve"> - 历史记录</v>
      </c>
      <c r="BW4" s="106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6" t="str">
        <f>_xlfn.CONCAT(设置!F36," - 历史记录")</f>
        <v xml:space="preserve"> - 历史记录</v>
      </c>
      <c r="CC4" s="106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6" t="str">
        <f>_xlfn.CONCAT(设置!F38," - 历史记录")</f>
        <v xml:space="preserve"> - 历史记录</v>
      </c>
      <c r="CI4" s="106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6" t="str">
        <f>_xlfn.CONCAT(设置!F40," - 历史记录")</f>
        <v xml:space="preserve"> - 历史记录</v>
      </c>
      <c r="CO4" s="106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6" t="str">
        <f>_xlfn.CONCAT(设置!F42," - 历史记录")</f>
        <v xml:space="preserve"> - 历史记录</v>
      </c>
      <c r="CU4" s="106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6" t="str">
        <f>_xlfn.CONCAT(设置!F44," - 历史记录")</f>
        <v xml:space="preserve"> - 历史记录</v>
      </c>
      <c r="DA4" s="106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6" t="str">
        <f>_xlfn.CONCAT(设置!F46," - 历史记录")</f>
        <v xml:space="preserve"> - 历史记录</v>
      </c>
      <c r="DG4" s="106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6" t="str">
        <f>_xlfn.CONCAT(设置!F48," - 历史记录")</f>
        <v xml:space="preserve"> - 历史记录</v>
      </c>
      <c r="DM4" s="106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6" t="str">
        <f>_xlfn.CONCAT(设置!F50," - 历史记录")</f>
        <v xml:space="preserve"> - 历史记录</v>
      </c>
      <c r="DS4" s="106"/>
      <c r="DT4" s="104" t="s">
        <v>72</v>
      </c>
      <c r="DU4" s="104"/>
      <c r="DV4" s="104"/>
      <c r="DW4" s="104"/>
      <c r="DX4" s="104"/>
      <c r="DY4" s="104" t="s">
        <v>85</v>
      </c>
      <c r="DZ4" s="104"/>
      <c r="EA4" s="104"/>
      <c r="EB4" s="104" t="s">
        <v>241</v>
      </c>
      <c r="EC4" s="104"/>
      <c r="ED4" s="29" t="s">
        <v>417</v>
      </c>
      <c r="EE4" s="105" t="s">
        <v>264</v>
      </c>
      <c r="EF4" s="105"/>
      <c r="EG4" s="105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4" t="s">
        <v>82</v>
      </c>
      <c r="AS4" s="104"/>
      <c r="AT4" s="104"/>
      <c r="AU4" s="104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2024-03-02T18:02:38Z</dcterms:modified>
</cp:coreProperties>
</file>