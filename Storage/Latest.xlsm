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B188CF78-470B-410B-84B6-64786FB45E89}" xr6:coauthVersionLast="47" xr6:coauthVersionMax="47" xr10:uidLastSave="{00000000-0000-0000-0000-000000000000}"/>
  <workbookProtection workbookAlgorithmName="SHA-512" workbookHashValue="Zgt7EMUZkVqB9vvneGGtAFmgOo7YB0A0WaU3cm3rRTXbmg7V+zV/RSru3qeyBJrK779MfXtc7Uku9WSMz2h1uw==" workbookSaltValue="CLme4hl4Tt7twD1xBK9dqg==" workbookSpinCount="100000" lockStructure="1"/>
  <bookViews>
    <workbookView xWindow="-120" yWindow="-120" windowWidth="29040" windowHeight="17520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设置!$D$68:$E$68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设置!$D$64:$E$64</definedName>
    <definedName name="Get_Staff_Member">设置!$D$56:$M$56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设置!$D$62:$E$62</definedName>
    <definedName name="Get_Work_Unit">设置!$D$66:$M$66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新增会员!$A:$E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3" i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M22" i="1" s="1"/>
  <c r="D23" i="1"/>
  <c r="M23" i="1" s="1"/>
  <c r="D24" i="1"/>
  <c r="L24" i="1" s="1"/>
  <c r="D25" i="1"/>
  <c r="M25" i="1" s="1"/>
  <c r="D26" i="1"/>
  <c r="M26" i="1" s="1"/>
  <c r="D27" i="1"/>
  <c r="M27" i="1" s="1"/>
  <c r="D28" i="1"/>
  <c r="M28" i="1" s="1"/>
  <c r="D29" i="1"/>
  <c r="M29" i="1" s="1"/>
  <c r="D30" i="1"/>
  <c r="L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M44" i="1" s="1"/>
  <c r="D45" i="1"/>
  <c r="M45" i="1" s="1"/>
  <c r="D46" i="1"/>
  <c r="L46" i="1" s="1"/>
  <c r="D47" i="1"/>
  <c r="M47" i="1" s="1"/>
  <c r="D48" i="1"/>
  <c r="M48" i="1" s="1"/>
  <c r="D49" i="1"/>
  <c r="M49" i="1" s="1"/>
  <c r="D50" i="1"/>
  <c r="M50" i="1" s="1"/>
  <c r="D51" i="1"/>
  <c r="M51" i="1" s="1"/>
  <c r="D52" i="1"/>
  <c r="M52" i="1" s="1"/>
  <c r="M13" i="1" l="1"/>
  <c r="E7" i="8" a="1"/>
  <c r="E7" i="8" s="1"/>
  <c r="D7" i="8" a="1"/>
  <c r="D7" i="8" s="1"/>
  <c r="DC9" i="6" a="1"/>
  <c r="DC9" i="6" s="1"/>
  <c r="H47" i="1" s="1"/>
  <c r="AV9" i="5" a="1"/>
  <c r="AV9" i="5" s="1"/>
  <c r="AW9" i="5" a="1"/>
  <c r="AW9" i="5" s="1"/>
  <c r="AX9" i="5" a="1"/>
  <c r="AX9" i="5" s="1"/>
  <c r="AY9" i="5" a="1"/>
  <c r="AY9" i="5" s="1"/>
  <c r="L51" i="1"/>
  <c r="K51" i="1" s="1"/>
  <c r="L50" i="1"/>
  <c r="K50" i="1" s="1"/>
  <c r="L43" i="1"/>
  <c r="K43" i="1" s="1"/>
  <c r="L42" i="1"/>
  <c r="K42" i="1" s="1"/>
  <c r="L27" i="1"/>
  <c r="K27" i="1" s="1"/>
  <c r="L26" i="1"/>
  <c r="K26" i="1" s="1"/>
  <c r="L19" i="1"/>
  <c r="K19" i="1" s="1"/>
  <c r="L33" i="1"/>
  <c r="K33" i="1" s="1"/>
  <c r="L25" i="1"/>
  <c r="K25" i="1" s="1"/>
  <c r="L41" i="1"/>
  <c r="K41" i="1" s="1"/>
  <c r="L18" i="1"/>
  <c r="K18" i="1" s="1"/>
  <c r="L35" i="1"/>
  <c r="K35" i="1" s="1"/>
  <c r="L17" i="1"/>
  <c r="K17" i="1" s="1"/>
  <c r="L49" i="1"/>
  <c r="K49" i="1" s="1"/>
  <c r="L34" i="1"/>
  <c r="K34" i="1" s="1"/>
  <c r="L48" i="1"/>
  <c r="K48" i="1" s="1"/>
  <c r="L40" i="1"/>
  <c r="K40" i="1" s="1"/>
  <c r="L32" i="1"/>
  <c r="K32" i="1" s="1"/>
  <c r="L16" i="1"/>
  <c r="K16" i="1" s="1"/>
  <c r="L47" i="1"/>
  <c r="K47" i="1" s="1"/>
  <c r="L39" i="1"/>
  <c r="K39" i="1" s="1"/>
  <c r="L31" i="1"/>
  <c r="K31" i="1" s="1"/>
  <c r="L23" i="1"/>
  <c r="K23" i="1" s="1"/>
  <c r="L15" i="1"/>
  <c r="K15" i="1" s="1"/>
  <c r="L38" i="1"/>
  <c r="K38" i="1" s="1"/>
  <c r="L22" i="1"/>
  <c r="K22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L52" i="1"/>
  <c r="K52" i="1" s="1"/>
  <c r="L44" i="1"/>
  <c r="K44" i="1" s="1"/>
  <c r="L36" i="1"/>
  <c r="K36" i="1" s="1"/>
  <c r="L28" i="1"/>
  <c r="K28" i="1" s="1"/>
  <c r="L20" i="1"/>
  <c r="K20" i="1" s="1"/>
  <c r="M46" i="1"/>
  <c r="K46" i="1" s="1"/>
  <c r="D7" i="9"/>
  <c r="M30" i="1"/>
  <c r="K30" i="1" s="1"/>
  <c r="M24" i="1"/>
  <c r="K24" i="1" s="1"/>
  <c r="D8" i="9"/>
  <c r="E9" i="6" a="1"/>
  <c r="E9" i="6" s="1"/>
  <c r="H13" i="1" s="1"/>
  <c r="Z9" i="6" a="1"/>
  <c r="Z9" i="6" s="1"/>
  <c r="H20" i="1" s="1"/>
  <c r="AU9" i="6" a="1"/>
  <c r="AU9" i="6" s="1"/>
  <c r="H27" i="1" s="1"/>
  <c r="CH9" i="6" a="1"/>
  <c r="CH9" i="6" s="1"/>
  <c r="H40" i="1" s="1"/>
  <c r="CW9" i="6" a="1"/>
  <c r="CW9" i="6" s="1"/>
  <c r="H45" i="1" s="1"/>
  <c r="DG9" i="6" a="1"/>
  <c r="DG9" i="6" s="1"/>
  <c r="I48" i="1" s="1"/>
  <c r="DO9" i="6" a="1"/>
  <c r="DO9" i="6" s="1"/>
  <c r="H51" i="1" s="1"/>
  <c r="R9" i="6" a="1"/>
  <c r="R9" i="6" s="1"/>
  <c r="I17" i="1" s="1"/>
  <c r="AL9" i="6" a="1"/>
  <c r="AL9" i="6" s="1"/>
  <c r="H24" i="1" s="1"/>
  <c r="AV9" i="6" a="1"/>
  <c r="AV9" i="6" s="1"/>
  <c r="I27" i="1" s="1"/>
  <c r="BP9" i="6" a="1"/>
  <c r="BP9" i="6" s="1"/>
  <c r="H34" i="1" s="1"/>
  <c r="CB9" i="6" a="1"/>
  <c r="CB9" i="6" s="1"/>
  <c r="H38" i="1" s="1"/>
  <c r="T9" i="6" a="1"/>
  <c r="T9" i="6" s="1"/>
  <c r="H18" i="1" s="1"/>
  <c r="AX9" i="6" a="1"/>
  <c r="AX9" i="6" s="1"/>
  <c r="H28" i="1" s="1"/>
  <c r="I9" i="6" a="1"/>
  <c r="I9" i="6" s="1"/>
  <c r="I14" i="1" s="1"/>
  <c r="AO9" i="6" a="1"/>
  <c r="AO9" i="6" s="1"/>
  <c r="H25" i="1" s="1"/>
  <c r="BJ9" i="6" a="1"/>
  <c r="BJ9" i="6" s="1"/>
  <c r="H32" i="1" s="1"/>
  <c r="BV9" i="6" a="1"/>
  <c r="BV9" i="6" s="1"/>
  <c r="H36" i="1" s="1"/>
  <c r="DI9" i="6" a="1"/>
  <c r="DI9" i="6" s="1"/>
  <c r="H49" i="1" s="1"/>
  <c r="K9" i="6" a="1"/>
  <c r="K9" i="6" s="1"/>
  <c r="H15" i="1" s="1"/>
  <c r="AD9" i="6" a="1"/>
  <c r="AD9" i="6" s="1"/>
  <c r="I21" i="1" s="1"/>
  <c r="BQ9" i="6" a="1"/>
  <c r="BQ9" i="6" s="1"/>
  <c r="I34" i="1" s="1"/>
  <c r="CF9" i="6" a="1"/>
  <c r="CF9" i="6" s="1"/>
  <c r="I39" i="1" s="1"/>
  <c r="CQ9" i="6" a="1"/>
  <c r="CQ9" i="6" s="1"/>
  <c r="H43" i="1" s="1"/>
  <c r="CX9" i="6" a="1"/>
  <c r="CX9" i="6" s="1"/>
  <c r="I45" i="1" s="1"/>
  <c r="DA9" i="6" a="1"/>
  <c r="DA9" i="6" s="1"/>
  <c r="I46" i="1" s="1"/>
  <c r="DM9" i="6" a="1"/>
  <c r="DM9" i="6" s="1"/>
  <c r="I50" i="1" s="1"/>
  <c r="DR9" i="6" a="1"/>
  <c r="DR9" i="6" s="1"/>
  <c r="H52" i="1" s="1"/>
  <c r="L9" i="6" a="1"/>
  <c r="L9" i="6" s="1"/>
  <c r="I15" i="1" s="1"/>
  <c r="AF9" i="6" a="1"/>
  <c r="AF9" i="6" s="1"/>
  <c r="H22" i="1" s="1"/>
  <c r="AP9" i="6" a="1"/>
  <c r="AP9" i="6" s="1"/>
  <c r="I25" i="1" s="1"/>
  <c r="BA9" i="6" a="1"/>
  <c r="BA9" i="6" s="1"/>
  <c r="H29" i="1" s="1"/>
  <c r="BM9" i="6" a="1"/>
  <c r="BM9" i="6" s="1"/>
  <c r="H33" i="1" s="1"/>
  <c r="CC9" i="6" a="1"/>
  <c r="CC9" i="6" s="1"/>
  <c r="I38" i="1" s="1"/>
  <c r="CU9" i="6" a="1"/>
  <c r="CU9" i="6" s="1"/>
  <c r="I44" i="1" s="1"/>
  <c r="DF9" i="6" a="1"/>
  <c r="DF9" i="6" s="1"/>
  <c r="H48" i="1" s="1"/>
  <c r="DJ9" i="6" a="1"/>
  <c r="DJ9" i="6" s="1"/>
  <c r="I49" i="1" s="1"/>
  <c r="N9" i="6" a="1"/>
  <c r="N9" i="6" s="1"/>
  <c r="H16" i="1" s="1"/>
  <c r="X9" i="6" a="1"/>
  <c r="X9" i="6" s="1"/>
  <c r="I19" i="1" s="1"/>
  <c r="AG9" i="6" a="1"/>
  <c r="AG9" i="6" s="1"/>
  <c r="I22" i="1" s="1"/>
  <c r="AR9" i="6" a="1"/>
  <c r="AR9" i="6" s="1"/>
  <c r="H26" i="1" s="1"/>
  <c r="BB9" i="6" a="1"/>
  <c r="BB9" i="6" s="1"/>
  <c r="I29" i="1" s="1"/>
  <c r="BN9" i="6" a="1"/>
  <c r="BN9" i="6" s="1"/>
  <c r="I33" i="1" s="1"/>
  <c r="BS9" i="6" a="1"/>
  <c r="BS9" i="6" s="1"/>
  <c r="H35" i="1" s="1"/>
  <c r="BZ9" i="6" a="1"/>
  <c r="BZ9" i="6" s="1"/>
  <c r="I37" i="1" s="1"/>
  <c r="CN9" i="6" a="1"/>
  <c r="CN9" i="6" s="1"/>
  <c r="H42" i="1" s="1"/>
  <c r="CR9" i="6" a="1"/>
  <c r="CR9" i="6" s="1"/>
  <c r="I43" i="1" s="1"/>
  <c r="DS9" i="6" a="1"/>
  <c r="DS9" i="6" s="1"/>
  <c r="I52" i="1" s="1"/>
  <c r="Q9" i="6" a="1"/>
  <c r="Q9" i="6" s="1"/>
  <c r="H17" i="1" s="1"/>
  <c r="AJ9" i="6" a="1"/>
  <c r="AJ9" i="6" s="1"/>
  <c r="I23" i="1" s="1"/>
  <c r="BE9" i="6" a="1"/>
  <c r="BE9" i="6" s="1"/>
  <c r="I30" i="1" s="1"/>
  <c r="F9" i="6" a="1"/>
  <c r="F9" i="6" s="1"/>
  <c r="I13" i="1" s="1"/>
  <c r="AA9" i="6" a="1"/>
  <c r="AA9" i="6" s="1"/>
  <c r="I20" i="1" s="1"/>
  <c r="BG9" i="6" a="1"/>
  <c r="BG9" i="6" s="1"/>
  <c r="H31" i="1" s="1"/>
  <c r="BT9" i="6" a="1"/>
  <c r="BT9" i="6" s="1"/>
  <c r="I35" i="1" s="1"/>
  <c r="CE9" i="6" a="1"/>
  <c r="CE9" i="6" s="1"/>
  <c r="H39" i="1" s="1"/>
  <c r="CO9" i="6" a="1"/>
  <c r="CO9" i="6" s="1"/>
  <c r="I42" i="1" s="1"/>
  <c r="CZ9" i="6" a="1"/>
  <c r="CZ9" i="6" s="1"/>
  <c r="DD9" i="6" a="1"/>
  <c r="DD9" i="6" s="1"/>
  <c r="I47" i="1" s="1"/>
  <c r="DL9" i="6" a="1"/>
  <c r="DL9" i="6" s="1"/>
  <c r="H50" i="1" s="1"/>
  <c r="H9" i="6" a="1"/>
  <c r="H9" i="6" s="1"/>
  <c r="H14" i="1" s="1"/>
  <c r="AC9" i="6" a="1"/>
  <c r="AC9" i="6" s="1"/>
  <c r="H21" i="1" s="1"/>
  <c r="AM9" i="6" a="1"/>
  <c r="AM9" i="6" s="1"/>
  <c r="I24" i="1" s="1"/>
  <c r="BH9" i="6" a="1"/>
  <c r="BH9" i="6" s="1"/>
  <c r="I31" i="1" s="1"/>
  <c r="CL9" i="6" a="1"/>
  <c r="CL9" i="6" s="1"/>
  <c r="I41" i="1" s="1"/>
  <c r="CT9" i="6" a="1"/>
  <c r="CT9" i="6" s="1"/>
  <c r="H44" i="1" s="1"/>
  <c r="DP9" i="6" a="1"/>
  <c r="DP9" i="6" s="1"/>
  <c r="I51" i="1" s="1"/>
  <c r="U9" i="6" a="1"/>
  <c r="U9" i="6" s="1"/>
  <c r="I18" i="1" s="1"/>
  <c r="AY9" i="6" a="1"/>
  <c r="AY9" i="6" s="1"/>
  <c r="I28" i="1" s="1"/>
  <c r="BY9" i="6" a="1"/>
  <c r="BY9" i="6" s="1"/>
  <c r="H37" i="1" s="1"/>
  <c r="CI9" i="6" a="1"/>
  <c r="CI9" i="6" s="1"/>
  <c r="I40" i="1" s="1"/>
  <c r="W9" i="6" a="1"/>
  <c r="W9" i="6" s="1"/>
  <c r="H19" i="1" s="1"/>
  <c r="BK9" i="6" a="1"/>
  <c r="BK9" i="6" s="1"/>
  <c r="I32" i="1" s="1"/>
  <c r="O9" i="6" a="1"/>
  <c r="O9" i="6" s="1"/>
  <c r="I16" i="1" s="1"/>
  <c r="AI9" i="6" a="1"/>
  <c r="AI9" i="6" s="1"/>
  <c r="H23" i="1" s="1"/>
  <c r="AS9" i="6" a="1"/>
  <c r="AS9" i="6" s="1"/>
  <c r="I26" i="1" s="1"/>
  <c r="BD9" i="6" a="1"/>
  <c r="BD9" i="6" s="1"/>
  <c r="H30" i="1" s="1"/>
  <c r="BW9" i="6" a="1"/>
  <c r="BW9" i="6" s="1"/>
  <c r="I36" i="1" s="1"/>
  <c r="CK9" i="6" a="1"/>
  <c r="CK9" i="6" s="1"/>
  <c r="H41" i="1" s="1"/>
  <c r="J17" i="1" l="1"/>
  <c r="J27" i="1"/>
  <c r="J46" i="1"/>
  <c r="J29" i="1"/>
  <c r="J31" i="1"/>
  <c r="J49" i="1"/>
  <c r="J20" i="1"/>
  <c r="J28" i="1"/>
  <c r="J45" i="1"/>
  <c r="J35" i="1"/>
  <c r="J42" i="1"/>
  <c r="J39" i="1"/>
  <c r="J14" i="1"/>
  <c r="J43" i="1"/>
  <c r="J37" i="1"/>
  <c r="J36" i="1"/>
  <c r="J16" i="1"/>
  <c r="J22" i="1"/>
  <c r="J50" i="1"/>
  <c r="J24" i="1"/>
  <c r="J52" i="1"/>
  <c r="J38" i="1"/>
  <c r="J40" i="1"/>
  <c r="J25" i="1"/>
  <c r="J51" i="1"/>
  <c r="J44" i="1"/>
  <c r="J41" i="1"/>
  <c r="J30" i="1"/>
  <c r="J15" i="1"/>
  <c r="J48" i="1"/>
  <c r="J33" i="1"/>
  <c r="J26" i="1"/>
  <c r="CY9" i="6" a="1"/>
  <c r="CY9" i="6" s="1"/>
  <c r="H46" i="1"/>
  <c r="J47" i="1"/>
  <c r="J18" i="1"/>
  <c r="J32" i="1"/>
  <c r="J21" i="1"/>
  <c r="J23" i="1"/>
  <c r="J34" i="1"/>
  <c r="J19" i="1"/>
  <c r="K13" i="1"/>
  <c r="J13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50" i="1" l="1"/>
  <c r="G39" i="1"/>
  <c r="G34" i="1"/>
  <c r="G51" i="1"/>
  <c r="G47" i="1"/>
  <c r="G48" i="1"/>
  <c r="G45" i="1"/>
  <c r="G38" i="1"/>
  <c r="G52" i="1"/>
  <c r="G43" i="1"/>
  <c r="G49" i="1"/>
  <c r="G36" i="1"/>
  <c r="G44" i="1" l="1"/>
  <c r="G40" i="1"/>
  <c r="G35" i="1"/>
  <c r="G42" i="1"/>
  <c r="G41" i="1"/>
  <c r="G46" i="1"/>
  <c r="G33" i="1"/>
  <c r="G37" i="1"/>
  <c r="G22" i="1"/>
  <c r="G18" i="1"/>
  <c r="G32" i="1"/>
  <c r="G20" i="1"/>
  <c r="G28" i="1"/>
  <c r="G25" i="1"/>
  <c r="G16" i="1"/>
  <c r="G14" i="1"/>
  <c r="G21" i="1"/>
  <c r="G13" i="1"/>
  <c r="G29" i="1"/>
  <c r="G17" i="1"/>
  <c r="G24" i="1"/>
  <c r="G19" i="1"/>
  <c r="G27" i="1"/>
  <c r="G30" i="1"/>
  <c r="G31" i="1"/>
  <c r="G15" i="1"/>
  <c r="G26" i="1"/>
  <c r="G23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<sst xmlns="http://schemas.openxmlformats.org/spreadsheetml/2006/main" count="343" uniqueCount="288">
  <si>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</si>
  <si>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</si>
  <si>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</si>
  <si>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</si>
  <si>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</si>
  <si>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</si>
  <si>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</si>
  <si>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</si>
  <si>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</si>
  <si>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</si>
  <si>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</si>
  <si>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</si>
  <si>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</si>
  <si>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</si>
  <si>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</si>
  <si>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</si>
  <si>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</si>
  <si>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</si>
  <si>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</si>
  <si>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</si>
  <si>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</si>
  <si>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</si>
  <si>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</si>
  <si>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</si>
  <si>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</si>
  <si>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</si>
  <si>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</si>
  <si>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</si>
  <si>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</si>
  <si>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</si>
  <si>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</si>
  <si>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</si>
  <si>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</si>
  <si>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</si>
  <si>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</si>
  <si>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</si>
  <si>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</si>
  <si>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</si>
  <si>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</si>
  <si>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</si>
  <si>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</si>
  <si>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</si>
  <si>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</si>
  <si>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</si>
  <si>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</si>
  <si>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</si>
  <si>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</si>
  <si>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</si>
  <si>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</si>
  <si>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</si>
  <si>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</si>
  <si>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</si>
  <si>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</si>
  <si>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</si>
  <si>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</si>
  <si>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</si>
  <si>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</si>
  <si>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</si>
  <si>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</si>
  <si>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</si>
  <si>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</si>
  <si>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</si>
  <si>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</si>
  <si>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</si>
  <si>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</si>
  <si>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</si>
  <si>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</si>
  <si>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</si>
  <si>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</si>
  <si>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</si>
  <si>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</si>
  <si>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</si>
  <si>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</si>
  <si>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</si>
  <si>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</si>
  <si>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</si>
  <si>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</si>
  <si>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</si>
  <si>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</si>
  <si>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</si>
  <si>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</si>
  <si>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</si>
  <si>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</si>
  <si>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</si>
  <si>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</si>
  <si>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</si>
  <si>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</si>
  <si>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</si>
  <si>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</si>
  <si>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</si>
  <si>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</si>
  <si>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</si>
  <si>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</si>
  <si>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</si>
  <si>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</si>
  <si>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</si>
  <si>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</si>
  <si>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</si>
  <si>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</si>
  <si>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</si>
  <si>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</si>
  <si>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</si>
  <si>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</si>
  <si>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</si>
  <si>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</si>
  <si>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</si>
  <si>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</si>
  <si>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</si>
  <si>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</si>
  <si>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</si>
  <si>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</si>
  <si>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</si>
  <si>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</si>
  <si>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</si>
  <si>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</si>
  <si>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</si>
  <si>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</si>
  <si>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</si>
  <si>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</si>
  <si>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</si>
  <si>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</si>
  <si>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</si>
  <si>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</si>
  <si>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</si>
  <si>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</si>
  <si>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</si>
  <si>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</si>
  <si>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</si>
  <si>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</si>
  <si>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</si>
  <si>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</si>
  <si>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* 姓氏</t>
  </si>
  <si>
    <t>* 电话</t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</si>
  <si>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</si>
  <si>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</si>
  <si>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</si>
  <si>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</si>
  <si>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</si>
  <si>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</si>
  <si>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</si>
  <si>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</si>
  <si>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</si>
  <si>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</si>
  <si>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</si>
  <si>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</si>
  <si>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</si>
  <si>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</si>
  <si>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</si>
  <si>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</si>
  <si>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</si>
  <si>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</si>
  <si>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</si>
  <si>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</si>
  <si>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</si>
  <si>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</si>
  <si>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</si>
  <si>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</si>
  <si>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</si>
  <si>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</si>
  <si>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</si>
  <si>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</si>
  <si>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</si>
  <si>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</si>
  <si>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</si>
  <si>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</si>
  <si>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</si>
  <si>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</si>
  <si>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</si>
  <si>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</si>
  <si>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</si>
  <si>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</si>
  <si>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</si>
  <si>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</si>
  <si>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</si>
  <si>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</si>
  <si>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</si>
  <si>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</si>
  <si>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</si>
  <si>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</si>
  <si>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</si>
  <si>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</si>
  <si>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</si>
  <si>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</si>
  <si>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</si>
  <si>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</si>
  <si>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</si>
  <si>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</si>
  <si>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</si>
  <si>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</si>
  <si>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</si>
  <si>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</si>
  <si>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</si>
  <si>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</si>
  <si>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</si>
  <si>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</si>
  <si>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</si>
  <si>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</si>
  <si>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</si>
  <si>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</si>
  <si>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</si>
  <si>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</si>
  <si>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</si>
  <si>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</si>
  <si>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</si>
  <si>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</si>
  <si>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</si>
  <si>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</si>
  <si>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</si>
  <si>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</si>
  <si>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</si>
  <si>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</si>
  <si>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</si>
  <si>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</si>
  <si>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</si>
  <si>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</si>
  <si>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</si>
  <si>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</si>
  <si>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</si>
  <si>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</si>
  <si>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</si>
  <si>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</si>
  <si>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</si>
  <si>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</si>
  <si>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</si>
  <si>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</si>
  <si>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</si>
  <si>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进货存货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</si>
  <si>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</si>
  <si>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</si>
  <si>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</si>
  <si>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</si>
  <si>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</si>
  <si>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</si>
  <si>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</si>
  <si>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</si>
  <si>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</si>
  <si>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</si>
  <si>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</si>
  <si>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</si>
  <si>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</si>
  <si>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</si>
  <si>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</si>
  <si>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</si>
  <si>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</si>
  <si>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</si>
  <si>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</si>
  <si>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</si>
  <si>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</si>
  <si>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选择了会员后：点新增存入或支取后自动新增到历史记录</t>
  </si>
  <si>
    <t>选择了会员后：快捷方式，快速新增时自动填存入和寄存</t>
  </si>
  <si>
    <t>自动添加热键、清除热键、清空错误列表等信息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</si>
  <si>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</si>
  <si>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</si>
  <si>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</si>
  <si>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</si>
  <si>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</si>
  <si>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</si>
  <si>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</si>
  <si>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</si>
  <si>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重置新增商口入库取货、新增会员、错误信息等内容</t>
  </si>
  <si>
    <t>先决条件</t>
  </si>
  <si>
    <t>必须支持 VBA 宏版本的办公软件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</si>
  <si>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</si>
  <si>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</si>
  <si>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</si>
  <si>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</si>
  <si>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</si>
  <si>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</si>
  <si>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</si>
  <si>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</si>
  <si>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</si>
  <si>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</si>
  <si>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</si>
  <si>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</si>
  <si>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</si>
  <si>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</si>
  <si>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</si>
  <si>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</si>
  <si>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</si>
  <si>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</si>
  <si>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</si>
  <si>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可添加：姓氏、名字、性别、身份证号码、年龄、电话、Email、家庭住址、备注等和删除</t>
  </si>
  <si>
    <t>前往 https://github.com/ilikeyi/Office 或打开 https://fengyi.tel/go/storage 下载后，</t>
  </si>
  <si>
    <t>Excel VBA 版 | 商品入库、取货 | 会员管理 | 存入 | 支取 | 新增历史记录 | 即时统计等功能</t>
  </si>
  <si>
    <t>已存入</t>
  </si>
  <si>
    <t>已支取</t>
  </si>
  <si>
    <t>v1.1</t>
  </si>
  <si>
    <t>共入库小计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</si>
</sst>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49" fontId="2" fillId="0" borderId="0" xfId="0" applyNumberFormat="1" applyFont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0" borderId="0" xfId="0" applyFont="1" applyAlignment="1">
      <alignment horizontal="right" vertical="center" indent="2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>
      <alignment horizontal="right" vertical="center" indent="1"/>
    </xf>
    <xf numFmtId="0" fontId="2" fillId="10" borderId="0" xfId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vertical="top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9" borderId="0" xfId="0" applyFont="1" applyFill="1" applyAlignment="1" applyProtection="1">
      <alignment horizontal="center" vertical="center" wrapText="1"/>
      <protection locked="0"/>
    </xf>
    <xf numFmtId="0" fontId="1" fillId="19" borderId="0" xfId="0" applyFont="1" applyFill="1" applyAlignment="1">
      <alignment horizontal="center" vertical="center" wrapText="1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20" borderId="0" xfId="0" applyFont="1" applyFill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1" fillId="19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5" borderId="0" xfId="0" applyFont="1" applyFill="1"/>
    <xf numFmtId="0" fontId="1" fillId="3" borderId="0" xfId="0" applyFont="1" applyFill="1"/>
  </cellXfs>
  <cellStyles count="2">
    <cellStyle name="Hyperlink" xfId="1" builtinId="8"/>
    <cellStyle name="Normal" xfId="0" builtinId="0"/>
  </cellStyles>
  <dxfs count="351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7030A0"/>
      <color rgb="FFDF4C26"/>
      <color rgb="FFF4F3EE"/>
      <color rgb="FFA9D08E"/>
      <color rgb="FFCEDEBD"/>
      <color rgb="FFE2EFDA"/>
      <color rgb="FFECE5C7"/>
      <color rgb="FFC6E0B4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38</xdr:row>
      <xdr:rowOff>87923</xdr:rowOff>
    </xdr:from>
    <xdr:to>
      <xdr:col>10</xdr:col>
      <xdr:colOff>164965</xdr:colOff>
      <xdr:row>38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49</xdr:row>
      <xdr:rowOff>57978</xdr:rowOff>
    </xdr:from>
    <xdr:to>
      <xdr:col>11</xdr:col>
      <xdr:colOff>32443</xdr:colOff>
      <xdr:row>50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41</xdr:row>
      <xdr:rowOff>16565</xdr:rowOff>
    </xdr:from>
    <xdr:to>
      <xdr:col>15</xdr:col>
      <xdr:colOff>66261</xdr:colOff>
      <xdr:row>41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44</xdr:row>
      <xdr:rowOff>31748</xdr:rowOff>
    </xdr:from>
    <xdr:to>
      <xdr:col>7</xdr:col>
      <xdr:colOff>512116</xdr:colOff>
      <xdr:row>44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37</xdr:row>
      <xdr:rowOff>124243</xdr:rowOff>
    </xdr:from>
    <xdr:to>
      <xdr:col>3</xdr:col>
      <xdr:colOff>254625</xdr:colOff>
      <xdr:row>37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40</xdr:row>
      <xdr:rowOff>140805</xdr:rowOff>
    </xdr:from>
    <xdr:to>
      <xdr:col>3</xdr:col>
      <xdr:colOff>254625</xdr:colOff>
      <xdr:row>40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43</xdr:row>
      <xdr:rowOff>132521</xdr:rowOff>
    </xdr:from>
    <xdr:to>
      <xdr:col>3</xdr:col>
      <xdr:colOff>254625</xdr:colOff>
      <xdr:row>43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46</xdr:row>
      <xdr:rowOff>132521</xdr:rowOff>
    </xdr:from>
    <xdr:to>
      <xdr:col>3</xdr:col>
      <xdr:colOff>254625</xdr:colOff>
      <xdr:row>46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5</xdr:row>
          <xdr:rowOff>57150</xdr:rowOff>
        </xdr:from>
        <xdr:to>
          <xdr:col>2</xdr:col>
          <xdr:colOff>895350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1133475</xdr:colOff>
          <xdr:row>5</xdr:row>
          <xdr:rowOff>57150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2:M52" totalsRowShown="0" headerRowDxfId="350" dataDxfId="349">
  <autoFilter ref="D12:M52" xr:uid="{11A03F84-0665-49F1-9984-7E2CA5A905D1}"/>
  <tableColumns count="10">
    <tableColumn id="10" xr3:uid="{E7ABD066-9CFB-4687-B84E-A1A9030FB071}" name="唯一识别码" dataDxfId="348">
      <calculatedColumnFormula>CONCATENATE(Store_Setting[[#This Row],[序号]], " | ", Store_Setting[[#This Row],[商品名称]])</calculatedColumnFormula>
    </tableColumn>
    <tableColumn id="1" xr3:uid="{76D80D8E-17D9-4452-B1EE-33BFE80A31E7}" name="序号" dataDxfId="347"/>
    <tableColumn id="2" xr3:uid="{C28244F3-482D-4CFC-B629-A29496B98C0B}" name="商品名称" dataDxfId="346"/>
    <tableColumn id="4" xr3:uid="{3C821CA6-CD17-432C-AF90-A003188028FF}" name="存取负差" dataDxfId="345">
      <calculatedColumnFormula>SUM(UserInfo[1 - 剩余])</calculatedColumnFormula>
    </tableColumn>
    <tableColumn id="7" xr3:uid="{75829BDD-5513-4744-8184-35AE3788771C}" name="已存入" dataDxfId="344">
      <calculatedColumnFormula>SUM(UserInfo[1 - 存入])</calculatedColumnFormula>
    </tableColumn>
    <tableColumn id="6" xr3:uid="{B71F91EB-0024-4EC1-8035-3636C31B3740}" name="已支取" dataDxfId="343">
      <calculatedColumnFormula>SUM(UserInfo[1 - 支取])</calculatedColumnFormula>
    </tableColumn>
    <tableColumn id="5" xr3:uid="{6E4E3255-2204-43C6-A50C-EEAF08580A14}" name="库存负差" dataDxfId="342">
      <calculatedColumnFormula>Store_Setting[[#This Row],[共入库小计]]-Store_Setting[[#This Row],[已支取]]</calculatedColumnFormula>
    </tableColumn>
    <tableColumn id="3" xr3:uid="{22B03291-87C6-4988-A07E-0454091C8935}" name="共入库小计" dataDxfId="341">
      <calculatedColumnFormula>Store_Setting[[#This Row],[入库小计]]-Store_Setting[[#This Row],[取货小计]]</calculatedColumnFormula>
    </tableColumn>
    <tableColumn id="9" xr3:uid="{7DA9A308-8441-49E3-B1B4-6AF7A14784F7}" name="入库小计" dataDxfId="340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9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8" dataDxfId="337">
  <autoFilter ref="B6:K7" xr:uid="{B82E5E9F-8725-4EAF-B9F2-1889C4CE31C6}"/>
  <tableColumns count="10">
    <tableColumn id="1" xr3:uid="{CCD5A4A0-03A2-44F4-8FB0-E2743E043E7C}" name="序号" dataDxfId="336">
      <calculatedColumnFormula array="1">SNGKI</calculatedColumnFormula>
    </tableColumn>
    <tableColumn id="2" xr3:uid="{BE286F67-B0FA-40D9-BDA1-B2CFCEBCEB36}" name="唯一识别码" dataDxfId="335"/>
    <tableColumn id="6" xr3:uid="{148867ED-CDB5-4DC9-923C-601F80EB1640}" name="商品序号" dataDxfId="334">
      <calculatedColumnFormula array="1">Get_Store_SN</calculatedColumnFormula>
    </tableColumn>
    <tableColumn id="5" xr3:uid="{1911F1F5-D5AD-4950-85F5-813E0E394FE9}" name="商品名称" dataDxfId="333">
      <calculatedColumnFormula array="1">Get_Store_Name</calculatedColumnFormula>
    </tableColumn>
    <tableColumn id="4" xr3:uid="{9CF218BF-31BE-437E-9285-7CE338B0180C}" name="类型" dataDxfId="332"/>
    <tableColumn id="38" xr3:uid="{BE6B60B8-5A23-4085-9CC5-0D91831F16B6}" name="数量" dataDxfId="331"/>
    <tableColumn id="9" xr3:uid="{BCC80DB2-EF55-4BCC-9A8B-636F5A0886E8}" name="单位" dataDxfId="330"/>
    <tableColumn id="3" xr3:uid="{CCD860BE-34B0-4F57-8823-4D2C9F7985B4}" name="时间" dataDxfId="329"/>
    <tableColumn id="7" xr3:uid="{38DADDD1-29F3-4A23-B844-9D021C0D5F68}" name="工号" dataDxfId="328"/>
    <tableColumn id="8" xr3:uid="{945E147D-AEC8-4CD6-9889-CC8A2ADA4657}" name="备注" dataDxfId="327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6" dataDxfId="325" totalsRowDxfId="324">
  <autoFilter ref="B8:ED9" xr:uid="{ADAB6017-62AE-4ECA-A153-D815FED82043}"/>
  <tableColumns count="133">
    <tableColumn id="1" xr3:uid="{69B39378-5DEE-4683-8063-2D1E5E369E67}" name="序号" totalsRowLabel="Total" dataDxfId="323" totalsRowDxfId="322">
      <calculatedColumnFormula array="1">SN</calculatedColumnFormula>
    </tableColumn>
    <tableColumn id="5" xr3:uid="{35BA10B8-A444-4F80-8F55-6146540C5A57}" name="唯一识别码" dataDxfId="321" totalsRowDxfId="320">
      <calculatedColumnFormula array="1">GUID</calculatedColumnFormula>
    </tableColumn>
    <tableColumn id="6" xr3:uid="{8A3791BE-D142-4B77-980F-0E769FF1CE0E}" name="1 - 剩余" dataDxfId="319">
      <calculatedColumnFormula array="1">Get_1_Calc</calculatedColumnFormula>
    </tableColumn>
    <tableColumn id="8" xr3:uid="{E45E7682-0361-46D3-BF20-AF1E07C3D65B}" name="1 - 存入" dataDxfId="318" totalsRowDxfId="317">
      <calculatedColumnFormula array="1">Get_1_Add</calculatedColumnFormula>
    </tableColumn>
    <tableColumn id="9" xr3:uid="{FE45F0F1-8F7A-4A14-B0E4-3EC60A580E37}" name="1 - 支取" dataDxfId="316" totalsRowDxfId="315">
      <calculatedColumnFormula array="1">Get_1_Del</calculatedColumnFormula>
    </tableColumn>
    <tableColumn id="7" xr3:uid="{B53043EA-8EAF-48CD-A1C4-F1751A029F72}" name="2 - 剩余" dataDxfId="314" totalsRowDxfId="313">
      <calculatedColumnFormula array="1">Get_2_Calc</calculatedColumnFormula>
    </tableColumn>
    <tableColumn id="10" xr3:uid="{95260041-5347-400B-AAEF-EE609D2539A1}" name="2 - 存入" dataDxfId="312" totalsRowDxfId="311">
      <calculatedColumnFormula array="1">Get_2_Add</calculatedColumnFormula>
    </tableColumn>
    <tableColumn id="11" xr3:uid="{33755691-0EB3-40CE-9B73-E91F8C102760}" name="2 - 支取" dataDxfId="310" totalsRowDxfId="309">
      <calculatedColumnFormula array="1">Get_2_Del</calculatedColumnFormula>
    </tableColumn>
    <tableColumn id="32" xr3:uid="{EC5EB628-FB36-43AE-A347-41E9ACE5D72E}" name="3 - 剩余" dataDxfId="308" totalsRowDxfId="307">
      <calculatedColumnFormula array="1">Get_3_Calc</calculatedColumnFormula>
    </tableColumn>
    <tableColumn id="33" xr3:uid="{43A56C01-D775-4C69-87D1-225F1941DB58}" name="3 - 存入" dataDxfId="306" totalsRowDxfId="305">
      <calculatedColumnFormula array="1">Get_3_Add</calculatedColumnFormula>
    </tableColumn>
    <tableColumn id="30" xr3:uid="{E3875226-6AB9-4F4B-91BF-CC71FCEAF551}" name="3 - 支取" dataDxfId="304" totalsRowDxfId="303">
      <calculatedColumnFormula array="1">Get_3_Del</calculatedColumnFormula>
    </tableColumn>
    <tableColumn id="31" xr3:uid="{B62D1E0D-5AB3-4BE3-8BC6-8442FF019A25}" name="4 - 剩余" dataDxfId="302" totalsRowDxfId="301">
      <calculatedColumnFormula array="1">Get_4_Calc</calculatedColumnFormula>
    </tableColumn>
    <tableColumn id="28" xr3:uid="{7B09D42A-E4B3-42DA-A7BC-1855D7B3276B}" name="4 - 存入" dataDxfId="300" totalsRowDxfId="299">
      <calculatedColumnFormula array="1">Get_4_Add</calculatedColumnFormula>
    </tableColumn>
    <tableColumn id="29" xr3:uid="{B7BDACF3-46DD-4203-BF1C-D95921A9EAB9}" name="4 - 支取" dataDxfId="298" totalsRowDxfId="297">
      <calculatedColumnFormula array="1">Get_4_Del</calculatedColumnFormula>
    </tableColumn>
    <tableColumn id="26" xr3:uid="{2B28D0BE-0636-4250-93AD-A6F7361B235B}" name="5 - 剩余" dataDxfId="296" totalsRowDxfId="295">
      <calculatedColumnFormula array="1">Get_5_Calc</calculatedColumnFormula>
    </tableColumn>
    <tableColumn id="27" xr3:uid="{E0E33EBF-F853-45D7-8D8D-4968D0DF550A}" name="5 - 存入" dataDxfId="294" totalsRowDxfId="293">
      <calculatedColumnFormula array="1">Get_5_Add</calculatedColumnFormula>
    </tableColumn>
    <tableColumn id="34" xr3:uid="{8BF8358E-3A1F-4FD6-A3D2-5C9ED03B66D2}" name="5 - 支取" dataDxfId="292" totalsRowDxfId="291">
      <calculatedColumnFormula array="1">Get_5_Del</calculatedColumnFormula>
    </tableColumn>
    <tableColumn id="35" xr3:uid="{BB2E7E56-CFEB-45E5-A53A-8F8601B9A6BC}" name="6 - 剩余" dataDxfId="290">
      <calculatedColumnFormula array="1">Get_6_Calc</calculatedColumnFormula>
    </tableColumn>
    <tableColumn id="36" xr3:uid="{B1C76173-BBE5-4463-A5A2-D59DF06DFEA3}" name="6 - 存入" dataDxfId="289" totalsRowDxfId="288">
      <calculatedColumnFormula array="1">Get_6_Add</calculatedColumnFormula>
    </tableColumn>
    <tableColumn id="37" xr3:uid="{252F1115-6468-4A69-A315-CC054804CD2D}" name="6 - 支取" dataDxfId="287" totalsRowDxfId="286">
      <calculatedColumnFormula array="1">Get_6_Del</calculatedColumnFormula>
    </tableColumn>
    <tableColumn id="20" xr3:uid="{A588D5D5-7793-43CD-9189-E1B0E04C4525}" name="7 - 剩余" dataDxfId="285" totalsRowDxfId="284">
      <calculatedColumnFormula array="1">Get_7_Calc</calculatedColumnFormula>
    </tableColumn>
    <tableColumn id="21" xr3:uid="{173A2F2F-7CDB-4106-BA59-7971244FD630}" name="7 - 存入" dataDxfId="283" totalsRowDxfId="282">
      <calculatedColumnFormula array="1">Get_7_Add</calculatedColumnFormula>
    </tableColumn>
    <tableColumn id="46" xr3:uid="{5DD0D315-AA29-4E95-AB07-E17D16311131}" name="7 - 支取" dataDxfId="281" totalsRowDxfId="280">
      <calculatedColumnFormula array="1">Get_7_Del</calculatedColumnFormula>
    </tableColumn>
    <tableColumn id="47" xr3:uid="{887630E9-FAB3-4BC4-AE9D-DA08EE18BEE8}" name="8 - 剩余" dataDxfId="279" totalsRowDxfId="278">
      <calculatedColumnFormula array="1">Get_8_Calc</calculatedColumnFormula>
    </tableColumn>
    <tableColumn id="44" xr3:uid="{74DD3BDF-B83E-43E2-A24B-4F5846C78DBC}" name="8 - 存入" dataDxfId="277" totalsRowDxfId="276">
      <calculatedColumnFormula array="1">Get_8_Add</calculatedColumnFormula>
    </tableColumn>
    <tableColumn id="45" xr3:uid="{F7703264-4D50-4502-8F6F-FB36B91EB021}" name="8 - 支取" dataDxfId="275" totalsRowDxfId="274">
      <calculatedColumnFormula array="1">Get_8_Del</calculatedColumnFormula>
    </tableColumn>
    <tableColumn id="42" xr3:uid="{4E67C08C-7260-499F-B198-7B6E4192E472}" name="9 - 剩余" dataDxfId="273" totalsRowDxfId="272">
      <calculatedColumnFormula array="1">Get_9_Calc</calculatedColumnFormula>
    </tableColumn>
    <tableColumn id="43" xr3:uid="{7F9B0DDB-B0CF-4F25-BEAA-5F937B25BDE0}" name="9 - 存入" dataDxfId="271" totalsRowDxfId="270">
      <calculatedColumnFormula array="1">Get_9_Add</calculatedColumnFormula>
    </tableColumn>
    <tableColumn id="40" xr3:uid="{3AA5B498-FA98-483A-A388-6B6F74476BFD}" name="9 - 支取" dataDxfId="269" totalsRowDxfId="268">
      <calculatedColumnFormula array="1">Get_9_Del</calculatedColumnFormula>
    </tableColumn>
    <tableColumn id="41" xr3:uid="{82D58ED2-A190-4823-8868-5A26D45CD476}" name="10 - 剩余" dataDxfId="267" totalsRowDxfId="266">
      <calculatedColumnFormula array="1">Get_10_Calc</calculatedColumnFormula>
    </tableColumn>
    <tableColumn id="38" xr3:uid="{800CF74D-0283-4B1A-9909-EF49C70CBE94}" name="10 - 存入" dataDxfId="265" totalsRowDxfId="264">
      <calculatedColumnFormula array="1">Get_10_Add</calculatedColumnFormula>
    </tableColumn>
    <tableColumn id="39" xr3:uid="{276FBA7A-AC3A-4E59-B8B1-B09B169E6837}" name="10 - 支取" dataDxfId="263" totalsRowDxfId="262">
      <calculatedColumnFormula array="1">Get_10_Del</calculatedColumnFormula>
    </tableColumn>
    <tableColumn id="48" xr3:uid="{A7B9D79E-F38B-48CB-AEE5-E7B7F6EF5C2C}" name="11 - 剩余" dataDxfId="261" totalsRowDxfId="260">
      <calculatedColumnFormula array="1">Get_11_Calc</calculatedColumnFormula>
    </tableColumn>
    <tableColumn id="49" xr3:uid="{01CFCCAE-6F8F-4C1E-8FF6-6275897A542E}" name="11 - 存入" dataDxfId="259" totalsRowDxfId="258">
      <calculatedColumnFormula array="1">Get_11_Add</calculatedColumnFormula>
    </tableColumn>
    <tableColumn id="14" xr3:uid="{27E31913-0377-43BF-8773-DF68330317BA}" name="11 - 支取" dataDxfId="257" totalsRowDxfId="256">
      <calculatedColumnFormula array="1">Get_11_Del</calculatedColumnFormula>
    </tableColumn>
    <tableColumn id="51" xr3:uid="{5B85F460-5E62-4025-895D-56CA23340014}" name="12 - 剩余" dataDxfId="255" totalsRowDxfId="254">
      <calculatedColumnFormula array="1">Get_12_Calc</calculatedColumnFormula>
    </tableColumn>
    <tableColumn id="52" xr3:uid="{0EC70A7E-2DCB-4261-AA03-9B9BE1BAEC8F}" name="12 - 存入" dataDxfId="253" totalsRowDxfId="252">
      <calculatedColumnFormula array="1">Get_12_Add</calculatedColumnFormula>
    </tableColumn>
    <tableColumn id="50" xr3:uid="{3EB42EAC-DC06-4CC0-A5A9-B7FE23DC5389}" name="12 - 支取" dataDxfId="251" totalsRowDxfId="250">
      <calculatedColumnFormula array="1">Get_12_Del</calculatedColumnFormula>
    </tableColumn>
    <tableColumn id="65" xr3:uid="{EDF8FCAF-50EB-44D5-B6A9-3CD2A6E9AE1E}" name="13 - 剩余" dataDxfId="249" totalsRowDxfId="248">
      <calculatedColumnFormula array="1">Get_13_Calc</calculatedColumnFormula>
    </tableColumn>
    <tableColumn id="66" xr3:uid="{F5CC81DC-58D2-4192-A82D-389419FBEF0D}" name="13 - 存入" dataDxfId="247" totalsRowDxfId="246">
      <calculatedColumnFormula array="1">Get_13_Add</calculatedColumnFormula>
    </tableColumn>
    <tableColumn id="67" xr3:uid="{CDD18276-7453-4E17-BA82-D9E26BD8811B}" name="13 - 支取" dataDxfId="245" totalsRowDxfId="244">
      <calculatedColumnFormula array="1">Get_13_Del</calculatedColumnFormula>
    </tableColumn>
    <tableColumn id="62" xr3:uid="{68ACC17D-E3C3-4466-88A6-F2F14F757F76}" name="14 - 剩余" dataDxfId="243" totalsRowDxfId="242">
      <calculatedColumnFormula array="1">Get_14_Calc</calculatedColumnFormula>
    </tableColumn>
    <tableColumn id="63" xr3:uid="{0E0EE3C5-8F3C-4968-B0E6-50B1C2B616A8}" name="14 - 存入" dataDxfId="241" totalsRowDxfId="240">
      <calculatedColumnFormula array="1">Get_14_Add</calculatedColumnFormula>
    </tableColumn>
    <tableColumn id="64" xr3:uid="{AD67C543-6A27-4C51-906F-D522151C0D92}" name="14 - 支取" dataDxfId="239" totalsRowDxfId="238">
      <calculatedColumnFormula array="1">Get_14_Del</calculatedColumnFormula>
    </tableColumn>
    <tableColumn id="59" xr3:uid="{7CAE30DB-B183-4017-8A77-F435FA507A01}" name="15 - 剩余" dataDxfId="237" totalsRowDxfId="236">
      <calculatedColumnFormula array="1">Get_15_Calc</calculatedColumnFormula>
    </tableColumn>
    <tableColumn id="60" xr3:uid="{10EF06B0-FD95-42A9-BFCC-64BBC565CA14}" name="15 - 存入" dataDxfId="235" totalsRowDxfId="234">
      <calculatedColumnFormula array="1">Get_15_Add</calculatedColumnFormula>
    </tableColumn>
    <tableColumn id="61" xr3:uid="{6301F8B4-4D01-4FDA-8D32-75921B15A2D9}" name="15 - 支取" dataDxfId="233" totalsRowDxfId="232">
      <calculatedColumnFormula array="1">Get_15_Del</calculatedColumnFormula>
    </tableColumn>
    <tableColumn id="56" xr3:uid="{05F125DE-5AE7-4786-ACBC-DAF9D7222A62}" name="16 - 剩余" dataDxfId="231" totalsRowDxfId="230">
      <calculatedColumnFormula array="1">Get_16_Calc</calculatedColumnFormula>
    </tableColumn>
    <tableColumn id="57" xr3:uid="{7E6969DC-E3FC-4DA8-BB9D-6B36E075458F}" name="16 - 存入" dataDxfId="229" totalsRowDxfId="228">
      <calculatedColumnFormula array="1">Get_16_Add</calculatedColumnFormula>
    </tableColumn>
    <tableColumn id="58" xr3:uid="{84C80CB2-57F5-4B66-8756-5573CD699D16}" name="16 - 支取" dataDxfId="227" totalsRowDxfId="226">
      <calculatedColumnFormula array="1">Get_16_Del</calculatedColumnFormula>
    </tableColumn>
    <tableColumn id="53" xr3:uid="{65516705-AD27-4ECA-AF09-D132C51E08CE}" name="17 - 剩余" dataDxfId="225" totalsRowDxfId="224">
      <calculatedColumnFormula array="1">Get_17_Calc</calculatedColumnFormula>
    </tableColumn>
    <tableColumn id="54" xr3:uid="{0756DBD3-FDA1-4E71-849C-F20BBD0A5182}" name="17 - 存入" dataDxfId="223" totalsRowDxfId="222">
      <calculatedColumnFormula array="1">Get_17_Add</calculatedColumnFormula>
    </tableColumn>
    <tableColumn id="55" xr3:uid="{51CB254C-5F29-4215-8FE0-F8B8B7B32759}" name="17 - 支取" dataDxfId="221" totalsRowDxfId="220">
      <calculatedColumnFormula array="1">Get_17_Del</calculatedColumnFormula>
    </tableColumn>
    <tableColumn id="68" xr3:uid="{9C2EC294-A2C3-40B0-9E15-FFA1DA6DE0E7}" name="18 - 剩余" dataDxfId="219" totalsRowDxfId="218">
      <calculatedColumnFormula array="1">Get_18_Calc</calculatedColumnFormula>
    </tableColumn>
    <tableColumn id="69" xr3:uid="{A371F69D-1236-4AAC-B5F1-72D518D6FC69}" name="18 - 存入" dataDxfId="217" totalsRowDxfId="216">
      <calculatedColumnFormula array="1">Get_18_Add</calculatedColumnFormula>
    </tableColumn>
    <tableColumn id="70" xr3:uid="{7B3C5D9B-BC0C-404F-9490-CDADC350F1D7}" name="18 - 支取" dataDxfId="215" totalsRowDxfId="214">
      <calculatedColumnFormula array="1">Get_18_Del</calculatedColumnFormula>
    </tableColumn>
    <tableColumn id="19" xr3:uid="{91B42855-55D1-4A6A-B9A8-5EE011ADEB10}" name="19 - 剩余" dataDxfId="213" totalsRowDxfId="212">
      <calculatedColumnFormula array="1">Get_19_Calc</calculatedColumnFormula>
    </tableColumn>
    <tableColumn id="18" xr3:uid="{98EE3A39-A8AB-42CF-AEB5-291E8B95D8CA}" name="19 - 存入" dataDxfId="211" totalsRowDxfId="210">
      <calculatedColumnFormula array="1">Get_19_Add</calculatedColumnFormula>
    </tableColumn>
    <tableColumn id="73" xr3:uid="{DB40D44F-8801-4D50-BA48-8323E05D2E13}" name="19 - 支取" dataDxfId="209" totalsRowDxfId="208">
      <calculatedColumnFormula array="1">Get_19_Del</calculatedColumnFormula>
    </tableColumn>
    <tableColumn id="72" xr3:uid="{470D5EC3-31A6-4851-B48C-D6DDADACC807}" name="20 - 剩余" dataDxfId="207" totalsRowDxfId="206">
      <calculatedColumnFormula array="1">Get_20_Calc</calculatedColumnFormula>
    </tableColumn>
    <tableColumn id="71" xr3:uid="{39143051-B360-4CEF-883D-35BFEEAE3BA0}" name="20 - 存入" dataDxfId="205" totalsRowDxfId="204">
      <calculatedColumnFormula array="1">Get_20_Add</calculatedColumnFormula>
    </tableColumn>
    <tableColumn id="15" xr3:uid="{8C1BB1E7-B23F-46EC-AE4E-28A3C394FD55}" name="20 - 支取" dataDxfId="203" totalsRowDxfId="202">
      <calculatedColumnFormula array="1">Get_20_Del</calculatedColumnFormula>
    </tableColumn>
    <tableColumn id="102" xr3:uid="{F21D4D43-73EE-4C8A-8AEF-E424CE485010}" name="21 - 剩余" dataDxfId="201" totalsRowDxfId="200">
      <calculatedColumnFormula array="1">Get_21_Calc</calculatedColumnFormula>
    </tableColumn>
    <tableColumn id="103" xr3:uid="{4486E59C-66B0-413C-AFFC-A8A336BC25D8}" name="21 - 存入" dataDxfId="199" totalsRowDxfId="198">
      <calculatedColumnFormula array="1">Get_21_Add</calculatedColumnFormula>
    </tableColumn>
    <tableColumn id="104" xr3:uid="{564EC857-6030-490D-A2E5-16F4F8221C23}" name="21 - 支取" dataDxfId="197" totalsRowDxfId="196">
      <calculatedColumnFormula array="1">Get_21_Del</calculatedColumnFormula>
    </tableColumn>
    <tableColumn id="105" xr3:uid="{31132AB1-247A-4EB9-8A8A-871FED0D5AA1}" name="22 - 剩余" dataDxfId="195" totalsRowDxfId="194">
      <calculatedColumnFormula array="1">Get_22_Calc</calculatedColumnFormula>
    </tableColumn>
    <tableColumn id="98" xr3:uid="{CF6220B5-7B80-445C-A013-845D35543916}" name="22 - 存入" dataDxfId="193" totalsRowDxfId="192">
      <calculatedColumnFormula array="1">Get_22_Add</calculatedColumnFormula>
    </tableColumn>
    <tableColumn id="99" xr3:uid="{98BD4691-C847-4F41-8E6C-BEC01B8FAEB3}" name="22 - 支取" dataDxfId="191" totalsRowDxfId="190">
      <calculatedColumnFormula array="1">Get_22_Del</calculatedColumnFormula>
    </tableColumn>
    <tableColumn id="100" xr3:uid="{66330D4E-ED0D-41A7-921D-E622CA8068A4}" name="23 - 剩余" dataDxfId="189" totalsRowDxfId="188">
      <calculatedColumnFormula array="1">Get_23_Calc</calculatedColumnFormula>
    </tableColumn>
    <tableColumn id="101" xr3:uid="{3345E086-C2E9-453D-A0EB-A7471CF2ACB2}" name="23 - 存入" dataDxfId="187" totalsRowDxfId="186">
      <calculatedColumnFormula array="1">Get_23_Add</calculatedColumnFormula>
    </tableColumn>
    <tableColumn id="94" xr3:uid="{8EF3E108-22A5-4CBC-9928-BC115EFE882A}" name="23 - 支取" dataDxfId="185" totalsRowDxfId="184">
      <calculatedColumnFormula array="1">Get_23_Del</calculatedColumnFormula>
    </tableColumn>
    <tableColumn id="95" xr3:uid="{C6AA287C-2EA3-4286-A71D-29E22D519C41}" name="24 - 剩余" dataDxfId="183" totalsRowDxfId="182">
      <calculatedColumnFormula array="1">Get_24_Calc</calculatedColumnFormula>
    </tableColumn>
    <tableColumn id="96" xr3:uid="{1FDAF720-4143-496A-91C3-D65BD5CBA18F}" name="24 - 存入" dataDxfId="181" totalsRowDxfId="180">
      <calculatedColumnFormula array="1">Get_24_Add</calculatedColumnFormula>
    </tableColumn>
    <tableColumn id="97" xr3:uid="{0CACBF11-449C-4C06-A249-904EB5517854}" name="24 - 支取" dataDxfId="179" totalsRowDxfId="178">
      <calculatedColumnFormula array="1">Get_24_Del</calculatedColumnFormula>
    </tableColumn>
    <tableColumn id="90" xr3:uid="{11D36A45-02CB-476F-A2D2-734F76A2D1A6}" name="25 - 剩余" dataDxfId="177" totalsRowDxfId="176">
      <calculatedColumnFormula array="1">Get_25_Calc</calculatedColumnFormula>
    </tableColumn>
    <tableColumn id="91" xr3:uid="{8B60EC99-F04A-45EF-8F17-680319744A85}" name="25 - 存入" dataDxfId="175" totalsRowDxfId="174">
      <calculatedColumnFormula array="1">Get_25_Add</calculatedColumnFormula>
    </tableColumn>
    <tableColumn id="92" xr3:uid="{AD05D88D-F2C1-4505-9BBD-FDC0B2D388F3}" name="25 - 支取" dataDxfId="173" totalsRowDxfId="172">
      <calculatedColumnFormula array="1">Get_25_Del</calculatedColumnFormula>
    </tableColumn>
    <tableColumn id="93" xr3:uid="{F7CB76E9-97CE-4CC8-AEDA-CB574593A924}" name="26 - 剩余" dataDxfId="171" totalsRowDxfId="170">
      <calculatedColumnFormula array="1">Get_26_Calc</calculatedColumnFormula>
    </tableColumn>
    <tableColumn id="86" xr3:uid="{6D74E673-FBC5-435E-9229-8C187E67EA3F}" name="26 - 存入" dataDxfId="169" totalsRowDxfId="168">
      <calculatedColumnFormula array="1">Get_26_Add</calculatedColumnFormula>
    </tableColumn>
    <tableColumn id="87" xr3:uid="{C2C28027-A1CD-440D-BB33-3A80FCC5A8C1}" name="26 - 支取" dataDxfId="167" totalsRowDxfId="166">
      <calculatedColumnFormula array="1">Get_26_Del</calculatedColumnFormula>
    </tableColumn>
    <tableColumn id="88" xr3:uid="{070B4F15-D610-4FCF-B681-42E984B3F85F}" name="27 - 剩余" dataDxfId="165" totalsRowDxfId="164">
      <calculatedColumnFormula array="1">Get_27_Calc</calculatedColumnFormula>
    </tableColumn>
    <tableColumn id="89" xr3:uid="{04BA09B0-47DA-4E80-BEEC-AB8498C074D5}" name="27 - 存入" dataDxfId="163" totalsRowDxfId="162">
      <calculatedColumnFormula array="1">Get_27_Add</calculatedColumnFormula>
    </tableColumn>
    <tableColumn id="82" xr3:uid="{17B1B927-AD09-4E4A-B7FC-33ED76279CBC}" name="27 - 支取" dataDxfId="161" totalsRowDxfId="160">
      <calculatedColumnFormula array="1">Get_27_Del</calculatedColumnFormula>
    </tableColumn>
    <tableColumn id="83" xr3:uid="{2F4ED0A5-EE6B-4248-832C-F478A57FA0D5}" name="28 - 剩余" dataDxfId="159" totalsRowDxfId="158">
      <calculatedColumnFormula array="1">Get_28_Calc</calculatedColumnFormula>
    </tableColumn>
    <tableColumn id="84" xr3:uid="{D1140375-114D-49D9-A424-519A4250A622}" name="28 - 存入" dataDxfId="157" totalsRowDxfId="156">
      <calculatedColumnFormula array="1">Get_28_Add</calculatedColumnFormula>
    </tableColumn>
    <tableColumn id="85" xr3:uid="{53209986-74FA-491C-8499-CAD58386B246}" name="28 - 支取" dataDxfId="155" totalsRowDxfId="154">
      <calculatedColumnFormula array="1">Get_28_Del</calculatedColumnFormula>
    </tableColumn>
    <tableColumn id="78" xr3:uid="{9B1695E1-88D0-4B66-86DA-6328CEFA236B}" name="29 - 剩余" dataDxfId="153" totalsRowDxfId="152">
      <calculatedColumnFormula array="1">Get_29_Calc</calculatedColumnFormula>
    </tableColumn>
    <tableColumn id="79" xr3:uid="{AD5F07E7-774D-47C8-B9B7-0278E35D62E4}" name="29 - 存入" dataDxfId="151" totalsRowDxfId="150">
      <calculatedColumnFormula array="1">Get_29_Add</calculatedColumnFormula>
    </tableColumn>
    <tableColumn id="80" xr3:uid="{60613223-E2AD-4FE8-AB22-74D7D70E9EC2}" name="29 - 支取" dataDxfId="149" totalsRowDxfId="148">
      <calculatedColumnFormula array="1">Get_29_Del</calculatedColumnFormula>
    </tableColumn>
    <tableColumn id="81" xr3:uid="{598D87C2-40FF-4EB0-A568-2DE01DFD9C9A}" name="30 - 剩余" dataDxfId="147" totalsRowDxfId="146">
      <calculatedColumnFormula array="1">Get_30_Calc</calculatedColumnFormula>
    </tableColumn>
    <tableColumn id="112" xr3:uid="{A33BC1F0-D006-4639-92C6-0E411B6CA96D}" name="30 - 存入" dataDxfId="145" totalsRowDxfId="144">
      <calculatedColumnFormula array="1">Get_30_Add</calculatedColumnFormula>
    </tableColumn>
    <tableColumn id="113" xr3:uid="{AF7F8313-8446-4886-AE41-FE26C24E6965}" name="30 - 支取" dataDxfId="143" totalsRowDxfId="142">
      <calculatedColumnFormula array="1">Get_30_Del</calculatedColumnFormula>
    </tableColumn>
    <tableColumn id="114" xr3:uid="{32AC448A-1D9F-45C6-ADF0-484483D61305}" name="31 - 剩余" dataDxfId="141" totalsRowDxfId="140">
      <calculatedColumnFormula array="1">Get_31_Calc</calculatedColumnFormula>
    </tableColumn>
    <tableColumn id="109" xr3:uid="{6656E887-BCA1-45C6-9018-4F892EDCD6BD}" name="31 - 存入" dataDxfId="139" totalsRowDxfId="138">
      <calculatedColumnFormula array="1">Get_31_Add</calculatedColumnFormula>
    </tableColumn>
    <tableColumn id="110" xr3:uid="{19143AD3-AFEC-4767-B097-6EFED19C1D5F}" name="31 - 支取" dataDxfId="137" totalsRowDxfId="136">
      <calculatedColumnFormula array="1">Get_31_Del</calculatedColumnFormula>
    </tableColumn>
    <tableColumn id="111" xr3:uid="{A73390AD-84AD-4B11-962F-A0DD77AF79DB}" name="32 - 剩余" dataDxfId="135" totalsRowDxfId="134">
      <calculatedColumnFormula array="1">Get_32_Calc</calculatedColumnFormula>
    </tableColumn>
    <tableColumn id="106" xr3:uid="{CD563433-AB70-48C2-B28C-D63B8FE4231B}" name="32 - 存入" dataDxfId="133" totalsRowDxfId="132">
      <calculatedColumnFormula array="1">Get_32_Add</calculatedColumnFormula>
    </tableColumn>
    <tableColumn id="107" xr3:uid="{8C2B9726-7B44-4012-849B-90C10E42CC75}" name="32 - 支取" dataDxfId="131" totalsRowDxfId="130">
      <calculatedColumnFormula array="1">Get_32_Del</calculatedColumnFormula>
    </tableColumn>
    <tableColumn id="108" xr3:uid="{E5AF4544-102C-474F-A246-CC7171B33738}" name="33 - 剩余" dataDxfId="129" totalsRowDxfId="128">
      <calculatedColumnFormula array="1">Get_33_Calc</calculatedColumnFormula>
    </tableColumn>
    <tableColumn id="121" xr3:uid="{C1F5D498-1262-44DF-B066-1A676148E301}" name="33 - 存入" dataDxfId="127" totalsRowDxfId="126">
      <calculatedColumnFormula array="1">Get_33_Add</calculatedColumnFormula>
    </tableColumn>
    <tableColumn id="122" xr3:uid="{2F6821D0-F42C-4DED-A045-B1C398C90F61}" name="33 - 支取" dataDxfId="125" totalsRowDxfId="124">
      <calculatedColumnFormula array="1">Get_33_Del</calculatedColumnFormula>
    </tableColumn>
    <tableColumn id="123" xr3:uid="{DDEBD9FE-7A2F-41FF-9BD6-93F0E3570136}" name="34 - 剩余" dataDxfId="123" totalsRowDxfId="122">
      <calculatedColumnFormula array="1">Get_34_Calc</calculatedColumnFormula>
    </tableColumn>
    <tableColumn id="118" xr3:uid="{DEAF0FA5-8ADE-45D7-B112-EA03FAA0D896}" name="34 - 存入" dataDxfId="121" totalsRowDxfId="120">
      <calculatedColumnFormula array="1">Get_34_Add</calculatedColumnFormula>
    </tableColumn>
    <tableColumn id="119" xr3:uid="{C95831F4-24FC-40B7-A0D8-FEBAAA6EAD80}" name="34 - 支取" dataDxfId="119" totalsRowDxfId="118">
      <calculatedColumnFormula array="1">Get_34_Del</calculatedColumnFormula>
    </tableColumn>
    <tableColumn id="120" xr3:uid="{8C22D30B-320F-49E4-B37A-57A3D5DEE429}" name="35 - 剩余" dataDxfId="117" totalsRowDxfId="116">
      <calculatedColumnFormula array="1">Get_35_Calc</calculatedColumnFormula>
    </tableColumn>
    <tableColumn id="115" xr3:uid="{DC9FF648-80A3-480C-8295-816AE96549F0}" name="35 - 存入" dataDxfId="115" totalsRowDxfId="114">
      <calculatedColumnFormula array="1">Get_35_Add</calculatedColumnFormula>
    </tableColumn>
    <tableColumn id="116" xr3:uid="{19FD796A-C39B-4913-B2F4-CF8C8A6E2355}" name="35 - 支取" dataDxfId="113" totalsRowDxfId="112">
      <calculatedColumnFormula array="1">Get_35_Del</calculatedColumnFormula>
    </tableColumn>
    <tableColumn id="117" xr3:uid="{329AC6EB-CF46-4F1E-A1D1-49A8B17CACCD}" name="36 - 剩余" dataDxfId="111" totalsRowDxfId="110">
      <calculatedColumnFormula array="1">Get_36_Calc</calculatedColumnFormula>
    </tableColumn>
    <tableColumn id="77" xr3:uid="{D18373BA-DB75-470C-9939-60206C36267B}" name="36 - 存入" dataDxfId="109" totalsRowDxfId="108">
      <calculatedColumnFormula array="1">Get_36_Add</calculatedColumnFormula>
    </tableColumn>
    <tableColumn id="76" xr3:uid="{8C923C1F-8AAD-4F00-B3ED-8C81417C548A}" name="36 - 支取" dataDxfId="107" totalsRowDxfId="106">
      <calculatedColumnFormula array="1">Get_36_Del</calculatedColumnFormula>
    </tableColumn>
    <tableColumn id="132" xr3:uid="{F6203D74-C033-4FEA-B4CE-F892F2B07270}" name="37 - 剩余" dataDxfId="105" totalsRowDxfId="104">
      <calculatedColumnFormula array="1">Get_37_Calc</calculatedColumnFormula>
    </tableColumn>
    <tableColumn id="133" xr3:uid="{BA7DE93C-8EE4-4DDC-BC04-EC21986490A7}" name="37 - 存入" dataDxfId="103" totalsRowDxfId="102">
      <calculatedColumnFormula array="1">Get_37_Add</calculatedColumnFormula>
    </tableColumn>
    <tableColumn id="128" xr3:uid="{A2AB67E7-67E5-4957-9EB1-A4A37B61C71A}" name="37 - 支取" dataDxfId="101" totalsRowDxfId="100">
      <calculatedColumnFormula array="1">Get_37_Del</calculatedColumnFormula>
    </tableColumn>
    <tableColumn id="129" xr3:uid="{15573BDA-20F9-4C2F-9D6F-18F743FC6E25}" name="38 - 剩余" dataDxfId="99" totalsRowDxfId="98">
      <calculatedColumnFormula array="1">Get_38_Calc</calculatedColumnFormula>
    </tableColumn>
    <tableColumn id="130" xr3:uid="{C0F229CF-C5D6-4F11-8F55-7692B00DC0E3}" name="38 - 存入" dataDxfId="97" totalsRowDxfId="96">
      <calculatedColumnFormula array="1">Get_38_Add</calculatedColumnFormula>
    </tableColumn>
    <tableColumn id="125" xr3:uid="{24A0AFA6-873B-40D0-95AA-269E0E8A05E1}" name="38 - 支取" dataDxfId="95" totalsRowDxfId="94">
      <calculatedColumnFormula array="1">Get_38_Del</calculatedColumnFormula>
    </tableColumn>
    <tableColumn id="126" xr3:uid="{20897FAE-D3FE-48DD-961E-6A6443173FA9}" name="39 - 剩余" dataDxfId="93" totalsRowDxfId="92">
      <calculatedColumnFormula array="1">Get_39_Calc</calculatedColumnFormula>
    </tableColumn>
    <tableColumn id="127" xr3:uid="{35F30295-EDB2-4D7F-939D-DFAC52BB2A9F}" name="39 - 存入" dataDxfId="91" totalsRowDxfId="90">
      <calculatedColumnFormula array="1">Get_39_Add</calculatedColumnFormula>
    </tableColumn>
    <tableColumn id="124" xr3:uid="{AF953A41-E1B0-4337-8A8E-F951C493EDE8}" name="39 - 支取" dataDxfId="89" totalsRowDxfId="88">
      <calculatedColumnFormula array="1">Get_39_Del</calculatedColumnFormula>
    </tableColumn>
    <tableColumn id="75" xr3:uid="{07F02D24-5D96-40AE-BCE0-590F79C6D5DF}" name="40 - 剩余" dataDxfId="87" totalsRowDxfId="86">
      <calculatedColumnFormula array="1">Get_40_Calc</calculatedColumnFormula>
    </tableColumn>
    <tableColumn id="134" xr3:uid="{1075256E-BEBC-4E72-B0F5-766EF175AB4B}" name="40 - 存入" dataDxfId="85" totalsRowDxfId="84">
      <calculatedColumnFormula array="1">Get_40_Add</calculatedColumnFormula>
    </tableColumn>
    <tableColumn id="74" xr3:uid="{DAFDE2C6-F321-4651-AA25-F4B29B9F690B}" name="40 - 支取" dataDxfId="83" totalsRowDxfId="82">
      <calculatedColumnFormula array="1">Get_40_Del</calculatedColumnFormula>
    </tableColumn>
    <tableColumn id="2" xr3:uid="{6838A7E0-670C-4A2D-AF67-326212D8D278}" name="姓氏" dataDxfId="81" totalsRowDxfId="80"/>
    <tableColumn id="25" xr3:uid="{0E0946FC-F3D2-412C-BDE7-636B8FDBFE7C}" name="名字" dataDxfId="79" totalsRowDxfId="78"/>
    <tableColumn id="3" xr3:uid="{E7DD7F6C-DAA7-4B96-9638-5C8F7FEFCC2E}" name="性别" dataDxfId="77" totalsRowDxfId="76"/>
    <tableColumn id="23" xr3:uid="{AABD28F8-91AC-4EA0-915D-2F3C990C193D}" name="身份证号码" dataDxfId="75" totalsRowDxfId="74"/>
    <tableColumn id="24" xr3:uid="{14505223-157D-4FB0-A334-A4E4687523F8}" name="年龄" dataDxfId="73" totalsRowDxfId="72"/>
    <tableColumn id="4" xr3:uid="{B39F2860-CADF-40CB-832A-CCDE8501D7E3}" name="电话" dataDxfId="71" totalsRowDxfId="70"/>
    <tableColumn id="16" xr3:uid="{6E8928D1-6540-4241-9B8F-BFBC65F8DA26}" name="Email" dataDxfId="69" totalsRowDxfId="68"/>
    <tableColumn id="17" xr3:uid="{5422D38F-7826-4B14-9992-0434FAF52537}" name="家庭住址" dataDxfId="67" totalsRowDxfId="66"/>
    <tableColumn id="13" xr3:uid="{1096126D-9431-4280-89CE-FD45CA05D86A}" name="添加会员时间" dataDxfId="65" totalsRowDxfId="64"/>
    <tableColumn id="22" xr3:uid="{8DAD451D-44A8-40A3-A244-DDF540273F95}" name="添加会员工号" dataDxfId="63" totalsRowDxfId="62"/>
    <tableColumn id="12" xr3:uid="{A8D286B9-575E-4C05-8F77-63C322A43E3C}" name="备注" totalsRowFunction="count" dataDxfId="61" totalsRowDxfId="60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59" dataDxfId="58">
  <autoFilter ref="B8:AY9" xr:uid="{B82E5E9F-8725-4EAF-B9F2-1889C4CE31C6}"/>
  <tableColumns count="50">
    <tableColumn id="1" xr3:uid="{B2E2102C-8F4D-4C47-9CD3-463EA2BB39CA}" name="序号" dataDxfId="57">
      <calculatedColumnFormula array="1">SN</calculatedColumnFormula>
    </tableColumn>
    <tableColumn id="2" xr3:uid="{B2493920-5E1A-4FDC-9855-B9542A099E48}" name="唯一识别码" dataDxfId="56"/>
    <tableColumn id="5" xr3:uid="{5B86D5AB-C839-4645-A1C3-6DB8BE627282}" name="1" dataDxfId="55"/>
    <tableColumn id="6" xr3:uid="{D0DA84C9-F1D2-46E3-B7CE-A8366D8983EB}" name="2" dataDxfId="54"/>
    <tableColumn id="18" xr3:uid="{9E40E7FF-8010-4EF5-8D65-05F090D03F3E}" name="3" dataDxfId="53"/>
    <tableColumn id="21" xr3:uid="{5F083938-0DC4-423F-A299-44247D468027}" name="4" dataDxfId="52"/>
    <tableColumn id="22" xr3:uid="{24908B7A-CF9B-4D63-9022-D399C13A94C1}" name="5" dataDxfId="51"/>
    <tableColumn id="19" xr3:uid="{BEB80215-8B61-4914-86E2-724F4F55059E}" name="6" dataDxfId="50"/>
    <tableColumn id="20" xr3:uid="{E54DF6BD-FDB6-4958-9792-37D84186C5F8}" name="7" dataDxfId="49"/>
    <tableColumn id="17" xr3:uid="{3C5E9469-24AB-4CCF-9097-5413D53FE08B}" name="8" dataDxfId="48"/>
    <tableColumn id="25" xr3:uid="{DF31ADD6-D425-448A-84D6-24EA4C755749}" name="9" dataDxfId="47"/>
    <tableColumn id="24" xr3:uid="{C42F8972-B742-4D35-A952-3D872596299B}" name="10" dataDxfId="46"/>
    <tableColumn id="23" xr3:uid="{B41C44E2-038E-439D-88E8-97ACB7CC434D}" name="11" dataDxfId="45"/>
    <tableColumn id="16" xr3:uid="{6BD74C15-D3CF-47C3-AFCC-D562BF1584D8}" name="12" dataDxfId="44"/>
    <tableColumn id="26" xr3:uid="{3AA81C31-DC87-4EC0-8317-62466BCA688D}" name="13" dataDxfId="43"/>
    <tableColumn id="29" xr3:uid="{C0462957-AD6C-4B5C-8DE8-98D81D3496D1}" name="14" dataDxfId="42"/>
    <tableColumn id="30" xr3:uid="{91E73BB4-A5D3-4098-ADFA-7676E1DD74AC}" name="15" dataDxfId="41"/>
    <tableColumn id="27" xr3:uid="{7188DC63-0EDC-479C-8DF8-171846E035A9}" name="16" dataDxfId="40"/>
    <tableColumn id="28" xr3:uid="{902017B5-4692-492C-9165-FFBAA7A9EFA2}" name="17" dataDxfId="39"/>
    <tableColumn id="15" xr3:uid="{3A772841-0990-4D32-BD79-3A55F182D58A}" name="18" dataDxfId="38"/>
    <tableColumn id="13" xr3:uid="{5994AF1F-2C09-49F7-BEAE-5244545BE579}" name="19" dataDxfId="37"/>
    <tableColumn id="12" xr3:uid="{52D6369B-5841-4774-8BDE-05C74F09EAC1}" name="20" dataDxfId="36"/>
    <tableColumn id="31" xr3:uid="{C83E34E8-13E7-40AC-9737-31D4F44EA5C0}" name="21" dataDxfId="35"/>
    <tableColumn id="33" xr3:uid="{20040D15-F787-4792-8F8C-D184E466DD4A}" name="22" dataDxfId="34"/>
    <tableColumn id="39" xr3:uid="{874A0112-6044-4784-9336-AC836F681062}" name="23" dataDxfId="33"/>
    <tableColumn id="40" xr3:uid="{A335E465-437A-4DCA-AE73-6DBF20019402}" name="24" dataDxfId="32"/>
    <tableColumn id="41" xr3:uid="{723CE42E-61DF-4AF1-B805-025AD3796144}" name="25" dataDxfId="31"/>
    <tableColumn id="47" xr3:uid="{AC0C5112-91DB-476F-9326-03A00C1CC4D7}" name="26" dataDxfId="30"/>
    <tableColumn id="48" xr3:uid="{0CCD12DC-90CB-4A7B-B37F-0CDFD12C9E26}" name="27" dataDxfId="29"/>
    <tableColumn id="49" xr3:uid="{32093088-A6B1-4E81-8060-8081572AEB3C}" name="28" dataDxfId="28"/>
    <tableColumn id="50" xr3:uid="{E73E4046-D91C-4103-8FF5-CE3DABE5943E}" name="29" dataDxfId="27"/>
    <tableColumn id="42" xr3:uid="{7535B89E-1BDE-4FCD-8270-64B6BD553E66}" name="30" dataDxfId="26"/>
    <tableColumn id="43" xr3:uid="{0EF5131B-2964-41D8-8B4F-5CE8425A8E17}" name="31" dataDxfId="25"/>
    <tableColumn id="44" xr3:uid="{07794504-345E-44DA-BFFD-0FC011CA8C0C}" name="32" dataDxfId="24"/>
    <tableColumn id="45" xr3:uid="{742F74DB-184C-47F9-BC8D-88717E4EAAE9}" name="33" dataDxfId="23"/>
    <tableColumn id="46" xr3:uid="{6C4ACE81-DC94-4085-8445-2A590B8AC004}" name="34" dataDxfId="22"/>
    <tableColumn id="36" xr3:uid="{B8E7051A-604E-4DED-90C9-55AFE95C1751}" name="35" dataDxfId="21"/>
    <tableColumn id="37" xr3:uid="{D0A1BB8D-7A59-4F4C-9F61-A39E97785CEF}" name="36" dataDxfId="20"/>
    <tableColumn id="38" xr3:uid="{16A3E285-8C93-4999-A0E2-03857615F7A9}" name="37" dataDxfId="19"/>
    <tableColumn id="34" xr3:uid="{8FFD9156-81BC-4797-9171-05EBE094577A}" name="38" dataDxfId="18"/>
    <tableColumn id="35" xr3:uid="{399AED98-1FD4-4BCA-BA5E-1AF3891EC865}" name="39" dataDxfId="17"/>
    <tableColumn id="32" xr3:uid="{A8DF16A5-4D2C-4246-8D26-BA66F2E409B7}" name="40" dataDxfId="16"/>
    <tableColumn id="4" xr3:uid="{702BF576-18B9-4757-B976-A4C2C46CD578}" name="类型" dataDxfId="15"/>
    <tableColumn id="3" xr3:uid="{2DB9E3FB-FAB2-4AAE-92D3-3923415905C1}" name="时间" dataDxfId="14"/>
    <tableColumn id="7" xr3:uid="{09F84C56-CC9A-4AF7-B58F-B7114DD50367}" name="工号" dataDxfId="13"/>
    <tableColumn id="8" xr3:uid="{56756BBB-4B3E-40A7-A199-808B905113E1}" name="备注" dataDxfId="12"/>
    <tableColumn id="9" xr3:uid="{BCE20F30-9475-46D1-BEB1-DF495963EC10}" name="姓氏" dataDxfId="11">
      <calculatedColumnFormula array="1">Get_GUID_Surname</calculatedColumnFormula>
    </tableColumn>
    <tableColumn id="14" xr3:uid="{10D88850-369F-44DB-B01C-39765423DC2D}" name="名字" dataDxfId="10">
      <calculatedColumnFormula array="1">Get_GUID_FirstName</calculatedColumnFormula>
    </tableColumn>
    <tableColumn id="11" xr3:uid="{A2574277-30B9-48C6-9CD0-6FB63841CC2C}" name="性别" dataDxfId="9">
      <calculatedColumnFormula array="1">Get_GUID_Sex</calculatedColumnFormula>
    </tableColumn>
    <tableColumn id="10" xr3:uid="{0F3F93DF-DD01-4264-8F73-28B0327E8641}" name="电话" dataDxfId="8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29" customWidth="1"/>
    <col min="3" max="3" width="6.7109375" style="29" customWidth="1"/>
    <col min="4" max="4" width="12.7109375" style="29" customWidth="1"/>
    <col min="5" max="15" width="9.140625" style="29" customWidth="1"/>
    <col min="16" max="17" width="2.7109375" style="29" customWidth="1"/>
    <col min="18" max="16384" width="9.140625" style="29" hidden="1"/>
  </cols>
  <sheetData>
    <row r="1" spans="2:16" s="4" customFormat="1" ht="6" customHeight="1" x14ac:dyDescent="0.25"/>
    <row r="2" spans="2:16" s="36" customFormat="1" ht="9.9499999999999993" customHeight="1" x14ac:dyDescent="0.25"/>
    <row r="3" spans="2:16" s="1" customFormat="1" ht="39.950000000000003" customHeight="1" x14ac:dyDescent="0.25">
      <c r="D3" s="97" t="s">
        <v>140</v>
      </c>
    </row>
    <row r="4" spans="2:16" s="1" customFormat="1" ht="8.1" customHeight="1" x14ac:dyDescent="0.25">
      <c r="D4" s="98"/>
    </row>
    <row r="5" spans="2:16" s="1" customFormat="1" ht="39.950000000000003" customHeight="1" x14ac:dyDescent="0.25">
      <c r="D5" s="99" t="s">
        <v>283</v>
      </c>
    </row>
    <row r="6" spans="2:16" ht="16.5" customHeight="1" x14ac:dyDescent="0.25"/>
    <row r="7" spans="2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39.950000000000003" customHeight="1" thickBot="1" x14ac:dyDescent="0.3">
      <c r="B8" s="1"/>
      <c r="C8" s="79" t="s">
        <v>139</v>
      </c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1"/>
    </row>
    <row r="9" spans="2:16" ht="39.950000000000003" customHeight="1" thickTop="1" x14ac:dyDescent="0.25">
      <c r="B9" s="1"/>
      <c r="C9" s="1">
        <v>1</v>
      </c>
      <c r="D9" s="1" t="s">
        <v>141</v>
      </c>
      <c r="E9" s="33" t="s">
        <v>142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2:16" ht="39.950000000000003" customHeight="1" x14ac:dyDescent="0.25">
      <c r="B10" s="1"/>
      <c r="C10" s="1"/>
      <c r="D10" s="1"/>
      <c r="E10" s="33" t="s">
        <v>251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2:16" ht="39.950000000000003" customHeight="1" x14ac:dyDescent="0.25">
      <c r="B11" s="1"/>
      <c r="C11" s="1"/>
      <c r="D11" s="1"/>
      <c r="E11" s="33" t="s">
        <v>279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2:16" ht="39.950000000000003" customHeight="1" x14ac:dyDescent="0.25">
      <c r="B12" s="1"/>
      <c r="C12" s="1">
        <v>1</v>
      </c>
      <c r="D12" s="1" t="s">
        <v>246</v>
      </c>
      <c r="E12" s="33" t="s">
        <v>252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2:16" ht="39.950000000000003" customHeight="1" x14ac:dyDescent="0.25">
      <c r="B13" s="1"/>
      <c r="C13" s="1"/>
      <c r="D13" s="1"/>
      <c r="E13" s="33" t="s">
        <v>253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2:16" ht="39.950000000000003" customHeight="1" x14ac:dyDescent="0.25">
      <c r="B14" s="1"/>
      <c r="C14" s="1"/>
      <c r="D14" s="1"/>
      <c r="E14" s="33" t="s">
        <v>280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2:16" ht="39.950000000000003" customHeight="1" x14ac:dyDescent="0.25">
      <c r="B15" s="1"/>
      <c r="C15" s="1">
        <v>1</v>
      </c>
      <c r="D15" s="1" t="s">
        <v>126</v>
      </c>
      <c r="E15" s="33" t="s">
        <v>281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2:16" ht="39.950000000000003" customHeight="1" x14ac:dyDescent="0.25">
      <c r="B16" s="1"/>
      <c r="C16" s="1"/>
      <c r="D16" s="1"/>
      <c r="E16" s="33" t="s">
        <v>278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33" t="s">
        <v>277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33" t="s">
        <v>255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33" t="s">
        <v>256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>
        <v>1</v>
      </c>
      <c r="D20" s="1" t="s">
        <v>27</v>
      </c>
      <c r="E20" s="33" t="s">
        <v>243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33" t="s">
        <v>242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143</v>
      </c>
      <c r="E22" s="33" t="s">
        <v>248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33" t="s">
        <v>249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244</v>
      </c>
      <c r="E24" s="33" t="s">
        <v>259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>
        <v>1</v>
      </c>
      <c r="D25" s="1" t="s">
        <v>245</v>
      </c>
      <c r="E25" s="33" t="s">
        <v>250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33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>
        <v>1</v>
      </c>
      <c r="D27" s="1" t="s">
        <v>92</v>
      </c>
      <c r="E27" s="1">
        <v>1</v>
      </c>
      <c r="F27" s="33" t="s">
        <v>254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/>
      <c r="D28" s="1"/>
      <c r="E28" s="1">
        <v>0</v>
      </c>
      <c r="F28" s="33" t="s">
        <v>87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1">
        <v>-0.01</v>
      </c>
      <c r="F29" s="33" t="s">
        <v>88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275</v>
      </c>
      <c r="E30" s="33" t="s">
        <v>276</v>
      </c>
      <c r="F30" s="32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1"/>
      <c r="F31" s="32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75" customHeight="1" thickBot="1" x14ac:dyDescent="0.3">
      <c r="B32" s="1"/>
      <c r="C32" s="79" t="s">
        <v>260</v>
      </c>
      <c r="D32" s="77"/>
      <c r="E32" s="77"/>
      <c r="F32" s="79"/>
      <c r="G32" s="77"/>
      <c r="H32" s="77"/>
      <c r="I32" s="77"/>
      <c r="J32" s="77"/>
      <c r="K32" s="77"/>
      <c r="L32" s="77"/>
      <c r="M32" s="77"/>
      <c r="N32" s="77"/>
      <c r="O32" s="77"/>
      <c r="P32" s="1"/>
    </row>
    <row r="33" spans="2:16" ht="39.950000000000003" customHeight="1" thickTop="1" x14ac:dyDescent="0.25">
      <c r="B33" s="1"/>
      <c r="C33" s="1">
        <v>1</v>
      </c>
      <c r="D33" s="73" t="s">
        <v>262</v>
      </c>
      <c r="E33" s="1"/>
      <c r="F33" s="32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73" t="s">
        <v>261</v>
      </c>
      <c r="E34" s="1"/>
      <c r="F34" s="32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66"/>
      <c r="E35" s="1"/>
      <c r="F35" s="32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9.950000000000003" customHeight="1" thickBot="1" x14ac:dyDescent="0.3">
      <c r="B36" s="1"/>
      <c r="C36" s="79" t="s">
        <v>263</v>
      </c>
      <c r="D36" s="78"/>
      <c r="E36" s="77"/>
      <c r="F36" s="79"/>
      <c r="G36" s="77"/>
      <c r="H36" s="77"/>
      <c r="I36" s="77"/>
      <c r="J36" s="77"/>
      <c r="K36" s="77"/>
      <c r="L36" s="77"/>
      <c r="M36" s="77"/>
      <c r="N36" s="77"/>
      <c r="O36" s="77"/>
      <c r="P36" s="1"/>
    </row>
    <row r="37" spans="2:16" ht="39.950000000000003" customHeight="1" thickTop="1" x14ac:dyDescent="0.25">
      <c r="B37" s="1"/>
      <c r="C37" s="1">
        <v>0</v>
      </c>
      <c r="D37" s="73" t="s">
        <v>282</v>
      </c>
      <c r="E37" s="1"/>
      <c r="F37" s="3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thickBot="1" x14ac:dyDescent="0.3">
      <c r="B38" s="1"/>
      <c r="C38" s="1"/>
      <c r="D38" s="80" t="s">
        <v>264</v>
      </c>
      <c r="E38" s="76"/>
      <c r="F38" s="76"/>
      <c r="G38" s="75"/>
      <c r="H38" s="75"/>
      <c r="I38" s="75"/>
      <c r="J38" s="75"/>
      <c r="K38" s="75"/>
      <c r="L38" s="75"/>
      <c r="M38" s="75"/>
      <c r="N38" s="75"/>
      <c r="O38" s="75"/>
      <c r="P38" s="1"/>
    </row>
    <row r="39" spans="2:16" ht="158.25" customHeight="1" x14ac:dyDescent="0.25">
      <c r="B39" s="1"/>
      <c r="C39" s="1"/>
      <c r="D39" s="66"/>
      <c r="E39" s="1"/>
      <c r="F39" s="3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/>
      <c r="D40" s="66"/>
      <c r="E40" s="1"/>
      <c r="F40" s="32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thickBot="1" x14ac:dyDescent="0.3">
      <c r="B41" s="1"/>
      <c r="C41" s="1"/>
      <c r="D41" s="80" t="s">
        <v>272</v>
      </c>
      <c r="E41" s="75"/>
      <c r="F41" s="76"/>
      <c r="G41" s="75"/>
      <c r="H41" s="75"/>
      <c r="I41" s="75"/>
      <c r="J41" s="75"/>
      <c r="K41" s="75"/>
      <c r="L41" s="75"/>
      <c r="M41" s="75"/>
      <c r="N41" s="75"/>
      <c r="O41" s="75"/>
      <c r="P41" s="1"/>
    </row>
    <row r="42" spans="2:16" ht="80.25" customHeight="1" x14ac:dyDescent="0.25">
      <c r="B42" s="1"/>
      <c r="C42" s="1"/>
      <c r="D42" s="66"/>
      <c r="E42" s="1"/>
      <c r="F42" s="3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75" customHeight="1" x14ac:dyDescent="0.25">
      <c r="B43" s="1"/>
      <c r="C43" s="1"/>
      <c r="D43" s="66"/>
      <c r="E43" s="1"/>
      <c r="F43" s="32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thickBot="1" x14ac:dyDescent="0.3">
      <c r="B44" s="1"/>
      <c r="C44" s="1"/>
      <c r="D44" s="80" t="s">
        <v>273</v>
      </c>
      <c r="E44" s="75"/>
      <c r="F44" s="76"/>
      <c r="G44" s="75"/>
      <c r="H44" s="75"/>
      <c r="I44" s="75"/>
      <c r="J44" s="75"/>
      <c r="K44" s="75"/>
      <c r="L44" s="75"/>
      <c r="M44" s="75"/>
      <c r="N44" s="75"/>
      <c r="O44" s="75"/>
      <c r="P44" s="1"/>
    </row>
    <row r="45" spans="2:16" ht="82.5" customHeight="1" x14ac:dyDescent="0.25">
      <c r="B45" s="1"/>
      <c r="C45" s="1"/>
      <c r="D45" s="66"/>
      <c r="E45" s="1"/>
      <c r="F45" s="3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x14ac:dyDescent="0.25">
      <c r="B46" s="1"/>
      <c r="C46" s="1"/>
      <c r="D46" s="66"/>
      <c r="E46" s="1"/>
      <c r="F46" s="32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thickBot="1" x14ac:dyDescent="0.3">
      <c r="B47" s="1"/>
      <c r="C47" s="1"/>
      <c r="D47" s="80" t="s">
        <v>265</v>
      </c>
      <c r="E47" s="75"/>
      <c r="F47" s="76"/>
      <c r="G47" s="75"/>
      <c r="H47" s="75"/>
      <c r="I47" s="75"/>
      <c r="J47" s="75"/>
      <c r="K47" s="75"/>
      <c r="L47" s="75"/>
      <c r="M47" s="75"/>
      <c r="N47" s="75"/>
      <c r="O47" s="75"/>
      <c r="P47" s="1"/>
    </row>
    <row r="48" spans="2:16" ht="39.950000000000003" customHeight="1" x14ac:dyDescent="0.25">
      <c r="B48" s="1"/>
      <c r="C48" s="1"/>
      <c r="D48" s="74" t="s">
        <v>270</v>
      </c>
      <c r="E48" s="1"/>
      <c r="F48" s="3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x14ac:dyDescent="0.25">
      <c r="B49" s="1"/>
      <c r="C49" s="1"/>
      <c r="D49" s="74" t="s">
        <v>271</v>
      </c>
      <c r="E49" s="1"/>
      <c r="F49" s="32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202.5" customHeight="1" x14ac:dyDescent="0.25">
      <c r="B50" s="1"/>
      <c r="C50" s="1"/>
      <c r="D50" s="66"/>
      <c r="E50" s="1"/>
      <c r="F50" s="3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66"/>
      <c r="E51" s="1"/>
      <c r="F51" s="3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950000000000003" customHeight="1" thickBot="1" x14ac:dyDescent="0.3">
      <c r="B52" s="1"/>
      <c r="C52" s="77" t="s">
        <v>266</v>
      </c>
      <c r="D52" s="78"/>
      <c r="E52" s="77"/>
      <c r="F52" s="79"/>
      <c r="G52" s="77"/>
      <c r="H52" s="77"/>
      <c r="I52" s="77"/>
      <c r="J52" s="77"/>
      <c r="K52" s="77"/>
      <c r="L52" s="77"/>
      <c r="M52" s="77"/>
      <c r="N52" s="77"/>
      <c r="O52" s="77"/>
      <c r="P52" s="1"/>
    </row>
    <row r="53" spans="2:16" ht="39.950000000000003" customHeight="1" thickTop="1" x14ac:dyDescent="0.25">
      <c r="B53" s="1"/>
      <c r="C53" s="1">
        <v>-0.01</v>
      </c>
      <c r="D53" s="73" t="s">
        <v>267</v>
      </c>
      <c r="E53" s="1"/>
      <c r="F53" s="3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x14ac:dyDescent="0.25">
      <c r="B54" s="1"/>
      <c r="C54" s="1"/>
      <c r="D54" s="66"/>
      <c r="E54" s="1"/>
      <c r="F54" s="3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39.950000000000003" customHeight="1" thickBot="1" x14ac:dyDescent="0.3">
      <c r="B55" s="1"/>
      <c r="C55" s="77" t="s">
        <v>268</v>
      </c>
      <c r="D55" s="78"/>
      <c r="E55" s="77"/>
      <c r="F55" s="79"/>
      <c r="G55" s="77"/>
      <c r="H55" s="77"/>
      <c r="I55" s="77"/>
      <c r="J55" s="77"/>
      <c r="K55" s="77"/>
      <c r="L55" s="77"/>
      <c r="M55" s="77"/>
      <c r="N55" s="77"/>
      <c r="O55" s="77"/>
      <c r="P55" s="1"/>
    </row>
    <row r="56" spans="2:16" ht="39.950000000000003" customHeight="1" thickTop="1" x14ac:dyDescent="0.25">
      <c r="B56" s="1"/>
      <c r="C56" s="1">
        <v>1</v>
      </c>
      <c r="D56" s="73" t="s">
        <v>269</v>
      </c>
      <c r="E56" s="1"/>
      <c r="F56" s="3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25"/>
  </sheetData>
  <sheetProtection algorithmName="SHA-512" hashValue="6wvlkrf8wKHdItvpCjx842AFDIFqP1yD86RAwnJtnEHaAsXoEFOFrxdnYourF5ChtQaWFck0pmXg9Ek0VT0TLg==" saltValue="pamNI6MsADKpQGIYUQoJUg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E27:E30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9" sqref="D9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11" width="16.7109375" style="1" customWidth="1"/>
    <col min="12" max="13" width="13.42578125" style="1" customWidth="1"/>
    <col min="14" max="14" width="2.7109375" style="1" customWidth="1"/>
    <col min="15" max="16384" width="9.140625" style="1" hidden="1"/>
  </cols>
  <sheetData>
    <row r="1" spans="2:13" s="4" customFormat="1" ht="6" customHeight="1" x14ac:dyDescent="0.25"/>
    <row r="2" spans="2:13" s="36" customFormat="1" ht="9.9499999999999993" customHeight="1" x14ac:dyDescent="0.25"/>
    <row r="3" spans="2:13" s="36" customFormat="1" ht="39.950000000000003" customHeight="1" x14ac:dyDescent="0.25">
      <c r="B3" s="37"/>
      <c r="C3" s="68" t="s">
        <v>84</v>
      </c>
    </row>
    <row r="4" spans="2:13" s="36" customFormat="1" ht="8.1" customHeight="1" x14ac:dyDescent="0.25">
      <c r="B4" s="37"/>
      <c r="C4" s="38"/>
    </row>
    <row r="5" spans="2:13" s="36" customFormat="1" ht="39.950000000000003" customHeight="1" x14ac:dyDescent="0.25">
      <c r="B5" s="37"/>
      <c r="C5" s="69" t="s">
        <v>274</v>
      </c>
    </row>
    <row r="6" spans="2:13" ht="16.5" customHeight="1" x14ac:dyDescent="0.25">
      <c r="G6" s="39"/>
      <c r="H6" s="39"/>
      <c r="I6" s="39"/>
      <c r="J6" s="39"/>
      <c r="K6" s="39"/>
    </row>
    <row r="7" spans="2:13" ht="8.1" customHeight="1" x14ac:dyDescent="0.25">
      <c r="G7" s="39"/>
      <c r="H7" s="39"/>
      <c r="I7" s="39"/>
      <c r="J7" s="39"/>
      <c r="K7" s="39"/>
    </row>
    <row r="8" spans="2:13" ht="2.1" customHeight="1" x14ac:dyDescent="0.25">
      <c r="B8" s="40"/>
      <c r="C8" s="41"/>
      <c r="D8" s="42"/>
      <c r="E8" s="42"/>
      <c r="F8" s="42"/>
      <c r="G8" s="42"/>
      <c r="H8" s="42"/>
      <c r="I8" s="42"/>
      <c r="J8" s="42"/>
      <c r="K8" s="42"/>
      <c r="L8" s="42"/>
      <c r="M8" s="42"/>
    </row>
    <row r="9" spans="2:13" ht="39.950000000000003" customHeight="1" x14ac:dyDescent="0.25">
      <c r="B9" s="40" t="s">
        <v>13</v>
      </c>
      <c r="C9" s="43" t="s">
        <v>12</v>
      </c>
      <c r="D9" s="108" t="s">
        <v>18</v>
      </c>
      <c r="E9" s="64"/>
      <c r="F9" s="64"/>
      <c r="G9" s="64"/>
      <c r="H9" s="64"/>
      <c r="I9" s="64"/>
      <c r="J9" s="64"/>
      <c r="K9" s="64"/>
      <c r="L9" s="64"/>
      <c r="M9" s="64"/>
    </row>
    <row r="10" spans="2:13" ht="2.1" customHeight="1" x14ac:dyDescent="0.25">
      <c r="B10" s="40"/>
      <c r="C10" s="41"/>
      <c r="D10" s="42"/>
      <c r="E10" s="42"/>
      <c r="F10" s="42"/>
      <c r="G10" s="42"/>
      <c r="H10" s="42"/>
      <c r="I10" s="42"/>
      <c r="J10" s="42"/>
      <c r="K10" s="42"/>
      <c r="L10" s="42"/>
      <c r="M10" s="42"/>
    </row>
    <row r="11" spans="2:13" ht="39.950000000000003" customHeight="1" x14ac:dyDescent="0.25">
      <c r="B11" s="40" t="s">
        <v>14</v>
      </c>
      <c r="C11" s="43" t="s">
        <v>224</v>
      </c>
      <c r="D11" s="43"/>
      <c r="E11" s="43"/>
      <c r="F11" s="64"/>
      <c r="G11" s="110" t="s">
        <v>231</v>
      </c>
      <c r="H11" s="110"/>
      <c r="I11" s="110"/>
      <c r="J11" s="109" t="s">
        <v>257</v>
      </c>
      <c r="K11" s="109"/>
      <c r="L11" s="109"/>
      <c r="M11" s="109"/>
    </row>
    <row r="12" spans="2:13" ht="39.950000000000003" customHeight="1" x14ac:dyDescent="0.25">
      <c r="B12" s="40"/>
      <c r="C12" s="43"/>
      <c r="D12" s="44" t="s">
        <v>3</v>
      </c>
      <c r="E12" s="44" t="s">
        <v>0</v>
      </c>
      <c r="F12" s="44" t="s">
        <v>42</v>
      </c>
      <c r="G12" s="44" t="s">
        <v>240</v>
      </c>
      <c r="H12" s="44" t="s">
        <v>284</v>
      </c>
      <c r="I12" s="44" t="s">
        <v>285</v>
      </c>
      <c r="J12" s="44" t="s">
        <v>229</v>
      </c>
      <c r="K12" s="44" t="s">
        <v>287</v>
      </c>
      <c r="L12" s="44" t="s">
        <v>258</v>
      </c>
      <c r="M12" s="44" t="s">
        <v>232</v>
      </c>
    </row>
    <row r="13" spans="2:13" ht="39.950000000000003" customHeight="1" x14ac:dyDescent="0.25">
      <c r="B13" s="40"/>
      <c r="C13" s="43"/>
      <c r="D13" s="65" t="str">
        <f>CONCATENATE(Store_Setting[[#This Row],[序号]], " | ", Store_Setting[[#This Row],[商品名称]])</f>
        <v>1 | 1</v>
      </c>
      <c r="E13" s="29">
        <v>1</v>
      </c>
      <c r="F13" s="35">
        <v>1</v>
      </c>
      <c r="G13" s="29">
        <f>SUM(UserInfo[1 - 剩余])</f>
        <v>0</v>
      </c>
      <c r="H13" s="29">
        <f>SUM(UserInfo[1 - 存入])</f>
        <v>0</v>
      </c>
      <c r="I13" s="29">
        <f>SUM(UserInfo[1 - 支取])</f>
        <v>0</v>
      </c>
      <c r="J13" s="30">
        <f>Store_Setting[[#This Row],[共入库小计]]-Store_Setting[[#This Row],[已支取]]</f>
        <v>0</v>
      </c>
      <c r="K13" s="29">
        <f>Store_Setting[[#This Row],[入库小计]]-Store_Setting[[#This Row],[取货小计]]</f>
        <v>0</v>
      </c>
      <c r="L13" s="29">
        <f>SUMIFS(Store_History[数量],Store_History[唯一识别码],Store_Setting[[#This Row],[唯一识别码]],Store_History[类型],"入库")</f>
        <v>0</v>
      </c>
      <c r="M13" s="29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40"/>
      <c r="C14" s="43"/>
      <c r="D14" s="65" t="str">
        <f>CONCATENATE(Store_Setting[[#This Row],[序号]], " | ", Store_Setting[[#This Row],[商品名称]])</f>
        <v>2 | 2</v>
      </c>
      <c r="E14" s="29">
        <v>2</v>
      </c>
      <c r="F14" s="35">
        <v>2</v>
      </c>
      <c r="G14" s="29">
        <f>SUM(UserInfo[2 - 剩余])</f>
        <v>0</v>
      </c>
      <c r="H14" s="29">
        <f>SUM(UserInfo[2 - 存入])</f>
        <v>0</v>
      </c>
      <c r="I14" s="29">
        <f>SUM(UserInfo[2 - 支取])</f>
        <v>0</v>
      </c>
      <c r="J14" s="30">
        <f>Store_Setting[[#This Row],[共入库小计]]-Store_Setting[[#This Row],[已支取]]</f>
        <v>0</v>
      </c>
      <c r="K14" s="29">
        <f>Store_Setting[[#This Row],[入库小计]]-Store_Setting[[#This Row],[取货小计]]</f>
        <v>0</v>
      </c>
      <c r="L14" s="29">
        <f>SUMIFS(Store_History[数量],Store_History[唯一识别码],Store_Setting[[#This Row],[唯一识别码]],Store_History[类型],"入库")</f>
        <v>0</v>
      </c>
      <c r="M14" s="29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40"/>
      <c r="C15" s="43"/>
      <c r="D15" s="65" t="str">
        <f>CONCATENATE(Store_Setting[[#This Row],[序号]], " | ", Store_Setting[[#This Row],[商品名称]])</f>
        <v>3 | 3</v>
      </c>
      <c r="E15" s="29">
        <v>3</v>
      </c>
      <c r="F15" s="35">
        <v>3</v>
      </c>
      <c r="G15" s="29">
        <f>SUM(UserInfo[3 - 剩余])</f>
        <v>0</v>
      </c>
      <c r="H15" s="29">
        <f>SUM(UserInfo[3 - 存入])</f>
        <v>0</v>
      </c>
      <c r="I15" s="29">
        <f>SUM(UserInfo[3 - 支取])</f>
        <v>0</v>
      </c>
      <c r="J15" s="30">
        <f>Store_Setting[[#This Row],[共入库小计]]-Store_Setting[[#This Row],[已支取]]</f>
        <v>0</v>
      </c>
      <c r="K15" s="29">
        <f>Store_Setting[[#This Row],[入库小计]]-Store_Setting[[#This Row],[取货小计]]</f>
        <v>0</v>
      </c>
      <c r="L15" s="29">
        <f>SUMIFS(Store_History[数量],Store_History[唯一识别码],Store_Setting[[#This Row],[唯一识别码]],Store_History[类型],"入库")</f>
        <v>0</v>
      </c>
      <c r="M15" s="29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40"/>
      <c r="C16" s="43"/>
      <c r="D16" s="65" t="str">
        <f>CONCATENATE(Store_Setting[[#This Row],[序号]], " | ", Store_Setting[[#This Row],[商品名称]])</f>
        <v>4 | 4</v>
      </c>
      <c r="E16" s="29">
        <v>4</v>
      </c>
      <c r="F16" s="35">
        <v>4</v>
      </c>
      <c r="G16" s="29">
        <f>SUM(UserInfo[4 - 剩余])</f>
        <v>0</v>
      </c>
      <c r="H16" s="29">
        <f>SUM(UserInfo[4 - 存入])</f>
        <v>0</v>
      </c>
      <c r="I16" s="29">
        <f>SUM(UserInfo[4 - 支取])</f>
        <v>0</v>
      </c>
      <c r="J16" s="30">
        <f>Store_Setting[[#This Row],[共入库小计]]-Store_Setting[[#This Row],[已支取]]</f>
        <v>0</v>
      </c>
      <c r="K16" s="29">
        <f>Store_Setting[[#This Row],[入库小计]]-Store_Setting[[#This Row],[取货小计]]</f>
        <v>0</v>
      </c>
      <c r="L16" s="29">
        <f>SUMIFS(Store_History[数量],Store_History[唯一识别码],Store_Setting[[#This Row],[唯一识别码]],Store_History[类型],"入库")</f>
        <v>0</v>
      </c>
      <c r="M16" s="29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40"/>
      <c r="C17" s="43"/>
      <c r="D17" s="65" t="str">
        <f>CONCATENATE(Store_Setting[[#This Row],[序号]], " | ", Store_Setting[[#This Row],[商品名称]])</f>
        <v>5 | 5</v>
      </c>
      <c r="E17" s="29">
        <v>5</v>
      </c>
      <c r="F17" s="35">
        <v>5</v>
      </c>
      <c r="G17" s="29">
        <f>SUM(UserInfo[5 - 剩余])</f>
        <v>0</v>
      </c>
      <c r="H17" s="29">
        <f>SUM(UserInfo[5 - 存入])</f>
        <v>0</v>
      </c>
      <c r="I17" s="29">
        <f>SUM(UserInfo[5 - 支取])</f>
        <v>0</v>
      </c>
      <c r="J17" s="30">
        <f>Store_Setting[[#This Row],[共入库小计]]-Store_Setting[[#This Row],[已支取]]</f>
        <v>0</v>
      </c>
      <c r="K17" s="29">
        <f>Store_Setting[[#This Row],[入库小计]]-Store_Setting[[#This Row],[取货小计]]</f>
        <v>0</v>
      </c>
      <c r="L17" s="29">
        <f>SUMIFS(Store_History[数量],Store_History[唯一识别码],Store_Setting[[#This Row],[唯一识别码]],Store_History[类型],"入库")</f>
        <v>0</v>
      </c>
      <c r="M17" s="29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40"/>
      <c r="C18" s="43"/>
      <c r="D18" s="65" t="str">
        <f>CONCATENATE(Store_Setting[[#This Row],[序号]], " | ", Store_Setting[[#This Row],[商品名称]])</f>
        <v>6 | 6</v>
      </c>
      <c r="E18" s="29">
        <v>6</v>
      </c>
      <c r="F18" s="35">
        <v>6</v>
      </c>
      <c r="G18" s="29">
        <f>SUM(UserInfo[6 - 剩余])</f>
        <v>0</v>
      </c>
      <c r="H18" s="29">
        <f>SUM(UserInfo[6 - 存入])</f>
        <v>0</v>
      </c>
      <c r="I18" s="29">
        <f>SUM(UserInfo[6 - 支取])</f>
        <v>0</v>
      </c>
      <c r="J18" s="30">
        <f>Store_Setting[[#This Row],[共入库小计]]-Store_Setting[[#This Row],[已支取]]</f>
        <v>0</v>
      </c>
      <c r="K18" s="29">
        <f>Store_Setting[[#This Row],[入库小计]]-Store_Setting[[#This Row],[取货小计]]</f>
        <v>0</v>
      </c>
      <c r="L18" s="29">
        <f>SUMIFS(Store_History[数量],Store_History[唯一识别码],Store_Setting[[#This Row],[唯一识别码]],Store_History[类型],"入库")</f>
        <v>0</v>
      </c>
      <c r="M18" s="29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40"/>
      <c r="C19" s="43"/>
      <c r="D19" s="65" t="str">
        <f>CONCATENATE(Store_Setting[[#This Row],[序号]], " | ", Store_Setting[[#This Row],[商品名称]])</f>
        <v>7 | 7</v>
      </c>
      <c r="E19" s="29">
        <v>7</v>
      </c>
      <c r="F19" s="35">
        <v>7</v>
      </c>
      <c r="G19" s="29">
        <f>SUM(UserInfo[7 - 剩余])</f>
        <v>0</v>
      </c>
      <c r="H19" s="29">
        <f>SUM(UserInfo[7 - 存入])</f>
        <v>0</v>
      </c>
      <c r="I19" s="29">
        <f>SUM(UserInfo[7 - 支取])</f>
        <v>0</v>
      </c>
      <c r="J19" s="30">
        <f>Store_Setting[[#This Row],[共入库小计]]-Store_Setting[[#This Row],[已支取]]</f>
        <v>0</v>
      </c>
      <c r="K19" s="29">
        <f>Store_Setting[[#This Row],[入库小计]]-Store_Setting[[#This Row],[取货小计]]</f>
        <v>0</v>
      </c>
      <c r="L19" s="29">
        <f>SUMIFS(Store_History[数量],Store_History[唯一识别码],Store_Setting[[#This Row],[唯一识别码]],Store_History[类型],"入库")</f>
        <v>0</v>
      </c>
      <c r="M19" s="29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40"/>
      <c r="C20" s="43"/>
      <c r="D20" s="65" t="str">
        <f>CONCATENATE(Store_Setting[[#This Row],[序号]], " | ", Store_Setting[[#This Row],[商品名称]])</f>
        <v>8 | 8</v>
      </c>
      <c r="E20" s="29">
        <v>8</v>
      </c>
      <c r="F20" s="35">
        <v>8</v>
      </c>
      <c r="G20" s="29">
        <f>SUM(UserInfo[8 - 剩余])</f>
        <v>0</v>
      </c>
      <c r="H20" s="29">
        <f>SUM(UserInfo[8 - 存入])</f>
        <v>0</v>
      </c>
      <c r="I20" s="29">
        <f>SUM(UserInfo[8 - 支取])</f>
        <v>0</v>
      </c>
      <c r="J20" s="30">
        <f>Store_Setting[[#This Row],[共入库小计]]-Store_Setting[[#This Row],[已支取]]</f>
        <v>0</v>
      </c>
      <c r="K20" s="29">
        <f>Store_Setting[[#This Row],[入库小计]]-Store_Setting[[#This Row],[取货小计]]</f>
        <v>0</v>
      </c>
      <c r="L20" s="29">
        <f>SUMIFS(Store_History[数量],Store_History[唯一识别码],Store_Setting[[#This Row],[唯一识别码]],Store_History[类型],"入库")</f>
        <v>0</v>
      </c>
      <c r="M20" s="29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40"/>
      <c r="C21" s="43"/>
      <c r="D21" s="65" t="str">
        <f>CONCATENATE(Store_Setting[[#This Row],[序号]], " | ", Store_Setting[[#This Row],[商品名称]])</f>
        <v>9 | 9</v>
      </c>
      <c r="E21" s="29">
        <v>9</v>
      </c>
      <c r="F21" s="35">
        <v>9</v>
      </c>
      <c r="G21" s="29">
        <f>SUM(UserInfo[9 - 剩余])</f>
        <v>0</v>
      </c>
      <c r="H21" s="29">
        <f>SUM(UserInfo[9 - 存入])</f>
        <v>0</v>
      </c>
      <c r="I21" s="29">
        <f>SUM(UserInfo[9 - 支取])</f>
        <v>0</v>
      </c>
      <c r="J21" s="30">
        <f>Store_Setting[[#This Row],[共入库小计]]-Store_Setting[[#This Row],[已支取]]</f>
        <v>0</v>
      </c>
      <c r="K21" s="29">
        <f>Store_Setting[[#This Row],[入库小计]]-Store_Setting[[#This Row],[取货小计]]</f>
        <v>0</v>
      </c>
      <c r="L21" s="29">
        <f>SUMIFS(Store_History[数量],Store_History[唯一识别码],Store_Setting[[#This Row],[唯一识别码]],Store_History[类型],"入库")</f>
        <v>0</v>
      </c>
      <c r="M21" s="29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40"/>
      <c r="C22" s="43"/>
      <c r="D22" s="65" t="str">
        <f>CONCATENATE(Store_Setting[[#This Row],[序号]], " | ", Store_Setting[[#This Row],[商品名称]])</f>
        <v>10 | 10</v>
      </c>
      <c r="E22" s="29">
        <v>10</v>
      </c>
      <c r="F22" s="35">
        <v>10</v>
      </c>
      <c r="G22" s="29">
        <f>SUM(UserInfo[10 - 剩余])</f>
        <v>0</v>
      </c>
      <c r="H22" s="29">
        <f>SUM(UserInfo[10 - 存入])</f>
        <v>0</v>
      </c>
      <c r="I22" s="29">
        <f>SUM(UserInfo[10 - 支取])</f>
        <v>0</v>
      </c>
      <c r="J22" s="30">
        <f>Store_Setting[[#This Row],[共入库小计]]-Store_Setting[[#This Row],[已支取]]</f>
        <v>0</v>
      </c>
      <c r="K22" s="29">
        <f>Store_Setting[[#This Row],[入库小计]]-Store_Setting[[#This Row],[取货小计]]</f>
        <v>0</v>
      </c>
      <c r="L22" s="29">
        <f>SUMIFS(Store_History[数量],Store_History[唯一识别码],Store_Setting[[#This Row],[唯一识别码]],Store_History[类型],"入库")</f>
        <v>0</v>
      </c>
      <c r="M22" s="29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40"/>
      <c r="C23" s="43"/>
      <c r="D23" s="65" t="str">
        <f>CONCATENATE(Store_Setting[[#This Row],[序号]], " | ", Store_Setting[[#This Row],[商品名称]])</f>
        <v>11 | 11</v>
      </c>
      <c r="E23" s="29">
        <v>11</v>
      </c>
      <c r="F23" s="35">
        <v>11</v>
      </c>
      <c r="G23" s="29">
        <f>SUM(UserInfo[11 - 剩余])</f>
        <v>0</v>
      </c>
      <c r="H23" s="29">
        <f>SUM(UserInfo[11 - 存入])</f>
        <v>0</v>
      </c>
      <c r="I23" s="29">
        <f>SUM(UserInfo[11 - 支取])</f>
        <v>0</v>
      </c>
      <c r="J23" s="30">
        <f>Store_Setting[[#This Row],[共入库小计]]-Store_Setting[[#This Row],[已支取]]</f>
        <v>0</v>
      </c>
      <c r="K23" s="29">
        <f>Store_Setting[[#This Row],[入库小计]]-Store_Setting[[#This Row],[取货小计]]</f>
        <v>0</v>
      </c>
      <c r="L23" s="29">
        <f>SUMIFS(Store_History[数量],Store_History[唯一识别码],Store_Setting[[#This Row],[唯一识别码]],Store_History[类型],"入库")</f>
        <v>0</v>
      </c>
      <c r="M23" s="29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40"/>
      <c r="C24" s="43"/>
      <c r="D24" s="65" t="str">
        <f>CONCATENATE(Store_Setting[[#This Row],[序号]], " | ", Store_Setting[[#This Row],[商品名称]])</f>
        <v>12 | 12</v>
      </c>
      <c r="E24" s="29">
        <v>12</v>
      </c>
      <c r="F24" s="35">
        <v>12</v>
      </c>
      <c r="G24" s="29">
        <f>SUM(UserInfo[12 - 剩余])</f>
        <v>0</v>
      </c>
      <c r="H24" s="29">
        <f>SUM(UserInfo[12 - 存入])</f>
        <v>0</v>
      </c>
      <c r="I24" s="29">
        <f>SUM(UserInfo[12 - 支取])</f>
        <v>0</v>
      </c>
      <c r="J24" s="30">
        <f>Store_Setting[[#This Row],[共入库小计]]-Store_Setting[[#This Row],[已支取]]</f>
        <v>0</v>
      </c>
      <c r="K24" s="29">
        <f>Store_Setting[[#This Row],[入库小计]]-Store_Setting[[#This Row],[取货小计]]</f>
        <v>0</v>
      </c>
      <c r="L24" s="29">
        <f>SUMIFS(Store_History[数量],Store_History[唯一识别码],Store_Setting[[#This Row],[唯一识别码]],Store_History[类型],"入库")</f>
        <v>0</v>
      </c>
      <c r="M24" s="29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40"/>
      <c r="C25" s="43"/>
      <c r="D25" s="65" t="str">
        <f>CONCATENATE(Store_Setting[[#This Row],[序号]], " | ", Store_Setting[[#This Row],[商品名称]])</f>
        <v>13 | 13</v>
      </c>
      <c r="E25" s="29">
        <v>13</v>
      </c>
      <c r="F25" s="35">
        <v>13</v>
      </c>
      <c r="G25" s="29">
        <f>SUM(UserInfo[13 - 剩余])</f>
        <v>0</v>
      </c>
      <c r="H25" s="29">
        <f>SUM(UserInfo[13 - 存入])</f>
        <v>0</v>
      </c>
      <c r="I25" s="29">
        <f>SUM(UserInfo[13 - 支取])</f>
        <v>0</v>
      </c>
      <c r="J25" s="30">
        <f>Store_Setting[[#This Row],[共入库小计]]-Store_Setting[[#This Row],[已支取]]</f>
        <v>0</v>
      </c>
      <c r="K25" s="29">
        <f>Store_Setting[[#This Row],[入库小计]]-Store_Setting[[#This Row],[取货小计]]</f>
        <v>0</v>
      </c>
      <c r="L25" s="29">
        <f>SUMIFS(Store_History[数量],Store_History[唯一识别码],Store_Setting[[#This Row],[唯一识别码]],Store_History[类型],"入库")</f>
        <v>0</v>
      </c>
      <c r="M25" s="29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40"/>
      <c r="C26" s="43"/>
      <c r="D26" s="65" t="str">
        <f>CONCATENATE(Store_Setting[[#This Row],[序号]], " | ", Store_Setting[[#This Row],[商品名称]])</f>
        <v>14 | 14</v>
      </c>
      <c r="E26" s="29">
        <v>14</v>
      </c>
      <c r="F26" s="35">
        <v>14</v>
      </c>
      <c r="G26" s="29">
        <f>SUM(UserInfo[14 - 剩余])</f>
        <v>0</v>
      </c>
      <c r="H26" s="29">
        <f>SUM(UserInfo[14 - 存入])</f>
        <v>0</v>
      </c>
      <c r="I26" s="29">
        <f>SUM(UserInfo[14 - 支取])</f>
        <v>0</v>
      </c>
      <c r="J26" s="30">
        <f>Store_Setting[[#This Row],[共入库小计]]-Store_Setting[[#This Row],[已支取]]</f>
        <v>0</v>
      </c>
      <c r="K26" s="29">
        <f>Store_Setting[[#This Row],[入库小计]]-Store_Setting[[#This Row],[取货小计]]</f>
        <v>0</v>
      </c>
      <c r="L26" s="29">
        <f>SUMIFS(Store_History[数量],Store_History[唯一识别码],Store_Setting[[#This Row],[唯一识别码]],Store_History[类型],"入库")</f>
        <v>0</v>
      </c>
      <c r="M26" s="29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40"/>
      <c r="C27" s="43"/>
      <c r="D27" s="65" t="str">
        <f>CONCATENATE(Store_Setting[[#This Row],[序号]], " | ", Store_Setting[[#This Row],[商品名称]])</f>
        <v>15 | 15</v>
      </c>
      <c r="E27" s="29">
        <v>15</v>
      </c>
      <c r="F27" s="35">
        <v>15</v>
      </c>
      <c r="G27" s="29">
        <f>SUM(UserInfo[15 - 剩余])</f>
        <v>0</v>
      </c>
      <c r="H27" s="29">
        <f>SUM(UserInfo[15 - 存入])</f>
        <v>0</v>
      </c>
      <c r="I27" s="29">
        <f>SUM(UserInfo[15 - 支取])</f>
        <v>0</v>
      </c>
      <c r="J27" s="30">
        <f>Store_Setting[[#This Row],[共入库小计]]-Store_Setting[[#This Row],[已支取]]</f>
        <v>0</v>
      </c>
      <c r="K27" s="29">
        <f>Store_Setting[[#This Row],[入库小计]]-Store_Setting[[#This Row],[取货小计]]</f>
        <v>0</v>
      </c>
      <c r="L27" s="29">
        <f>SUMIFS(Store_History[数量],Store_History[唯一识别码],Store_Setting[[#This Row],[唯一识别码]],Store_History[类型],"入库")</f>
        <v>0</v>
      </c>
      <c r="M27" s="29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40"/>
      <c r="C28" s="43"/>
      <c r="D28" s="65" t="str">
        <f>CONCATENATE(Store_Setting[[#This Row],[序号]], " | ", Store_Setting[[#This Row],[商品名称]])</f>
        <v>16 | 16</v>
      </c>
      <c r="E28" s="29">
        <v>16</v>
      </c>
      <c r="F28" s="35">
        <v>16</v>
      </c>
      <c r="G28" s="29">
        <f>SUM(UserInfo[16 - 剩余])</f>
        <v>0</v>
      </c>
      <c r="H28" s="29">
        <f>SUM(UserInfo[16 - 存入])</f>
        <v>0</v>
      </c>
      <c r="I28" s="29">
        <f>SUM(UserInfo[16 - 支取])</f>
        <v>0</v>
      </c>
      <c r="J28" s="30">
        <f>Store_Setting[[#This Row],[共入库小计]]-Store_Setting[[#This Row],[已支取]]</f>
        <v>0</v>
      </c>
      <c r="K28" s="29">
        <f>Store_Setting[[#This Row],[入库小计]]-Store_Setting[[#This Row],[取货小计]]</f>
        <v>0</v>
      </c>
      <c r="L28" s="29">
        <f>SUMIFS(Store_History[数量],Store_History[唯一识别码],Store_Setting[[#This Row],[唯一识别码]],Store_History[类型],"入库")</f>
        <v>0</v>
      </c>
      <c r="M28" s="29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40"/>
      <c r="C29" s="43"/>
      <c r="D29" s="65" t="str">
        <f>CONCATENATE(Store_Setting[[#This Row],[序号]], " | ", Store_Setting[[#This Row],[商品名称]])</f>
        <v>17 | 17</v>
      </c>
      <c r="E29" s="29">
        <v>17</v>
      </c>
      <c r="F29" s="35">
        <v>17</v>
      </c>
      <c r="G29" s="29">
        <f>SUM(UserInfo[17 - 剩余])</f>
        <v>0</v>
      </c>
      <c r="H29" s="29">
        <f>SUM(UserInfo[17 - 存入])</f>
        <v>0</v>
      </c>
      <c r="I29" s="29">
        <f>SUM(UserInfo[17 - 支取])</f>
        <v>0</v>
      </c>
      <c r="J29" s="30">
        <f>Store_Setting[[#This Row],[共入库小计]]-Store_Setting[[#This Row],[已支取]]</f>
        <v>0</v>
      </c>
      <c r="K29" s="29">
        <f>Store_Setting[[#This Row],[入库小计]]-Store_Setting[[#This Row],[取货小计]]</f>
        <v>0</v>
      </c>
      <c r="L29" s="29">
        <f>SUMIFS(Store_History[数量],Store_History[唯一识别码],Store_Setting[[#This Row],[唯一识别码]],Store_History[类型],"入库")</f>
        <v>0</v>
      </c>
      <c r="M29" s="29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40"/>
      <c r="C30" s="43"/>
      <c r="D30" s="65" t="str">
        <f>CONCATENATE(Store_Setting[[#This Row],[序号]], " | ", Store_Setting[[#This Row],[商品名称]])</f>
        <v>18 | 18</v>
      </c>
      <c r="E30" s="29">
        <v>18</v>
      </c>
      <c r="F30" s="35">
        <v>18</v>
      </c>
      <c r="G30" s="29">
        <f>SUM(UserInfo[18 - 剩余])</f>
        <v>0</v>
      </c>
      <c r="H30" s="29">
        <f>SUM(UserInfo[18 - 存入])</f>
        <v>0</v>
      </c>
      <c r="I30" s="29">
        <f>SUM(UserInfo[18 - 支取])</f>
        <v>0</v>
      </c>
      <c r="J30" s="30">
        <f>Store_Setting[[#This Row],[共入库小计]]-Store_Setting[[#This Row],[已支取]]</f>
        <v>0</v>
      </c>
      <c r="K30" s="29">
        <f>Store_Setting[[#This Row],[入库小计]]-Store_Setting[[#This Row],[取货小计]]</f>
        <v>0</v>
      </c>
      <c r="L30" s="29">
        <f>SUMIFS(Store_History[数量],Store_History[唯一识别码],Store_Setting[[#This Row],[唯一识别码]],Store_History[类型],"入库")</f>
        <v>0</v>
      </c>
      <c r="M30" s="29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40"/>
      <c r="C31" s="43"/>
      <c r="D31" s="65" t="str">
        <f>CONCATENATE(Store_Setting[[#This Row],[序号]], " | ", Store_Setting[[#This Row],[商品名称]])</f>
        <v>19 | 19</v>
      </c>
      <c r="E31" s="29">
        <v>19</v>
      </c>
      <c r="F31" s="35">
        <v>19</v>
      </c>
      <c r="G31" s="29">
        <f>SUM(UserInfo[19 - 剩余])</f>
        <v>0</v>
      </c>
      <c r="H31" s="29">
        <f>SUM(UserInfo[19 - 存入])</f>
        <v>0</v>
      </c>
      <c r="I31" s="29">
        <f>SUM(UserInfo[19 - 支取])</f>
        <v>0</v>
      </c>
      <c r="J31" s="30">
        <f>Store_Setting[[#This Row],[共入库小计]]-Store_Setting[[#This Row],[已支取]]</f>
        <v>0</v>
      </c>
      <c r="K31" s="29">
        <f>Store_Setting[[#This Row],[入库小计]]-Store_Setting[[#This Row],[取货小计]]</f>
        <v>0</v>
      </c>
      <c r="L31" s="29">
        <f>SUMIFS(Store_History[数量],Store_History[唯一识别码],Store_Setting[[#This Row],[唯一识别码]],Store_History[类型],"入库")</f>
        <v>0</v>
      </c>
      <c r="M31" s="29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40"/>
      <c r="C32" s="43"/>
      <c r="D32" s="65" t="str">
        <f>CONCATENATE(Store_Setting[[#This Row],[序号]], " | ", Store_Setting[[#This Row],[商品名称]])</f>
        <v>20 | 20</v>
      </c>
      <c r="E32" s="29">
        <v>20</v>
      </c>
      <c r="F32" s="35">
        <v>20</v>
      </c>
      <c r="G32" s="29">
        <f>SUM(UserInfo[20 - 剩余])</f>
        <v>0</v>
      </c>
      <c r="H32" s="29">
        <f>SUM(UserInfo[20 - 存入])</f>
        <v>0</v>
      </c>
      <c r="I32" s="29">
        <f>SUM(UserInfo[20 - 支取])</f>
        <v>0</v>
      </c>
      <c r="J32" s="30">
        <f>Store_Setting[[#This Row],[共入库小计]]-Store_Setting[[#This Row],[已支取]]</f>
        <v>0</v>
      </c>
      <c r="K32" s="29">
        <f>Store_Setting[[#This Row],[入库小计]]-Store_Setting[[#This Row],[取货小计]]</f>
        <v>0</v>
      </c>
      <c r="L32" s="29">
        <f>SUMIFS(Store_History[数量],Store_History[唯一识别码],Store_Setting[[#This Row],[唯一识别码]],Store_History[类型],"入库")</f>
        <v>0</v>
      </c>
      <c r="M32" s="29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40"/>
      <c r="C33" s="43"/>
      <c r="D33" s="65" t="str">
        <f>CONCATENATE(Store_Setting[[#This Row],[序号]], " | ", Store_Setting[[#This Row],[商品名称]])</f>
        <v>21 | 21</v>
      </c>
      <c r="E33" s="29">
        <v>21</v>
      </c>
      <c r="F33" s="35">
        <v>21</v>
      </c>
      <c r="G33" s="29">
        <f>SUM(UserInfo[21 - 剩余])</f>
        <v>0</v>
      </c>
      <c r="H33" s="29">
        <f>SUM(UserInfo[21 - 存入])</f>
        <v>0</v>
      </c>
      <c r="I33" s="29">
        <f>SUM(UserInfo[21 - 支取])</f>
        <v>0</v>
      </c>
      <c r="J33" s="30">
        <f>Store_Setting[[#This Row],[共入库小计]]-Store_Setting[[#This Row],[已支取]]</f>
        <v>0</v>
      </c>
      <c r="K33" s="29">
        <f>Store_Setting[[#This Row],[入库小计]]-Store_Setting[[#This Row],[取货小计]]</f>
        <v>0</v>
      </c>
      <c r="L33" s="29">
        <f>SUMIFS(Store_History[数量],Store_History[唯一识别码],Store_Setting[[#This Row],[唯一识别码]],Store_History[类型],"入库")</f>
        <v>0</v>
      </c>
      <c r="M33" s="29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40"/>
      <c r="C34" s="43"/>
      <c r="D34" s="65" t="str">
        <f>CONCATENATE(Store_Setting[[#This Row],[序号]], " | ", Store_Setting[[#This Row],[商品名称]])</f>
        <v>22 | 22</v>
      </c>
      <c r="E34" s="29">
        <v>22</v>
      </c>
      <c r="F34" s="35">
        <v>22</v>
      </c>
      <c r="G34" s="29">
        <f>SUM(UserInfo[22 - 剩余])</f>
        <v>0</v>
      </c>
      <c r="H34" s="29">
        <f>SUM(UserInfo[22 - 存入])</f>
        <v>0</v>
      </c>
      <c r="I34" s="29">
        <f>SUM(UserInfo[22 - 支取])</f>
        <v>0</v>
      </c>
      <c r="J34" s="30">
        <f>Store_Setting[[#This Row],[共入库小计]]-Store_Setting[[#This Row],[已支取]]</f>
        <v>0</v>
      </c>
      <c r="K34" s="29">
        <f>Store_Setting[[#This Row],[入库小计]]-Store_Setting[[#This Row],[取货小计]]</f>
        <v>0</v>
      </c>
      <c r="L34" s="29">
        <f>SUMIFS(Store_History[数量],Store_History[唯一识别码],Store_Setting[[#This Row],[唯一识别码]],Store_History[类型],"入库")</f>
        <v>0</v>
      </c>
      <c r="M34" s="29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40"/>
      <c r="C35" s="43"/>
      <c r="D35" s="65" t="str">
        <f>CONCATENATE(Store_Setting[[#This Row],[序号]], " | ", Store_Setting[[#This Row],[商品名称]])</f>
        <v>23 | 23</v>
      </c>
      <c r="E35" s="29">
        <v>23</v>
      </c>
      <c r="F35" s="35">
        <v>23</v>
      </c>
      <c r="G35" s="29">
        <f>SUM(UserInfo[23 - 剩余])</f>
        <v>0</v>
      </c>
      <c r="H35" s="29">
        <f>SUM(UserInfo[23 - 存入])</f>
        <v>0</v>
      </c>
      <c r="I35" s="29">
        <f>SUM(UserInfo[23 - 支取])</f>
        <v>0</v>
      </c>
      <c r="J35" s="30">
        <f>Store_Setting[[#This Row],[共入库小计]]-Store_Setting[[#This Row],[已支取]]</f>
        <v>0</v>
      </c>
      <c r="K35" s="29">
        <f>Store_Setting[[#This Row],[入库小计]]-Store_Setting[[#This Row],[取货小计]]</f>
        <v>0</v>
      </c>
      <c r="L35" s="29">
        <f>SUMIFS(Store_History[数量],Store_History[唯一识别码],Store_Setting[[#This Row],[唯一识别码]],Store_History[类型],"入库")</f>
        <v>0</v>
      </c>
      <c r="M35" s="29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40"/>
      <c r="C36" s="43"/>
      <c r="D36" s="65" t="str">
        <f>CONCATENATE(Store_Setting[[#This Row],[序号]], " | ", Store_Setting[[#This Row],[商品名称]])</f>
        <v>24 | 24</v>
      </c>
      <c r="E36" s="29">
        <v>24</v>
      </c>
      <c r="F36" s="35">
        <v>24</v>
      </c>
      <c r="G36" s="29">
        <f>SUM(UserInfo[24 - 剩余])</f>
        <v>0</v>
      </c>
      <c r="H36" s="29">
        <f>SUM(UserInfo[24 - 存入])</f>
        <v>0</v>
      </c>
      <c r="I36" s="29">
        <f>SUM(UserInfo[24 - 支取])</f>
        <v>0</v>
      </c>
      <c r="J36" s="30">
        <f>Store_Setting[[#This Row],[共入库小计]]-Store_Setting[[#This Row],[已支取]]</f>
        <v>0</v>
      </c>
      <c r="K36" s="29">
        <f>Store_Setting[[#This Row],[入库小计]]-Store_Setting[[#This Row],[取货小计]]</f>
        <v>0</v>
      </c>
      <c r="L36" s="29">
        <f>SUMIFS(Store_History[数量],Store_History[唯一识别码],Store_Setting[[#This Row],[唯一识别码]],Store_History[类型],"入库")</f>
        <v>0</v>
      </c>
      <c r="M36" s="29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40"/>
      <c r="C37" s="43"/>
      <c r="D37" s="65" t="str">
        <f>CONCATENATE(Store_Setting[[#This Row],[序号]], " | ", Store_Setting[[#This Row],[商品名称]])</f>
        <v>25 | 25</v>
      </c>
      <c r="E37" s="29">
        <v>25</v>
      </c>
      <c r="F37" s="35">
        <v>25</v>
      </c>
      <c r="G37" s="29">
        <f>SUM(UserInfo[25 - 剩余])</f>
        <v>0</v>
      </c>
      <c r="H37" s="29">
        <f>SUM(UserInfo[25 - 存入])</f>
        <v>0</v>
      </c>
      <c r="I37" s="29">
        <f>SUM(UserInfo[25 - 支取])</f>
        <v>0</v>
      </c>
      <c r="J37" s="30">
        <f>Store_Setting[[#This Row],[共入库小计]]-Store_Setting[[#This Row],[已支取]]</f>
        <v>0</v>
      </c>
      <c r="K37" s="29">
        <f>Store_Setting[[#This Row],[入库小计]]-Store_Setting[[#This Row],[取货小计]]</f>
        <v>0</v>
      </c>
      <c r="L37" s="29">
        <f>SUMIFS(Store_History[数量],Store_History[唯一识别码],Store_Setting[[#This Row],[唯一识别码]],Store_History[类型],"入库")</f>
        <v>0</v>
      </c>
      <c r="M37" s="29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40"/>
      <c r="C38" s="43"/>
      <c r="D38" s="65" t="str">
        <f>CONCATENATE(Store_Setting[[#This Row],[序号]], " | ", Store_Setting[[#This Row],[商品名称]])</f>
        <v>26 | 26</v>
      </c>
      <c r="E38" s="29">
        <v>26</v>
      </c>
      <c r="F38" s="35">
        <v>26</v>
      </c>
      <c r="G38" s="29">
        <f>SUM(UserInfo[26 - 剩余])</f>
        <v>0</v>
      </c>
      <c r="H38" s="29">
        <f>SUM(UserInfo[26 - 存入])</f>
        <v>0</v>
      </c>
      <c r="I38" s="29">
        <f>SUM(UserInfo[26 - 支取])</f>
        <v>0</v>
      </c>
      <c r="J38" s="30">
        <f>Store_Setting[[#This Row],[共入库小计]]-Store_Setting[[#This Row],[已支取]]</f>
        <v>0</v>
      </c>
      <c r="K38" s="29">
        <f>Store_Setting[[#This Row],[入库小计]]-Store_Setting[[#This Row],[取货小计]]</f>
        <v>0</v>
      </c>
      <c r="L38" s="29">
        <f>SUMIFS(Store_History[数量],Store_History[唯一识别码],Store_Setting[[#This Row],[唯一识别码]],Store_History[类型],"入库")</f>
        <v>0</v>
      </c>
      <c r="M38" s="29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40"/>
      <c r="C39" s="43"/>
      <c r="D39" s="65" t="str">
        <f>CONCATENATE(Store_Setting[[#This Row],[序号]], " | ", Store_Setting[[#This Row],[商品名称]])</f>
        <v>27 | 27</v>
      </c>
      <c r="E39" s="29">
        <v>27</v>
      </c>
      <c r="F39" s="35">
        <v>27</v>
      </c>
      <c r="G39" s="29">
        <f>SUM(UserInfo[27 - 剩余])</f>
        <v>0</v>
      </c>
      <c r="H39" s="29">
        <f>SUM(UserInfo[27 - 存入])</f>
        <v>0</v>
      </c>
      <c r="I39" s="29">
        <f>SUM(UserInfo[27 - 支取])</f>
        <v>0</v>
      </c>
      <c r="J39" s="30">
        <f>Store_Setting[[#This Row],[共入库小计]]-Store_Setting[[#This Row],[已支取]]</f>
        <v>0</v>
      </c>
      <c r="K39" s="29">
        <f>Store_Setting[[#This Row],[入库小计]]-Store_Setting[[#This Row],[取货小计]]</f>
        <v>0</v>
      </c>
      <c r="L39" s="29">
        <f>SUMIFS(Store_History[数量],Store_History[唯一识别码],Store_Setting[[#This Row],[唯一识别码]],Store_History[类型],"入库")</f>
        <v>0</v>
      </c>
      <c r="M39" s="29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40"/>
      <c r="C40" s="43"/>
      <c r="D40" s="65" t="str">
        <f>CONCATENATE(Store_Setting[[#This Row],[序号]], " | ", Store_Setting[[#This Row],[商品名称]])</f>
        <v>28 | 28</v>
      </c>
      <c r="E40" s="29">
        <v>28</v>
      </c>
      <c r="F40" s="35">
        <v>28</v>
      </c>
      <c r="G40" s="29">
        <f>SUM(UserInfo[28 - 剩余])</f>
        <v>0</v>
      </c>
      <c r="H40" s="29">
        <f>SUM(UserInfo[28 - 存入])</f>
        <v>0</v>
      </c>
      <c r="I40" s="29">
        <f>SUM(UserInfo[28 - 支取])</f>
        <v>0</v>
      </c>
      <c r="J40" s="30">
        <f>Store_Setting[[#This Row],[共入库小计]]-Store_Setting[[#This Row],[已支取]]</f>
        <v>0</v>
      </c>
      <c r="K40" s="29">
        <f>Store_Setting[[#This Row],[入库小计]]-Store_Setting[[#This Row],[取货小计]]</f>
        <v>0</v>
      </c>
      <c r="L40" s="29">
        <f>SUMIFS(Store_History[数量],Store_History[唯一识别码],Store_Setting[[#This Row],[唯一识别码]],Store_History[类型],"入库")</f>
        <v>0</v>
      </c>
      <c r="M40" s="29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40"/>
      <c r="C41" s="43"/>
      <c r="D41" s="65" t="str">
        <f>CONCATENATE(Store_Setting[[#This Row],[序号]], " | ", Store_Setting[[#This Row],[商品名称]])</f>
        <v>29 | 29</v>
      </c>
      <c r="E41" s="29">
        <v>29</v>
      </c>
      <c r="F41" s="35">
        <v>29</v>
      </c>
      <c r="G41" s="29">
        <f>SUM(UserInfo[29 - 剩余])</f>
        <v>0</v>
      </c>
      <c r="H41" s="29">
        <f>SUM(UserInfo[29 - 存入])</f>
        <v>0</v>
      </c>
      <c r="I41" s="29">
        <f>SUM(UserInfo[29 - 支取])</f>
        <v>0</v>
      </c>
      <c r="J41" s="30">
        <f>Store_Setting[[#This Row],[共入库小计]]-Store_Setting[[#This Row],[已支取]]</f>
        <v>0</v>
      </c>
      <c r="K41" s="29">
        <f>Store_Setting[[#This Row],[入库小计]]-Store_Setting[[#This Row],[取货小计]]</f>
        <v>0</v>
      </c>
      <c r="L41" s="29">
        <f>SUMIFS(Store_History[数量],Store_History[唯一识别码],Store_Setting[[#This Row],[唯一识别码]],Store_History[类型],"入库")</f>
        <v>0</v>
      </c>
      <c r="M41" s="29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40"/>
      <c r="C42" s="43"/>
      <c r="D42" s="65" t="str">
        <f>CONCATENATE(Store_Setting[[#This Row],[序号]], " | ", Store_Setting[[#This Row],[商品名称]])</f>
        <v>30 | 30</v>
      </c>
      <c r="E42" s="29">
        <v>30</v>
      </c>
      <c r="F42" s="35">
        <v>30</v>
      </c>
      <c r="G42" s="29">
        <f>SUM(UserInfo[30 - 剩余])</f>
        <v>0</v>
      </c>
      <c r="H42" s="29">
        <f>SUM(UserInfo[30 - 存入])</f>
        <v>0</v>
      </c>
      <c r="I42" s="29">
        <f>SUM(UserInfo[30 - 支取])</f>
        <v>0</v>
      </c>
      <c r="J42" s="30">
        <f>Store_Setting[[#This Row],[共入库小计]]-Store_Setting[[#This Row],[已支取]]</f>
        <v>0</v>
      </c>
      <c r="K42" s="29">
        <f>Store_Setting[[#This Row],[入库小计]]-Store_Setting[[#This Row],[取货小计]]</f>
        <v>0</v>
      </c>
      <c r="L42" s="29">
        <f>SUMIFS(Store_History[数量],Store_History[唯一识别码],Store_Setting[[#This Row],[唯一识别码]],Store_History[类型],"入库")</f>
        <v>0</v>
      </c>
      <c r="M42" s="29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40"/>
      <c r="C43" s="43"/>
      <c r="D43" s="65" t="str">
        <f>CONCATENATE(Store_Setting[[#This Row],[序号]], " | ", Store_Setting[[#This Row],[商品名称]])</f>
        <v>31 | 31</v>
      </c>
      <c r="E43" s="29">
        <v>31</v>
      </c>
      <c r="F43" s="35">
        <v>31</v>
      </c>
      <c r="G43" s="29">
        <f>SUM(UserInfo[31 - 剩余])</f>
        <v>0</v>
      </c>
      <c r="H43" s="29">
        <f>SUM(UserInfo[31 - 存入])</f>
        <v>0</v>
      </c>
      <c r="I43" s="29">
        <f>SUM(UserInfo[31 - 支取])</f>
        <v>0</v>
      </c>
      <c r="J43" s="30">
        <f>Store_Setting[[#This Row],[共入库小计]]-Store_Setting[[#This Row],[已支取]]</f>
        <v>0</v>
      </c>
      <c r="K43" s="29">
        <f>Store_Setting[[#This Row],[入库小计]]-Store_Setting[[#This Row],[取货小计]]</f>
        <v>0</v>
      </c>
      <c r="L43" s="29">
        <f>SUMIFS(Store_History[数量],Store_History[唯一识别码],Store_Setting[[#This Row],[唯一识别码]],Store_History[类型],"入库")</f>
        <v>0</v>
      </c>
      <c r="M43" s="29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40"/>
      <c r="C44" s="43"/>
      <c r="D44" s="65" t="str">
        <f>CONCATENATE(Store_Setting[[#This Row],[序号]], " | ", Store_Setting[[#This Row],[商品名称]])</f>
        <v>32 | 32</v>
      </c>
      <c r="E44" s="29">
        <v>32</v>
      </c>
      <c r="F44" s="35">
        <v>32</v>
      </c>
      <c r="G44" s="29">
        <f>SUM(UserInfo[32 - 剩余])</f>
        <v>0</v>
      </c>
      <c r="H44" s="29">
        <f>SUM(UserInfo[32 - 存入])</f>
        <v>0</v>
      </c>
      <c r="I44" s="29">
        <f>SUM(UserInfo[32 - 支取])</f>
        <v>0</v>
      </c>
      <c r="J44" s="30">
        <f>Store_Setting[[#This Row],[共入库小计]]-Store_Setting[[#This Row],[已支取]]</f>
        <v>0</v>
      </c>
      <c r="K44" s="29">
        <f>Store_Setting[[#This Row],[入库小计]]-Store_Setting[[#This Row],[取货小计]]</f>
        <v>0</v>
      </c>
      <c r="L44" s="29">
        <f>SUMIFS(Store_History[数量],Store_History[唯一识别码],Store_Setting[[#This Row],[唯一识别码]],Store_History[类型],"入库")</f>
        <v>0</v>
      </c>
      <c r="M44" s="29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40"/>
      <c r="C45" s="43"/>
      <c r="D45" s="65" t="str">
        <f>CONCATENATE(Store_Setting[[#This Row],[序号]], " | ", Store_Setting[[#This Row],[商品名称]])</f>
        <v>33 | 33</v>
      </c>
      <c r="E45" s="29">
        <v>33</v>
      </c>
      <c r="F45" s="35">
        <v>33</v>
      </c>
      <c r="G45" s="29">
        <f>SUM(UserInfo[33 - 剩余])</f>
        <v>0</v>
      </c>
      <c r="H45" s="29">
        <f>SUM(UserInfo[33 - 存入])</f>
        <v>0</v>
      </c>
      <c r="I45" s="29">
        <f>SUM(UserInfo[33 - 支取])</f>
        <v>0</v>
      </c>
      <c r="J45" s="30">
        <f>Store_Setting[[#This Row],[共入库小计]]-Store_Setting[[#This Row],[已支取]]</f>
        <v>0</v>
      </c>
      <c r="K45" s="29">
        <f>Store_Setting[[#This Row],[入库小计]]-Store_Setting[[#This Row],[取货小计]]</f>
        <v>0</v>
      </c>
      <c r="L45" s="29">
        <f>SUMIFS(Store_History[数量],Store_History[唯一识别码],Store_Setting[[#This Row],[唯一识别码]],Store_History[类型],"入库")</f>
        <v>0</v>
      </c>
      <c r="M45" s="29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40"/>
      <c r="C46" s="43"/>
      <c r="D46" s="65" t="str">
        <f>CONCATENATE(Store_Setting[[#This Row],[序号]], " | ", Store_Setting[[#This Row],[商品名称]])</f>
        <v>34 | 34</v>
      </c>
      <c r="E46" s="29">
        <v>34</v>
      </c>
      <c r="F46" s="35">
        <v>34</v>
      </c>
      <c r="G46" s="29">
        <f>SUM(UserInfo[34 - 剩余])</f>
        <v>0</v>
      </c>
      <c r="H46" s="29">
        <f>SUM(UserInfo[34 - 存入])</f>
        <v>0</v>
      </c>
      <c r="I46" s="29">
        <f>SUM(UserInfo[34 - 支取])</f>
        <v>0</v>
      </c>
      <c r="J46" s="30">
        <f>Store_Setting[[#This Row],[共入库小计]]-Store_Setting[[#This Row],[已支取]]</f>
        <v>0</v>
      </c>
      <c r="K46" s="29">
        <f>Store_Setting[[#This Row],[入库小计]]-Store_Setting[[#This Row],[取货小计]]</f>
        <v>0</v>
      </c>
      <c r="L46" s="29">
        <f>SUMIFS(Store_History[数量],Store_History[唯一识别码],Store_Setting[[#This Row],[唯一识别码]],Store_History[类型],"入库")</f>
        <v>0</v>
      </c>
      <c r="M46" s="29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40"/>
      <c r="C47" s="43"/>
      <c r="D47" s="65" t="str">
        <f>CONCATENATE(Store_Setting[[#This Row],[序号]], " | ", Store_Setting[[#This Row],[商品名称]])</f>
        <v>35 | 35</v>
      </c>
      <c r="E47" s="29">
        <v>35</v>
      </c>
      <c r="F47" s="35">
        <v>35</v>
      </c>
      <c r="G47" s="29">
        <f>SUM(UserInfo[35 - 剩余])</f>
        <v>0</v>
      </c>
      <c r="H47" s="29">
        <f>SUM(UserInfo[35 - 存入])</f>
        <v>0</v>
      </c>
      <c r="I47" s="29">
        <f>SUM(UserInfo[35 - 支取])</f>
        <v>0</v>
      </c>
      <c r="J47" s="30">
        <f>Store_Setting[[#This Row],[共入库小计]]-Store_Setting[[#This Row],[已支取]]</f>
        <v>0</v>
      </c>
      <c r="K47" s="29">
        <f>Store_Setting[[#This Row],[入库小计]]-Store_Setting[[#This Row],[取货小计]]</f>
        <v>0</v>
      </c>
      <c r="L47" s="29">
        <f>SUMIFS(Store_History[数量],Store_History[唯一识别码],Store_Setting[[#This Row],[唯一识别码]],Store_History[类型],"入库")</f>
        <v>0</v>
      </c>
      <c r="M47" s="29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40"/>
      <c r="C48" s="43"/>
      <c r="D48" s="65" t="str">
        <f>CONCATENATE(Store_Setting[[#This Row],[序号]], " | ", Store_Setting[[#This Row],[商品名称]])</f>
        <v>36 | 36</v>
      </c>
      <c r="E48" s="29">
        <v>36</v>
      </c>
      <c r="F48" s="35">
        <v>36</v>
      </c>
      <c r="G48" s="29">
        <f>SUM(UserInfo[36 - 剩余])</f>
        <v>0</v>
      </c>
      <c r="H48" s="29">
        <f>SUM(UserInfo[36 - 存入])</f>
        <v>0</v>
      </c>
      <c r="I48" s="29">
        <f>SUM(UserInfo[36 - 支取])</f>
        <v>0</v>
      </c>
      <c r="J48" s="30">
        <f>Store_Setting[[#This Row],[共入库小计]]-Store_Setting[[#This Row],[已支取]]</f>
        <v>0</v>
      </c>
      <c r="K48" s="29">
        <f>Store_Setting[[#This Row],[入库小计]]-Store_Setting[[#This Row],[取货小计]]</f>
        <v>0</v>
      </c>
      <c r="L48" s="29">
        <f>SUMIFS(Store_History[数量],Store_History[唯一识别码],Store_Setting[[#This Row],[唯一识别码]],Store_History[类型],"入库")</f>
        <v>0</v>
      </c>
      <c r="M48" s="29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40"/>
      <c r="C49" s="43"/>
      <c r="D49" s="65" t="str">
        <f>CONCATENATE(Store_Setting[[#This Row],[序号]], " | ", Store_Setting[[#This Row],[商品名称]])</f>
        <v>37 | 37</v>
      </c>
      <c r="E49" s="29">
        <v>37</v>
      </c>
      <c r="F49" s="35">
        <v>37</v>
      </c>
      <c r="G49" s="29">
        <f>SUM(UserInfo[37 - 剩余])</f>
        <v>0</v>
      </c>
      <c r="H49" s="29">
        <f>SUM(UserInfo[37 - 存入])</f>
        <v>0</v>
      </c>
      <c r="I49" s="29">
        <f>SUM(UserInfo[37 - 支取])</f>
        <v>0</v>
      </c>
      <c r="J49" s="30">
        <f>Store_Setting[[#This Row],[共入库小计]]-Store_Setting[[#This Row],[已支取]]</f>
        <v>0</v>
      </c>
      <c r="K49" s="29">
        <f>Store_Setting[[#This Row],[入库小计]]-Store_Setting[[#This Row],[取货小计]]</f>
        <v>0</v>
      </c>
      <c r="L49" s="29">
        <f>SUMIFS(Store_History[数量],Store_History[唯一识别码],Store_Setting[[#This Row],[唯一识别码]],Store_History[类型],"入库")</f>
        <v>0</v>
      </c>
      <c r="M49" s="29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40"/>
      <c r="C50" s="43"/>
      <c r="D50" s="65" t="str">
        <f>CONCATENATE(Store_Setting[[#This Row],[序号]], " | ", Store_Setting[[#This Row],[商品名称]])</f>
        <v>38 | 38</v>
      </c>
      <c r="E50" s="29">
        <v>38</v>
      </c>
      <c r="F50" s="35">
        <v>38</v>
      </c>
      <c r="G50" s="29">
        <f>SUM(UserInfo[38 - 剩余])</f>
        <v>0</v>
      </c>
      <c r="H50" s="29">
        <f>SUM(UserInfo[38 - 存入])</f>
        <v>0</v>
      </c>
      <c r="I50" s="29">
        <f>SUM(UserInfo[38 - 支取])</f>
        <v>0</v>
      </c>
      <c r="J50" s="30">
        <f>Store_Setting[[#This Row],[共入库小计]]-Store_Setting[[#This Row],[已支取]]</f>
        <v>0</v>
      </c>
      <c r="K50" s="29">
        <f>Store_Setting[[#This Row],[入库小计]]-Store_Setting[[#This Row],[取货小计]]</f>
        <v>0</v>
      </c>
      <c r="L50" s="29">
        <f>SUMIFS(Store_History[数量],Store_History[唯一识别码],Store_Setting[[#This Row],[唯一识别码]],Store_History[类型],"入库")</f>
        <v>0</v>
      </c>
      <c r="M50" s="29">
        <f>SUMIFS(Store_History[数量],Store_History[唯一识别码],Store_Setting[[#This Row],[唯一识别码]],Store_History[类型],"取货")</f>
        <v>0</v>
      </c>
    </row>
    <row r="51" spans="2:13" ht="39.950000000000003" customHeight="1" x14ac:dyDescent="0.25">
      <c r="B51" s="40"/>
      <c r="C51" s="43"/>
      <c r="D51" s="65" t="str">
        <f>CONCATENATE(Store_Setting[[#This Row],[序号]], " | ", Store_Setting[[#This Row],[商品名称]])</f>
        <v>39 | 39</v>
      </c>
      <c r="E51" s="29">
        <v>39</v>
      </c>
      <c r="F51" s="35">
        <v>39</v>
      </c>
      <c r="G51" s="29">
        <f>SUM(UserInfo[39 - 剩余])</f>
        <v>0</v>
      </c>
      <c r="H51" s="29">
        <f>SUM(UserInfo[39 - 存入])</f>
        <v>0</v>
      </c>
      <c r="I51" s="29">
        <f>SUM(UserInfo[39 - 支取])</f>
        <v>0</v>
      </c>
      <c r="J51" s="30">
        <f>Store_Setting[[#This Row],[共入库小计]]-Store_Setting[[#This Row],[已支取]]</f>
        <v>0</v>
      </c>
      <c r="K51" s="29">
        <f>Store_Setting[[#This Row],[入库小计]]-Store_Setting[[#This Row],[取货小计]]</f>
        <v>0</v>
      </c>
      <c r="L51" s="29">
        <f>SUMIFS(Store_History[数量],Store_History[唯一识别码],Store_Setting[[#This Row],[唯一识别码]],Store_History[类型],"入库")</f>
        <v>0</v>
      </c>
      <c r="M51" s="29">
        <f>SUMIFS(Store_History[数量],Store_History[唯一识别码],Store_Setting[[#This Row],[唯一识别码]],Store_History[类型],"取货")</f>
        <v>0</v>
      </c>
    </row>
    <row r="52" spans="2:13" ht="39.950000000000003" customHeight="1" x14ac:dyDescent="0.25">
      <c r="B52" s="40"/>
      <c r="C52" s="43"/>
      <c r="D52" s="65" t="str">
        <f>CONCATENATE(Store_Setting[[#This Row],[序号]], " | ", Store_Setting[[#This Row],[商品名称]])</f>
        <v>40 | 40</v>
      </c>
      <c r="E52" s="29">
        <v>40</v>
      </c>
      <c r="F52" s="35">
        <v>40</v>
      </c>
      <c r="G52" s="29">
        <f>SUM(UserInfo[40 - 剩余])</f>
        <v>0</v>
      </c>
      <c r="H52" s="29">
        <f>SUM(UserInfo[40 - 存入])</f>
        <v>0</v>
      </c>
      <c r="I52" s="29">
        <f>SUM(UserInfo[40 - 支取])</f>
        <v>0</v>
      </c>
      <c r="J52" s="30">
        <f>Store_Setting[[#This Row],[共入库小计]]-Store_Setting[[#This Row],[已支取]]</f>
        <v>0</v>
      </c>
      <c r="K52" s="29">
        <f>Store_Setting[[#This Row],[入库小计]]-Store_Setting[[#This Row],[取货小计]]</f>
        <v>0</v>
      </c>
      <c r="L52" s="29">
        <f>SUMIFS(Store_History[数量],Store_History[唯一识别码],Store_Setting[[#This Row],[唯一识别码]],Store_History[类型],"入库")</f>
        <v>0</v>
      </c>
      <c r="M52" s="29">
        <f>SUMIFS(Store_History[数量],Store_History[唯一识别码],Store_Setting[[#This Row],[唯一识别码]],Store_History[类型],"取货")</f>
        <v>0</v>
      </c>
    </row>
    <row r="53" spans="2:13" ht="2.1" customHeight="1" x14ac:dyDescent="0.25">
      <c r="B53" s="40"/>
      <c r="C53" s="41"/>
      <c r="D53" s="42"/>
      <c r="E53" s="42"/>
      <c r="F53" s="42"/>
      <c r="G53" s="42"/>
      <c r="H53" s="42"/>
      <c r="I53" s="42"/>
      <c r="J53" s="42"/>
      <c r="K53" s="42"/>
      <c r="L53" s="42"/>
      <c r="M53" s="42"/>
    </row>
    <row r="54" spans="2:13" ht="39.950000000000003" customHeight="1" x14ac:dyDescent="0.25">
      <c r="B54" s="40" t="s">
        <v>15</v>
      </c>
      <c r="C54" s="43" t="s">
        <v>129</v>
      </c>
      <c r="D54" s="102"/>
      <c r="E54" s="103"/>
      <c r="F54" s="103"/>
      <c r="G54" s="103"/>
      <c r="H54" s="103"/>
      <c r="I54" s="103"/>
      <c r="J54" s="103"/>
      <c r="K54" s="103"/>
      <c r="L54" s="103"/>
      <c r="M54" s="103"/>
    </row>
    <row r="55" spans="2:13" ht="2.1" customHeight="1" x14ac:dyDescent="0.25">
      <c r="B55" s="40"/>
      <c r="C55" s="41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3" ht="39.950000000000003" customHeight="1" x14ac:dyDescent="0.25">
      <c r="B56" s="40"/>
      <c r="C56" s="43" t="s">
        <v>30</v>
      </c>
      <c r="D56" s="104"/>
      <c r="E56" s="104"/>
      <c r="F56" s="104"/>
      <c r="G56" s="105"/>
      <c r="H56" s="105"/>
      <c r="I56" s="105"/>
      <c r="J56" s="105"/>
      <c r="K56" s="105"/>
      <c r="L56" s="105"/>
      <c r="M56" s="105"/>
    </row>
    <row r="57" spans="2:13" ht="39.950000000000003" customHeight="1" x14ac:dyDescent="0.25">
      <c r="B57" s="40"/>
      <c r="C57" s="43" t="s">
        <v>31</v>
      </c>
      <c r="D57" s="106"/>
      <c r="E57" s="106"/>
      <c r="F57" s="106"/>
      <c r="G57" s="107"/>
      <c r="H57" s="107"/>
      <c r="I57" s="107"/>
      <c r="J57" s="107"/>
      <c r="K57" s="107"/>
      <c r="L57" s="107"/>
      <c r="M57" s="107"/>
    </row>
    <row r="58" spans="2:13" ht="2.1" customHeight="1" x14ac:dyDescent="0.25">
      <c r="B58" s="40"/>
      <c r="C58" s="41"/>
      <c r="D58" s="42"/>
      <c r="E58" s="42"/>
      <c r="F58" s="42"/>
      <c r="G58" s="42"/>
      <c r="H58" s="42"/>
      <c r="I58" s="42"/>
      <c r="J58" s="42"/>
      <c r="K58" s="42"/>
      <c r="L58" s="42"/>
      <c r="M58" s="42"/>
    </row>
    <row r="59" spans="2:13" ht="39.950000000000003" customHeight="1" x14ac:dyDescent="0.25">
      <c r="B59" s="40"/>
      <c r="C59" s="43" t="s">
        <v>133</v>
      </c>
      <c r="D59" s="45" t="s">
        <v>29</v>
      </c>
      <c r="E59" s="18" t="s">
        <v>1</v>
      </c>
      <c r="F59" s="18" t="s">
        <v>22</v>
      </c>
      <c r="G59" s="46" t="s">
        <v>21</v>
      </c>
      <c r="H59" s="46" t="s">
        <v>23</v>
      </c>
      <c r="I59" s="46" t="s">
        <v>24</v>
      </c>
      <c r="J59" s="46"/>
      <c r="K59" s="46"/>
      <c r="L59" s="46"/>
      <c r="M59" s="46"/>
    </row>
    <row r="60" spans="2:13" ht="39.950000000000003" customHeight="1" x14ac:dyDescent="0.25">
      <c r="B60" s="40"/>
      <c r="C60" s="43"/>
      <c r="D60" s="104" t="s">
        <v>134</v>
      </c>
      <c r="E60" s="104" t="s">
        <v>135</v>
      </c>
      <c r="F60" s="104" t="s">
        <v>135</v>
      </c>
      <c r="G60" s="104" t="s">
        <v>135</v>
      </c>
      <c r="H60" s="104" t="s">
        <v>135</v>
      </c>
      <c r="I60" s="104" t="s">
        <v>135</v>
      </c>
      <c r="J60" s="46"/>
      <c r="K60" s="46"/>
      <c r="L60" s="46"/>
      <c r="M60" s="46"/>
    </row>
    <row r="61" spans="2:13" ht="2.1" customHeight="1" x14ac:dyDescent="0.25">
      <c r="B61" s="40"/>
      <c r="C61" s="41"/>
      <c r="D61" s="42"/>
      <c r="E61" s="42"/>
      <c r="F61" s="42"/>
      <c r="G61" s="42"/>
      <c r="H61" s="42"/>
      <c r="I61" s="42"/>
      <c r="J61" s="42"/>
      <c r="K61" s="42"/>
      <c r="L61" s="42"/>
      <c r="M61" s="42"/>
    </row>
    <row r="62" spans="2:13" ht="39.950000000000003" customHeight="1" x14ac:dyDescent="0.25">
      <c r="B62" s="40" t="s">
        <v>16</v>
      </c>
      <c r="C62" s="43" t="s">
        <v>5</v>
      </c>
      <c r="D62" s="46" t="s">
        <v>8</v>
      </c>
      <c r="E62" s="46" t="s">
        <v>9</v>
      </c>
      <c r="F62" s="18"/>
      <c r="G62" s="18"/>
      <c r="H62" s="18"/>
      <c r="I62" s="18"/>
      <c r="J62" s="18"/>
      <c r="K62" s="18"/>
      <c r="L62" s="18"/>
      <c r="M62" s="18"/>
    </row>
    <row r="63" spans="2:13" ht="2.1" customHeight="1" x14ac:dyDescent="0.25">
      <c r="B63" s="40"/>
      <c r="C63" s="41"/>
      <c r="D63" s="42"/>
      <c r="E63" s="42"/>
      <c r="F63" s="42"/>
      <c r="G63" s="42"/>
      <c r="H63" s="42"/>
      <c r="I63" s="42"/>
      <c r="J63" s="42"/>
      <c r="K63" s="42"/>
      <c r="L63" s="42"/>
      <c r="M63" s="42"/>
    </row>
    <row r="64" spans="2:13" ht="39.950000000000003" customHeight="1" x14ac:dyDescent="0.25">
      <c r="B64" s="40" t="s">
        <v>25</v>
      </c>
      <c r="C64" s="43" t="s">
        <v>226</v>
      </c>
      <c r="D64" s="46" t="s">
        <v>241</v>
      </c>
      <c r="E64" s="46" t="s">
        <v>227</v>
      </c>
      <c r="F64" s="18"/>
      <c r="G64" s="18"/>
      <c r="H64" s="18"/>
      <c r="I64" s="18"/>
      <c r="J64" s="18"/>
      <c r="K64" s="18"/>
      <c r="L64" s="18"/>
      <c r="M64" s="18"/>
    </row>
    <row r="65" spans="2:13" ht="2.1" customHeight="1" x14ac:dyDescent="0.25">
      <c r="B65" s="40"/>
      <c r="C65" s="41"/>
      <c r="D65" s="42"/>
      <c r="E65" s="42"/>
      <c r="F65" s="42"/>
      <c r="G65" s="42"/>
      <c r="H65" s="42"/>
      <c r="I65" s="42"/>
      <c r="J65" s="42"/>
      <c r="K65" s="42"/>
      <c r="L65" s="42"/>
      <c r="M65" s="42"/>
    </row>
    <row r="66" spans="2:13" ht="39.950000000000003" customHeight="1" x14ac:dyDescent="0.25">
      <c r="B66" s="40"/>
      <c r="C66" s="43" t="s">
        <v>233</v>
      </c>
      <c r="D66" s="102" t="s">
        <v>234</v>
      </c>
      <c r="E66" s="102" t="s">
        <v>235</v>
      </c>
      <c r="F66" s="102" t="s">
        <v>236</v>
      </c>
      <c r="G66" s="102"/>
      <c r="H66" s="102"/>
      <c r="I66" s="102"/>
      <c r="J66" s="102"/>
      <c r="K66" s="102"/>
      <c r="L66" s="102"/>
      <c r="M66" s="102"/>
    </row>
    <row r="67" spans="2:13" ht="2.1" customHeight="1" x14ac:dyDescent="0.25">
      <c r="B67" s="40"/>
      <c r="C67" s="41"/>
      <c r="D67" s="42"/>
      <c r="E67" s="42"/>
      <c r="F67" s="42"/>
      <c r="G67" s="42"/>
      <c r="H67" s="42"/>
      <c r="I67" s="42"/>
      <c r="J67" s="42"/>
      <c r="K67" s="42"/>
      <c r="L67" s="42"/>
      <c r="M67" s="42"/>
    </row>
    <row r="68" spans="2:13" ht="39.950000000000003" customHeight="1" x14ac:dyDescent="0.25">
      <c r="B68" s="40" t="s">
        <v>225</v>
      </c>
      <c r="C68" s="43" t="s">
        <v>1</v>
      </c>
      <c r="D68" s="46" t="s">
        <v>10</v>
      </c>
      <c r="E68" s="46" t="s">
        <v>11</v>
      </c>
      <c r="F68" s="18"/>
      <c r="G68" s="18"/>
      <c r="H68" s="18"/>
      <c r="I68" s="18"/>
      <c r="J68" s="18"/>
      <c r="K68" s="18"/>
      <c r="L68" s="18"/>
      <c r="M68" s="18"/>
    </row>
    <row r="69" spans="2:13" ht="2.1" customHeight="1" x14ac:dyDescent="0.25">
      <c r="B69" s="40"/>
      <c r="C69" s="41"/>
      <c r="D69" s="42"/>
      <c r="E69" s="42"/>
      <c r="F69" s="42"/>
      <c r="G69" s="42"/>
      <c r="H69" s="42"/>
      <c r="I69" s="42"/>
      <c r="J69" s="42"/>
      <c r="K69" s="42"/>
      <c r="L69" s="42"/>
      <c r="M69" s="42"/>
    </row>
    <row r="70" spans="2:13" ht="2.1" customHeight="1" x14ac:dyDescent="0.25">
      <c r="B70" s="40"/>
      <c r="C70" s="41"/>
      <c r="D70" s="42"/>
      <c r="E70" s="42"/>
      <c r="F70" s="42"/>
      <c r="G70" s="42"/>
      <c r="H70" s="42"/>
      <c r="I70" s="42"/>
      <c r="J70" s="42"/>
      <c r="K70" s="42"/>
      <c r="L70" s="42"/>
      <c r="M70" s="42"/>
    </row>
    <row r="71" spans="2:13" ht="2.1" customHeight="1" x14ac:dyDescent="0.25">
      <c r="B71" s="40"/>
      <c r="C71" s="41"/>
      <c r="D71" s="42"/>
      <c r="E71" s="42"/>
      <c r="F71" s="42"/>
      <c r="G71" s="42"/>
      <c r="H71" s="42"/>
      <c r="I71" s="42"/>
      <c r="J71" s="42"/>
      <c r="K71" s="42"/>
      <c r="L71" s="42"/>
      <c r="M71" s="42"/>
    </row>
    <row r="72" spans="2:13" ht="15.95" customHeight="1" x14ac:dyDescent="0.25"/>
    <row r="73" spans="2:13" ht="39.950000000000003" customHeight="1" x14ac:dyDescent="0.25">
      <c r="B73" s="71" t="s">
        <v>17</v>
      </c>
      <c r="C73" s="71"/>
      <c r="D73" s="71"/>
      <c r="E73" s="71"/>
    </row>
    <row r="74" spans="2:13" ht="39.950000000000003" customHeight="1" x14ac:dyDescent="0.25">
      <c r="B74" s="47" t="s">
        <v>19</v>
      </c>
      <c r="C74" s="63" t="s">
        <v>138</v>
      </c>
      <c r="D74" s="72"/>
      <c r="E74" s="72"/>
    </row>
    <row r="75" spans="2:13" ht="39.950000000000003" customHeight="1" x14ac:dyDescent="0.25">
      <c r="B75" s="47" t="s">
        <v>20</v>
      </c>
      <c r="C75" s="67" t="s">
        <v>18</v>
      </c>
      <c r="D75" s="70"/>
      <c r="E75" s="70"/>
    </row>
    <row r="76" spans="2:13" ht="39.950000000000003" customHeight="1" x14ac:dyDescent="0.25">
      <c r="B76" s="47" t="s">
        <v>136</v>
      </c>
      <c r="C76" s="63" t="s">
        <v>137</v>
      </c>
      <c r="D76" s="72"/>
      <c r="E76" s="72"/>
    </row>
    <row r="77" spans="2:13" ht="39.950000000000003" customHeight="1" x14ac:dyDescent="0.25">
      <c r="B77" s="47" t="s">
        <v>127</v>
      </c>
      <c r="C77" s="63" t="s">
        <v>286</v>
      </c>
      <c r="D77" s="63"/>
      <c r="E77" s="63"/>
    </row>
    <row r="78" spans="2:13" ht="15.95" customHeight="1" x14ac:dyDescent="0.25"/>
    <row r="81" s="1" customFormat="1" ht="39.950000000000003" hidden="1" customHeight="1" x14ac:dyDescent="0.25"/>
    <row r="82" s="1" customFormat="1" ht="39.950000000000003" hidden="1" customHeight="1" x14ac:dyDescent="0.25"/>
    <row r="83" s="1" customFormat="1" ht="39.950000000000003" hidden="1" customHeight="1" x14ac:dyDescent="0.25"/>
    <row r="84" s="1" customFormat="1" ht="39.950000000000003" hidden="1" customHeight="1" x14ac:dyDescent="0.25"/>
  </sheetData>
  <sheetProtection algorithmName="SHA-512" hashValue="Hxm4fIpFOclIqOgt2NKGjzT+l5VCK8Cw2bPN1YaAM1b6kxzaNCNHiGVxjE6B3Kj10XRinvZte+8ZH3Th2uo7rg==" saltValue="tqFYPXs1L3reo8B/nbn+Og==" spinCount="100000" sheet="1" objects="1" scenarios="1" selectLockedCells="1"/>
  <mergeCells count="2">
    <mergeCell ref="J11:M11"/>
    <mergeCell ref="G11:I11"/>
  </mergeCells>
  <phoneticPr fontId="8" type="noConversion"/>
  <conditionalFormatting sqref="F13:F52">
    <cfRule type="expression" dxfId="7" priority="1">
      <formula>MOD(ROW(),2)=1</formula>
    </cfRule>
    <cfRule type="expression" dxfId="6" priority="2">
      <formula>MOD(ROW(),2)=0</formula>
    </cfRule>
  </conditionalFormatting>
  <dataValidations count="2">
    <dataValidation type="list" allowBlank="1" showInputMessage="1" showErrorMessage="1" sqref="D54" xr:uid="{B0381366-608B-4108-AB08-0028EC500489}">
      <formula1>Get_Staff_Member</formula1>
    </dataValidation>
    <dataValidation type="list" allowBlank="1" showInputMessage="1" showErrorMessage="1" sqref="D60:I60" xr:uid="{74448FB4-19CD-48A8-B0C3-0146D7793234}">
      <formula1>"是, 否"</formula1>
    </dataValidation>
  </dataValidations>
  <hyperlinks>
    <hyperlink ref="C76" r:id="rId1" xr:uid="{4E14B09B-F407-4922-ABB2-323A16485ECB}"/>
    <hyperlink ref="C74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G13:M52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E16"/>
  <sheetViews>
    <sheetView showGridLines="0" zoomScaleNormal="100" workbookViewId="0">
      <selection activeCell="D6" sqref="D6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5.7109375" style="1" customWidth="1"/>
    <col min="4" max="4" width="56.7109375" style="1" customWidth="1"/>
    <col min="5" max="5" width="2.7109375" style="1" customWidth="1"/>
    <col min="6" max="16384" width="9.140625" style="1" hidden="1"/>
  </cols>
  <sheetData>
    <row r="1" spans="2:4" s="2" customFormat="1" ht="6" customHeight="1" x14ac:dyDescent="0.25"/>
    <row r="2" spans="2:4" s="3" customFormat="1" ht="54.95" customHeight="1" x14ac:dyDescent="0.25">
      <c r="B2" s="5" t="str">
        <f>设置!D9 &amp;" - 新增入库取货"</f>
        <v>Yi - 新增入库取货</v>
      </c>
      <c r="C2" s="5"/>
    </row>
    <row r="3" spans="2:4" ht="8.1" customHeight="1" x14ac:dyDescent="0.25"/>
    <row r="4" spans="2:4" ht="35.1" customHeight="1" x14ac:dyDescent="0.25">
      <c r="B4" s="15" t="s">
        <v>90</v>
      </c>
      <c r="C4" s="13"/>
      <c r="D4" s="16"/>
    </row>
    <row r="5" spans="2:4" ht="15" customHeight="1" x14ac:dyDescent="0.25"/>
    <row r="6" spans="2:4" ht="35.1" customHeight="1" x14ac:dyDescent="0.25">
      <c r="B6" s="1" t="s">
        <v>224</v>
      </c>
      <c r="C6" s="17" t="s">
        <v>3</v>
      </c>
      <c r="D6" s="59"/>
    </row>
    <row r="7" spans="2:4" ht="35.1" customHeight="1" x14ac:dyDescent="0.25">
      <c r="C7" s="60" t="s">
        <v>0</v>
      </c>
      <c r="D7" s="57" t="str">
        <f>IFERROR(VLOOKUP(D6,Store_Setting[[唯一识别码]:[取货小计]],2,0)&amp;"","")</f>
        <v/>
      </c>
    </row>
    <row r="8" spans="2:4" ht="35.1" customHeight="1" x14ac:dyDescent="0.25">
      <c r="C8" s="60" t="s">
        <v>42</v>
      </c>
      <c r="D8" s="57" t="str">
        <f>IFERROR(VLOOKUP(D6,Store_Setting[[唯一识别码]:[取货小计]],3,0)&amp;"","")</f>
        <v/>
      </c>
    </row>
    <row r="9" spans="2:4" ht="15" customHeight="1" x14ac:dyDescent="0.25"/>
    <row r="10" spans="2:4" ht="35.1" customHeight="1" x14ac:dyDescent="0.25">
      <c r="B10" s="1" t="s">
        <v>239</v>
      </c>
      <c r="C10" s="17" t="s">
        <v>5</v>
      </c>
      <c r="D10" s="58"/>
    </row>
    <row r="11" spans="2:4" ht="35.1" customHeight="1" x14ac:dyDescent="0.25">
      <c r="C11" s="17" t="s">
        <v>228</v>
      </c>
      <c r="D11" s="100"/>
    </row>
    <row r="12" spans="2:4" ht="35.1" customHeight="1" x14ac:dyDescent="0.25">
      <c r="C12" s="17" t="s">
        <v>233</v>
      </c>
      <c r="D12" s="59"/>
    </row>
    <row r="13" spans="2:4" ht="15" customHeight="1" x14ac:dyDescent="0.25"/>
    <row r="14" spans="2:4" ht="35.1" customHeight="1" x14ac:dyDescent="0.25">
      <c r="B14" s="1" t="s">
        <v>26</v>
      </c>
      <c r="C14" s="17" t="s">
        <v>27</v>
      </c>
      <c r="D14" s="58"/>
    </row>
    <row r="15" spans="2:4" ht="135" customHeight="1" x14ac:dyDescent="0.25">
      <c r="C15" s="17" t="s">
        <v>7</v>
      </c>
      <c r="D15" s="59"/>
    </row>
    <row r="16" spans="2:4" ht="15" customHeight="1" x14ac:dyDescent="0.25"/>
  </sheetData>
  <sheetProtection algorithmName="SHA-512" hashValue="6Jt/UTSy2L1cVunS47HeWK/hH7oIEmuf0A8sJMoZRVEBPxKGR84qvGyjzd4lXna2AeyujXeqGWuGa8bhhtsSrA==" saltValue="O1L5uYrv950FLNalXuyKrw==" spinCount="100000" sheet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1" customWidth="1"/>
    <col min="2" max="2" width="8.7109375" style="11" customWidth="1"/>
    <col min="3" max="3" width="30.7109375" style="49" customWidth="1"/>
    <col min="4" max="4" width="12.7109375" style="48" customWidth="1"/>
    <col min="5" max="5" width="20.7109375" style="48" customWidth="1"/>
    <col min="6" max="6" width="12.7109375" style="50" customWidth="1"/>
    <col min="7" max="7" width="17.140625" style="51" customWidth="1"/>
    <col min="8" max="8" width="10.7109375" style="51" customWidth="1"/>
    <col min="9" max="9" width="20.7109375" style="52" customWidth="1"/>
    <col min="10" max="10" width="12.7109375" style="51" customWidth="1"/>
    <col min="11" max="11" width="20.7109375" style="51" customWidth="1"/>
    <col min="12" max="12" width="2.7109375" style="11" customWidth="1"/>
    <col min="13" max="16384" width="9.140625" style="1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设置!D9 &amp;" - 入库取货"</f>
        <v>Yi - 入库取货</v>
      </c>
    </row>
    <row r="3" spans="2:11" s="1" customFormat="1" ht="8.1" customHeight="1" x14ac:dyDescent="0.25"/>
    <row r="4" spans="2:11" ht="12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" customHeight="1" x14ac:dyDescent="0.25"/>
    <row r="6" spans="2:11" ht="39.950000000000003" customHeight="1" x14ac:dyDescent="0.25">
      <c r="B6" s="8" t="s">
        <v>0</v>
      </c>
      <c r="C6" s="8" t="s">
        <v>3</v>
      </c>
      <c r="D6" s="8" t="s">
        <v>230</v>
      </c>
      <c r="E6" s="8" t="s">
        <v>42</v>
      </c>
      <c r="F6" s="8" t="s">
        <v>5</v>
      </c>
      <c r="G6" s="8" t="s">
        <v>228</v>
      </c>
      <c r="H6" s="8" t="s">
        <v>233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81" cm="1">
        <f t="array" ref="B7">SNGKI</f>
        <v>1</v>
      </c>
      <c r="C7" s="82"/>
      <c r="D7" s="85" t="str" cm="1">
        <f t="array" ref="D7">Get_Store_SN</f>
        <v/>
      </c>
      <c r="E7" s="85" t="str" cm="1">
        <f t="array" ref="E7">Get_Store_Name</f>
        <v/>
      </c>
      <c r="F7" s="83"/>
      <c r="G7" s="28"/>
      <c r="H7" s="31"/>
      <c r="I7" s="84"/>
      <c r="J7" s="83"/>
      <c r="K7" s="83"/>
    </row>
  </sheetData>
  <sheetProtection deleteRows="0" selectLockedCells="1"/>
  <conditionalFormatting sqref="C7 F7:K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E20"/>
  <sheetViews>
    <sheetView showGridLines="0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90" customWidth="1"/>
    <col min="2" max="2" width="14.7109375" style="90" customWidth="1"/>
    <col min="3" max="3" width="15.7109375" style="90" customWidth="1"/>
    <col min="4" max="4" width="56.7109375" style="90" customWidth="1"/>
    <col min="5" max="5" width="2.7109375" style="90" customWidth="1"/>
    <col min="6" max="16384" width="9.140625" style="90" hidden="1"/>
  </cols>
  <sheetData>
    <row r="1" spans="2:4" s="87" customFormat="1" ht="6" customHeight="1" x14ac:dyDescent="0.25"/>
    <row r="2" spans="2:4" s="89" customFormat="1" ht="54.95" customHeight="1" x14ac:dyDescent="0.25">
      <c r="B2" s="88" t="str">
        <f>设置!D9 &amp;" - 新增会员"</f>
        <v>Yi - 新增会员</v>
      </c>
      <c r="C2" s="88"/>
    </row>
    <row r="3" spans="2:4" ht="8.1" customHeight="1" x14ac:dyDescent="0.25"/>
    <row r="4" spans="2:4" ht="35.1" customHeight="1" x14ac:dyDescent="0.25">
      <c r="B4" s="91" t="s">
        <v>90</v>
      </c>
      <c r="C4" s="13"/>
      <c r="D4" s="92"/>
    </row>
    <row r="5" spans="2:4" ht="15" customHeight="1" x14ac:dyDescent="0.25"/>
    <row r="6" spans="2:4" ht="35.1" customHeight="1" x14ac:dyDescent="0.25">
      <c r="B6" s="93" t="s">
        <v>3</v>
      </c>
      <c r="C6" s="94" t="str">
        <f>CONCATENATE(IF(D8="","", _xlfn.CONCAT(D8)), IF(D9="","", _xlfn.CONCAT(D9)), IF(D10="","", _xlfn.CONCAT(" | ",D10)), IF(D14="","", _xlfn.CONCAT(" | ",D14)))</f>
        <v/>
      </c>
      <c r="D6" s="95"/>
    </row>
    <row r="7" spans="2:4" ht="15" customHeight="1" x14ac:dyDescent="0.25"/>
    <row r="8" spans="2:4" ht="35.1" customHeight="1" x14ac:dyDescent="0.25">
      <c r="B8" s="90" t="s">
        <v>89</v>
      </c>
      <c r="C8" s="96" t="s">
        <v>131</v>
      </c>
      <c r="D8" s="26"/>
    </row>
    <row r="9" spans="2:4" ht="35.1" customHeight="1" x14ac:dyDescent="0.25">
      <c r="C9" s="96" t="s">
        <v>29</v>
      </c>
      <c r="D9" s="12"/>
    </row>
    <row r="10" spans="2:4" ht="35.1" customHeight="1" x14ac:dyDescent="0.25">
      <c r="C10" s="96" t="s">
        <v>1</v>
      </c>
      <c r="D10" s="12"/>
    </row>
    <row r="11" spans="2:4" ht="35.1" customHeight="1" x14ac:dyDescent="0.25">
      <c r="C11" s="96" t="s">
        <v>22</v>
      </c>
      <c r="D11" s="12"/>
    </row>
    <row r="12" spans="2:4" ht="35.1" customHeight="1" x14ac:dyDescent="0.25">
      <c r="C12" s="96" t="s">
        <v>21</v>
      </c>
      <c r="D12" s="86"/>
    </row>
    <row r="13" spans="2:4" ht="15" customHeight="1" x14ac:dyDescent="0.25"/>
    <row r="14" spans="2:4" ht="35.1" customHeight="1" x14ac:dyDescent="0.25">
      <c r="B14" s="90" t="s">
        <v>93</v>
      </c>
      <c r="C14" s="96" t="s">
        <v>132</v>
      </c>
      <c r="D14" s="12"/>
    </row>
    <row r="15" spans="2:4" ht="35.1" customHeight="1" x14ac:dyDescent="0.25">
      <c r="C15" s="96" t="s">
        <v>23</v>
      </c>
      <c r="D15" s="12"/>
    </row>
    <row r="16" spans="2:4" ht="75" customHeight="1" x14ac:dyDescent="0.25">
      <c r="C16" s="96" t="s">
        <v>24</v>
      </c>
      <c r="D16" s="26"/>
    </row>
    <row r="17" spans="2:4" ht="15" customHeight="1" x14ac:dyDescent="0.25"/>
    <row r="18" spans="2:4" ht="35.1" customHeight="1" x14ac:dyDescent="0.25">
      <c r="B18" s="90" t="s">
        <v>26</v>
      </c>
      <c r="C18" s="96" t="s">
        <v>27</v>
      </c>
      <c r="D18" s="12" t="s">
        <v>130</v>
      </c>
    </row>
    <row r="19" spans="2:4" ht="135" customHeight="1" x14ac:dyDescent="0.25">
      <c r="C19" s="96" t="s">
        <v>7</v>
      </c>
      <c r="D19" s="26"/>
    </row>
    <row r="20" spans="2:4" ht="15" customHeight="1" x14ac:dyDescent="0.25"/>
  </sheetData>
  <sheetProtection algorithmName="SHA-512" hashValue="kGtQOFiBZnn++i94Egw4+OxFHI3CZ84ufWfe1gl7PSrlnzScSK5rGGGiNV8L2hJ1h/vfE9ZEpoB9c9Urv4esxg==" saltValue="t/OlrMgfS9ltotwLn4Qntw==" spinCount="100000" sheet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67BC042-E91A-4DFB-A228-4C85FFEA0CF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39.950000000000003" customHeight="1" x14ac:dyDescent="0.2"/>
  <cols>
    <col min="1" max="1" width="2.7109375" style="1" customWidth="1"/>
    <col min="2" max="2" width="8.7109375" style="1" customWidth="1"/>
    <col min="3" max="3" width="30.7109375" style="1" customWidth="1"/>
    <col min="4" max="123" width="12.7109375" style="1" customWidth="1"/>
    <col min="124" max="124" width="10.7109375" style="101" customWidth="1"/>
    <col min="125" max="125" width="14.7109375" style="22" customWidth="1"/>
    <col min="126" max="126" width="8.7109375" style="1" customWidth="1"/>
    <col min="127" max="127" width="24.7109375" style="1" customWidth="1"/>
    <col min="128" max="128" width="8.7109375" style="1" customWidth="1"/>
    <col min="129" max="129" width="16.7109375" style="1" customWidth="1"/>
    <col min="130" max="130" width="24.7109375" style="1" customWidth="1"/>
    <col min="131" max="131" width="65.7109375" style="1" customWidth="1"/>
    <col min="132" max="132" width="20.7109375" style="1" customWidth="1"/>
    <col min="133" max="133" width="14.7109375" style="1" customWidth="1"/>
    <col min="134" max="134" width="20.7109375" style="1" customWidth="1"/>
    <col min="135" max="135" width="2.7109375" style="1" customWidth="1"/>
    <col min="136" max="16384" width="9.140625" style="19" hidden="1"/>
  </cols>
  <sheetData>
    <row r="1" spans="1:135" s="114" customFormat="1" ht="6" customHeight="1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113" customFormat="1" ht="54.95" customHeight="1" x14ac:dyDescent="0.2">
      <c r="A2" s="3"/>
      <c r="B2" s="5" t="str">
        <f>设置!D9 &amp;" - 会员详细信息"</f>
        <v>Yi - 会员详细信息</v>
      </c>
      <c r="C2" s="3"/>
      <c r="D2" s="27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" customHeight="1" x14ac:dyDescent="0.25">
      <c r="DT3" s="1"/>
      <c r="DU3" s="1"/>
      <c r="EE3" s="11"/>
    </row>
    <row r="4" spans="1:135" ht="12" customHeight="1" x14ac:dyDescent="0.25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1"/>
    </row>
    <row r="5" spans="1:135" ht="8.1" customHeight="1" x14ac:dyDescent="0.25">
      <c r="DT5" s="1"/>
      <c r="DU5" s="1"/>
      <c r="EE5" s="11"/>
    </row>
    <row r="6" spans="1:135" ht="39.950000000000003" customHeight="1" x14ac:dyDescent="0.25">
      <c r="D6" s="10">
        <f>设置!F13</f>
        <v>1</v>
      </c>
      <c r="E6" s="112" t="str">
        <f>设置!F13 &amp;" - 历史记录"</f>
        <v>1 - 历史记录</v>
      </c>
      <c r="F6" s="112"/>
      <c r="G6" s="21">
        <f>设置!F14</f>
        <v>2</v>
      </c>
      <c r="H6" s="111" t="str">
        <f>设置!F14 &amp;" - 历史记录"</f>
        <v>2 - 历史记录</v>
      </c>
      <c r="I6" s="111"/>
      <c r="J6" s="10">
        <f>设置!F15</f>
        <v>3</v>
      </c>
      <c r="K6" s="112" t="str">
        <f>设置!F15 &amp;" - 历史记录"</f>
        <v>3 - 历史记录</v>
      </c>
      <c r="L6" s="112"/>
      <c r="M6" s="21">
        <f>设置!F16</f>
        <v>4</v>
      </c>
      <c r="N6" s="111" t="str">
        <f>设置!F16 &amp;" - 历史记录"</f>
        <v>4 - 历史记录</v>
      </c>
      <c r="O6" s="111"/>
      <c r="P6" s="10">
        <f>设置!F17</f>
        <v>5</v>
      </c>
      <c r="Q6" s="112" t="str">
        <f>设置!F17 &amp;" - 历史记录"</f>
        <v>5 - 历史记录</v>
      </c>
      <c r="R6" s="112"/>
      <c r="S6" s="21">
        <f>设置!F18</f>
        <v>6</v>
      </c>
      <c r="T6" s="111" t="str">
        <f>设置!F18 &amp;" - 历史记录"</f>
        <v>6 - 历史记录</v>
      </c>
      <c r="U6" s="111"/>
      <c r="V6" s="10">
        <f>设置!F19</f>
        <v>7</v>
      </c>
      <c r="W6" s="112" t="str">
        <f>设置!F19 &amp;" - 历史记录"</f>
        <v>7 - 历史记录</v>
      </c>
      <c r="X6" s="112"/>
      <c r="Y6" s="21">
        <f>设置!F20</f>
        <v>8</v>
      </c>
      <c r="Z6" s="111" t="str">
        <f>设置!F20 &amp;" - 历史记录"</f>
        <v>8 - 历史记录</v>
      </c>
      <c r="AA6" s="111"/>
      <c r="AB6" s="10">
        <f>设置!F21</f>
        <v>9</v>
      </c>
      <c r="AC6" s="112" t="str">
        <f>设置!F21 &amp;" - 历史记录"</f>
        <v>9 - 历史记录</v>
      </c>
      <c r="AD6" s="112"/>
      <c r="AE6" s="21">
        <f>设置!F22</f>
        <v>10</v>
      </c>
      <c r="AF6" s="111" t="str">
        <f>设置!F22 &amp;" - 历史记录"</f>
        <v>10 - 历史记录</v>
      </c>
      <c r="AG6" s="111"/>
      <c r="AH6" s="10">
        <f>设置!F23</f>
        <v>11</v>
      </c>
      <c r="AI6" s="112" t="str">
        <f>设置!F23 &amp;" - 历史记录"</f>
        <v>11 - 历史记录</v>
      </c>
      <c r="AJ6" s="112"/>
      <c r="AK6" s="21">
        <f>设置!F24</f>
        <v>12</v>
      </c>
      <c r="AL6" s="111" t="str">
        <f>设置!F24 &amp;" - 历史记录"</f>
        <v>12 - 历史记录</v>
      </c>
      <c r="AM6" s="111"/>
      <c r="AN6" s="10">
        <f>设置!F25</f>
        <v>13</v>
      </c>
      <c r="AO6" s="112" t="str">
        <f>设置!F25 &amp;" - 历史记录"</f>
        <v>13 - 历史记录</v>
      </c>
      <c r="AP6" s="112"/>
      <c r="AQ6" s="21">
        <f>设置!F26</f>
        <v>14</v>
      </c>
      <c r="AR6" s="111" t="str">
        <f>设置!F26 &amp;" - 历史记录"</f>
        <v>14 - 历史记录</v>
      </c>
      <c r="AS6" s="111"/>
      <c r="AT6" s="10">
        <f>设置!F27</f>
        <v>15</v>
      </c>
      <c r="AU6" s="112" t="str">
        <f>设置!F27 &amp;" - 历史记录"</f>
        <v>15 - 历史记录</v>
      </c>
      <c r="AV6" s="112"/>
      <c r="AW6" s="21">
        <f>设置!F28</f>
        <v>16</v>
      </c>
      <c r="AX6" s="111" t="str">
        <f>设置!F28 &amp;" - 历史记录"</f>
        <v>16 - 历史记录</v>
      </c>
      <c r="AY6" s="111"/>
      <c r="AZ6" s="10">
        <f>设置!F29</f>
        <v>17</v>
      </c>
      <c r="BA6" s="112" t="str">
        <f>设置!F29 &amp;" - 历史记录"</f>
        <v>17 - 历史记录</v>
      </c>
      <c r="BB6" s="112"/>
      <c r="BC6" s="21">
        <f>设置!F30</f>
        <v>18</v>
      </c>
      <c r="BD6" s="111" t="str">
        <f>设置!F30 &amp;" - 历史记录"</f>
        <v>18 - 历史记录</v>
      </c>
      <c r="BE6" s="111"/>
      <c r="BF6" s="10">
        <f>设置!F31</f>
        <v>19</v>
      </c>
      <c r="BG6" s="112" t="str">
        <f>设置!F31 &amp;" - 历史记录"</f>
        <v>19 - 历史记录</v>
      </c>
      <c r="BH6" s="112"/>
      <c r="BI6" s="21">
        <f>设置!F32</f>
        <v>20</v>
      </c>
      <c r="BJ6" s="111" t="str">
        <f>设置!F32 &amp;" - 历史记录"</f>
        <v>20 - 历史记录</v>
      </c>
      <c r="BK6" s="111"/>
      <c r="BL6" s="34">
        <f>设置!F33</f>
        <v>21</v>
      </c>
      <c r="BM6" s="110" t="str">
        <f>设置!F33 &amp;" - 历史记录"</f>
        <v>21 - 历史记录</v>
      </c>
      <c r="BN6" s="110"/>
      <c r="BO6" s="21">
        <f>设置!F34</f>
        <v>22</v>
      </c>
      <c r="BP6" s="111" t="str">
        <f>设置!F34 &amp;" - 历史记录"</f>
        <v>22 - 历史记录</v>
      </c>
      <c r="BQ6" s="111"/>
      <c r="BR6" s="34">
        <f>设置!F35</f>
        <v>23</v>
      </c>
      <c r="BS6" s="110" t="str">
        <f>设置!F35 &amp;" - 历史记录"</f>
        <v>23 - 历史记录</v>
      </c>
      <c r="BT6" s="110"/>
      <c r="BU6" s="21">
        <f>设置!F36</f>
        <v>24</v>
      </c>
      <c r="BV6" s="111" t="str">
        <f>设置!F36 &amp;" - 历史记录"</f>
        <v>24 - 历史记录</v>
      </c>
      <c r="BW6" s="111"/>
      <c r="BX6" s="34">
        <f>设置!F37</f>
        <v>25</v>
      </c>
      <c r="BY6" s="110" t="str">
        <f>设置!F37 &amp;" - 历史记录"</f>
        <v>25 - 历史记录</v>
      </c>
      <c r="BZ6" s="110"/>
      <c r="CA6" s="21">
        <f>设置!F38</f>
        <v>26</v>
      </c>
      <c r="CB6" s="111" t="str">
        <f>设置!F38 &amp;" - 历史记录"</f>
        <v>26 - 历史记录</v>
      </c>
      <c r="CC6" s="111"/>
      <c r="CD6" s="34">
        <f>设置!F39</f>
        <v>27</v>
      </c>
      <c r="CE6" s="110" t="str">
        <f>设置!F39 &amp;" - 历史记录"</f>
        <v>27 - 历史记录</v>
      </c>
      <c r="CF6" s="110"/>
      <c r="CG6" s="21">
        <f>设置!F40</f>
        <v>28</v>
      </c>
      <c r="CH6" s="111" t="str">
        <f>设置!F40 &amp;" - 历史记录"</f>
        <v>28 - 历史记录</v>
      </c>
      <c r="CI6" s="111"/>
      <c r="CJ6" s="34">
        <f>设置!F41</f>
        <v>29</v>
      </c>
      <c r="CK6" s="110" t="str">
        <f>设置!F41 &amp;" - 历史记录"</f>
        <v>29 - 历史记录</v>
      </c>
      <c r="CL6" s="110"/>
      <c r="CM6" s="21">
        <f>设置!F42</f>
        <v>30</v>
      </c>
      <c r="CN6" s="111" t="str">
        <f>设置!F42 &amp;" - 历史记录"</f>
        <v>30 - 历史记录</v>
      </c>
      <c r="CO6" s="111"/>
      <c r="CP6" s="34">
        <f>设置!F43</f>
        <v>31</v>
      </c>
      <c r="CQ6" s="110" t="str">
        <f>设置!F43 &amp;" - 历史记录"</f>
        <v>31 - 历史记录</v>
      </c>
      <c r="CR6" s="110"/>
      <c r="CS6" s="21">
        <f>设置!F44</f>
        <v>32</v>
      </c>
      <c r="CT6" s="111" t="str">
        <f>设置!F44 &amp;" - 历史记录"</f>
        <v>32 - 历史记录</v>
      </c>
      <c r="CU6" s="111"/>
      <c r="CV6" s="34">
        <f>设置!F45</f>
        <v>33</v>
      </c>
      <c r="CW6" s="110" t="str">
        <f>设置!F45 &amp;" - 历史记录"</f>
        <v>33 - 历史记录</v>
      </c>
      <c r="CX6" s="110"/>
      <c r="CY6" s="21">
        <f>设置!F46</f>
        <v>34</v>
      </c>
      <c r="CZ6" s="111" t="str">
        <f>设置!F46 &amp;" - 历史记录"</f>
        <v>34 - 历史记录</v>
      </c>
      <c r="DA6" s="111"/>
      <c r="DB6" s="34">
        <f>设置!F47</f>
        <v>35</v>
      </c>
      <c r="DC6" s="110" t="str">
        <f>设置!F47 &amp;" - 历史记录"</f>
        <v>35 - 历史记录</v>
      </c>
      <c r="DD6" s="110"/>
      <c r="DE6" s="21">
        <f>设置!F48</f>
        <v>36</v>
      </c>
      <c r="DF6" s="111" t="str">
        <f>设置!F48 &amp;" - 历史记录"</f>
        <v>36 - 历史记录</v>
      </c>
      <c r="DG6" s="111"/>
      <c r="DH6" s="34">
        <f>设置!F49</f>
        <v>37</v>
      </c>
      <c r="DI6" s="110" t="str">
        <f>设置!F49 &amp;" - 历史记录"</f>
        <v>37 - 历史记录</v>
      </c>
      <c r="DJ6" s="110"/>
      <c r="DK6" s="21">
        <f>设置!F50</f>
        <v>38</v>
      </c>
      <c r="DL6" s="111" t="str">
        <f>设置!F50 &amp;" - 历史记录"</f>
        <v>38 - 历史记录</v>
      </c>
      <c r="DM6" s="111"/>
      <c r="DN6" s="34">
        <f>设置!F51</f>
        <v>39</v>
      </c>
      <c r="DO6" s="110" t="str">
        <f>设置!F51 &amp;" - 历史记录"</f>
        <v>39 - 历史记录</v>
      </c>
      <c r="DP6" s="110"/>
      <c r="DQ6" s="21">
        <f>设置!F52</f>
        <v>40</v>
      </c>
      <c r="DR6" s="111" t="str">
        <f>设置!F52 &amp;" - 历史记录"</f>
        <v>40 - 历史记录</v>
      </c>
      <c r="DS6" s="111"/>
      <c r="DT6" s="112" t="s">
        <v>73</v>
      </c>
      <c r="DU6" s="112"/>
      <c r="DV6" s="112"/>
      <c r="DW6" s="112"/>
      <c r="DX6" s="112"/>
      <c r="DY6" s="112" t="s">
        <v>91</v>
      </c>
      <c r="DZ6" s="112"/>
      <c r="EA6" s="112"/>
      <c r="EB6" s="112" t="s">
        <v>83</v>
      </c>
      <c r="EC6" s="112"/>
      <c r="ED6" s="18"/>
      <c r="EE6" s="11"/>
    </row>
    <row r="7" spans="1:135" ht="8.1" customHeight="1" x14ac:dyDescent="0.25">
      <c r="DT7" s="1"/>
      <c r="DU7" s="1"/>
      <c r="EE7" s="11"/>
    </row>
    <row r="8" spans="1:135" ht="39.950000000000003" customHeight="1" x14ac:dyDescent="0.25">
      <c r="A8" s="19"/>
      <c r="B8" s="8" t="s">
        <v>0</v>
      </c>
      <c r="C8" s="8" t="s">
        <v>3</v>
      </c>
      <c r="D8" s="8" t="s">
        <v>128</v>
      </c>
      <c r="E8" s="8" t="s">
        <v>82</v>
      </c>
      <c r="F8" s="8" t="s">
        <v>81</v>
      </c>
      <c r="G8" s="8" t="s">
        <v>72</v>
      </c>
      <c r="H8" s="8" t="s">
        <v>80</v>
      </c>
      <c r="I8" s="8" t="s">
        <v>79</v>
      </c>
      <c r="J8" s="8" t="s">
        <v>59</v>
      </c>
      <c r="K8" s="8" t="s">
        <v>43</v>
      </c>
      <c r="L8" s="8" t="s">
        <v>78</v>
      </c>
      <c r="M8" s="8" t="s">
        <v>60</v>
      </c>
      <c r="N8" s="8" t="s">
        <v>44</v>
      </c>
      <c r="O8" s="8" t="s">
        <v>77</v>
      </c>
      <c r="P8" s="8" t="s">
        <v>61</v>
      </c>
      <c r="Q8" s="8" t="s">
        <v>45</v>
      </c>
      <c r="R8" s="8" t="s">
        <v>76</v>
      </c>
      <c r="S8" s="8" t="s">
        <v>62</v>
      </c>
      <c r="T8" s="8" t="s">
        <v>46</v>
      </c>
      <c r="U8" s="8" t="s">
        <v>69</v>
      </c>
      <c r="V8" s="8" t="s">
        <v>63</v>
      </c>
      <c r="W8" s="8" t="s">
        <v>47</v>
      </c>
      <c r="X8" s="8" t="s">
        <v>52</v>
      </c>
      <c r="Y8" s="8" t="s">
        <v>64</v>
      </c>
      <c r="Z8" s="8" t="s">
        <v>48</v>
      </c>
      <c r="AA8" s="8" t="s">
        <v>53</v>
      </c>
      <c r="AB8" s="8" t="s">
        <v>65</v>
      </c>
      <c r="AC8" s="8" t="s">
        <v>49</v>
      </c>
      <c r="AD8" s="8" t="s">
        <v>54</v>
      </c>
      <c r="AE8" s="8" t="s">
        <v>66</v>
      </c>
      <c r="AF8" s="8" t="s">
        <v>50</v>
      </c>
      <c r="AG8" s="8" t="s">
        <v>55</v>
      </c>
      <c r="AH8" s="8" t="s">
        <v>67</v>
      </c>
      <c r="AI8" s="8" t="s">
        <v>51</v>
      </c>
      <c r="AJ8" s="8" t="s">
        <v>56</v>
      </c>
      <c r="AK8" s="8" t="s">
        <v>68</v>
      </c>
      <c r="AL8" s="8" t="s">
        <v>57</v>
      </c>
      <c r="AM8" s="8" t="s">
        <v>58</v>
      </c>
      <c r="AN8" s="8" t="s">
        <v>103</v>
      </c>
      <c r="AO8" s="8" t="s">
        <v>104</v>
      </c>
      <c r="AP8" s="8" t="s">
        <v>102</v>
      </c>
      <c r="AQ8" s="8" t="s">
        <v>107</v>
      </c>
      <c r="AR8" s="8" t="s">
        <v>106</v>
      </c>
      <c r="AS8" s="8" t="s">
        <v>105</v>
      </c>
      <c r="AT8" s="8" t="s">
        <v>113</v>
      </c>
      <c r="AU8" s="8" t="s">
        <v>112</v>
      </c>
      <c r="AV8" s="8" t="s">
        <v>110</v>
      </c>
      <c r="AW8" s="8" t="s">
        <v>109</v>
      </c>
      <c r="AX8" s="8" t="s">
        <v>108</v>
      </c>
      <c r="AY8" s="8" t="s">
        <v>111</v>
      </c>
      <c r="AZ8" s="8" t="s">
        <v>116</v>
      </c>
      <c r="BA8" s="8" t="s">
        <v>115</v>
      </c>
      <c r="BB8" s="8" t="s">
        <v>114</v>
      </c>
      <c r="BC8" s="8" t="s">
        <v>117</v>
      </c>
      <c r="BD8" s="8" t="s">
        <v>118</v>
      </c>
      <c r="BE8" s="8" t="s">
        <v>119</v>
      </c>
      <c r="BF8" s="8" t="s">
        <v>120</v>
      </c>
      <c r="BG8" s="8" t="s">
        <v>121</v>
      </c>
      <c r="BH8" s="8" t="s">
        <v>122</v>
      </c>
      <c r="BI8" s="8" t="s">
        <v>123</v>
      </c>
      <c r="BJ8" s="8" t="s">
        <v>124</v>
      </c>
      <c r="BK8" s="8" t="s">
        <v>125</v>
      </c>
      <c r="BL8" s="8" t="s">
        <v>165</v>
      </c>
      <c r="BM8" s="8" t="s">
        <v>166</v>
      </c>
      <c r="BN8" s="8" t="s">
        <v>164</v>
      </c>
      <c r="BO8" s="8" t="s">
        <v>167</v>
      </c>
      <c r="BP8" s="8" t="s">
        <v>168</v>
      </c>
      <c r="BQ8" s="8" t="s">
        <v>169</v>
      </c>
      <c r="BR8" s="8" t="s">
        <v>170</v>
      </c>
      <c r="BS8" s="8" t="s">
        <v>171</v>
      </c>
      <c r="BT8" s="8" t="s">
        <v>172</v>
      </c>
      <c r="BU8" s="8" t="s">
        <v>173</v>
      </c>
      <c r="BV8" s="8" t="s">
        <v>174</v>
      </c>
      <c r="BW8" s="8" t="s">
        <v>175</v>
      </c>
      <c r="BX8" s="8" t="s">
        <v>176</v>
      </c>
      <c r="BY8" s="8" t="s">
        <v>177</v>
      </c>
      <c r="BZ8" s="8" t="s">
        <v>178</v>
      </c>
      <c r="CA8" s="8" t="s">
        <v>179</v>
      </c>
      <c r="CB8" s="8" t="s">
        <v>180</v>
      </c>
      <c r="CC8" s="8" t="s">
        <v>181</v>
      </c>
      <c r="CD8" s="8" t="s">
        <v>182</v>
      </c>
      <c r="CE8" s="8" t="s">
        <v>183</v>
      </c>
      <c r="CF8" s="8" t="s">
        <v>184</v>
      </c>
      <c r="CG8" s="8" t="s">
        <v>185</v>
      </c>
      <c r="CH8" s="8" t="s">
        <v>186</v>
      </c>
      <c r="CI8" s="8" t="s">
        <v>187</v>
      </c>
      <c r="CJ8" s="8" t="s">
        <v>188</v>
      </c>
      <c r="CK8" s="8" t="s">
        <v>189</v>
      </c>
      <c r="CL8" s="8" t="s">
        <v>190</v>
      </c>
      <c r="CM8" s="8" t="s">
        <v>191</v>
      </c>
      <c r="CN8" s="8" t="s">
        <v>192</v>
      </c>
      <c r="CO8" s="8" t="s">
        <v>193</v>
      </c>
      <c r="CP8" s="8" t="s">
        <v>194</v>
      </c>
      <c r="CQ8" s="8" t="s">
        <v>195</v>
      </c>
      <c r="CR8" s="8" t="s">
        <v>196</v>
      </c>
      <c r="CS8" s="8" t="s">
        <v>197</v>
      </c>
      <c r="CT8" s="8" t="s">
        <v>198</v>
      </c>
      <c r="CU8" s="8" t="s">
        <v>199</v>
      </c>
      <c r="CV8" s="8" t="s">
        <v>200</v>
      </c>
      <c r="CW8" s="8" t="s">
        <v>201</v>
      </c>
      <c r="CX8" s="8" t="s">
        <v>202</v>
      </c>
      <c r="CY8" s="8" t="s">
        <v>203</v>
      </c>
      <c r="CZ8" s="8" t="s">
        <v>204</v>
      </c>
      <c r="DA8" s="8" t="s">
        <v>205</v>
      </c>
      <c r="DB8" s="8" t="s">
        <v>206</v>
      </c>
      <c r="DC8" s="8" t="s">
        <v>207</v>
      </c>
      <c r="DD8" s="8" t="s">
        <v>208</v>
      </c>
      <c r="DE8" s="8" t="s">
        <v>209</v>
      </c>
      <c r="DF8" s="8" t="s">
        <v>210</v>
      </c>
      <c r="DG8" s="8" t="s">
        <v>211</v>
      </c>
      <c r="DH8" s="8" t="s">
        <v>213</v>
      </c>
      <c r="DI8" s="8" t="s">
        <v>214</v>
      </c>
      <c r="DJ8" s="8" t="s">
        <v>212</v>
      </c>
      <c r="DK8" s="8" t="s">
        <v>215</v>
      </c>
      <c r="DL8" s="8" t="s">
        <v>216</v>
      </c>
      <c r="DM8" s="8" t="s">
        <v>217</v>
      </c>
      <c r="DN8" s="8" t="s">
        <v>218</v>
      </c>
      <c r="DO8" s="8" t="s">
        <v>219</v>
      </c>
      <c r="DP8" s="8" t="s">
        <v>220</v>
      </c>
      <c r="DQ8" s="8" t="s">
        <v>221</v>
      </c>
      <c r="DR8" s="8" t="s">
        <v>222</v>
      </c>
      <c r="DS8" s="8" t="s">
        <v>223</v>
      </c>
      <c r="DT8" s="8" t="s">
        <v>28</v>
      </c>
      <c r="DU8" s="8" t="s">
        <v>29</v>
      </c>
      <c r="DV8" s="8" t="s">
        <v>1</v>
      </c>
      <c r="DW8" s="8" t="s">
        <v>22</v>
      </c>
      <c r="DX8" s="8" t="s">
        <v>21</v>
      </c>
      <c r="DY8" s="8" t="s">
        <v>2</v>
      </c>
      <c r="DZ8" s="14" t="s">
        <v>23</v>
      </c>
      <c r="EA8" s="14" t="s">
        <v>24</v>
      </c>
      <c r="EB8" s="14" t="s">
        <v>74</v>
      </c>
      <c r="EC8" s="14" t="s">
        <v>75</v>
      </c>
      <c r="ED8" s="14" t="s">
        <v>7</v>
      </c>
      <c r="EE8" s="11"/>
    </row>
    <row r="9" spans="1:135" ht="39.950000000000003" customHeight="1" x14ac:dyDescent="0.25">
      <c r="B9" s="29" cm="1">
        <f t="array" ref="B9">SN</f>
        <v>1</v>
      </c>
      <c r="C9" s="53" t="str" cm="1">
        <f t="array" ref="C9">GUID</f>
        <v>冯毅 | 男</v>
      </c>
      <c r="D9" s="30" cm="1">
        <f t="array" ref="D9">Get_1_Calc</f>
        <v>0</v>
      </c>
      <c r="E9" s="29" cm="1">
        <f t="array" ref="E9">Get_1_Add</f>
        <v>0</v>
      </c>
      <c r="F9" s="29" cm="1">
        <f t="array" ref="F9">Get_1_Del</f>
        <v>0</v>
      </c>
      <c r="G9" s="30" cm="1">
        <f t="array" ref="G9">Get_2_Calc</f>
        <v>0</v>
      </c>
      <c r="H9" s="29" cm="1">
        <f t="array" ref="H9">Get_2_Add</f>
        <v>0</v>
      </c>
      <c r="I9" s="29" cm="1">
        <f t="array" ref="I9">Get_2_Del</f>
        <v>0</v>
      </c>
      <c r="J9" s="30" cm="1">
        <f t="array" ref="J9">Get_3_Calc</f>
        <v>0</v>
      </c>
      <c r="K9" s="29" cm="1">
        <f t="array" ref="K9">Get_3_Add</f>
        <v>0</v>
      </c>
      <c r="L9" s="29" cm="1">
        <f t="array" ref="L9">Get_3_Del</f>
        <v>0</v>
      </c>
      <c r="M9" s="30" cm="1">
        <f t="array" ref="M9">Get_4_Calc</f>
        <v>0</v>
      </c>
      <c r="N9" s="29" cm="1">
        <f t="array" ref="N9">Get_4_Add</f>
        <v>0</v>
      </c>
      <c r="O9" s="29" cm="1">
        <f t="array" ref="O9">Get_4_Del</f>
        <v>0</v>
      </c>
      <c r="P9" s="30" cm="1">
        <f t="array" ref="P9">Get_5_Calc</f>
        <v>0</v>
      </c>
      <c r="Q9" s="29" cm="1">
        <f t="array" ref="Q9">Get_5_Add</f>
        <v>0</v>
      </c>
      <c r="R9" s="29" cm="1">
        <f t="array" ref="R9">Get_5_Del</f>
        <v>0</v>
      </c>
      <c r="S9" s="30" cm="1">
        <f t="array" ref="S9">Get_6_Calc</f>
        <v>0</v>
      </c>
      <c r="T9" s="29" cm="1">
        <f t="array" ref="T9">Get_6_Add</f>
        <v>0</v>
      </c>
      <c r="U9" s="29" cm="1">
        <f t="array" ref="U9">Get_6_Del</f>
        <v>0</v>
      </c>
      <c r="V9" s="30" cm="1">
        <f t="array" ref="V9">Get_7_Calc</f>
        <v>0</v>
      </c>
      <c r="W9" s="29" cm="1">
        <f t="array" ref="W9">Get_7_Add</f>
        <v>0</v>
      </c>
      <c r="X9" s="29" cm="1">
        <f t="array" ref="X9">Get_7_Del</f>
        <v>0</v>
      </c>
      <c r="Y9" s="30" cm="1">
        <f t="array" ref="Y9">Get_8_Calc</f>
        <v>0</v>
      </c>
      <c r="Z9" s="29" cm="1">
        <f t="array" ref="Z9">Get_8_Add</f>
        <v>0</v>
      </c>
      <c r="AA9" s="29" cm="1">
        <f t="array" ref="AA9">Get_8_Del</f>
        <v>0</v>
      </c>
      <c r="AB9" s="30" cm="1">
        <f t="array" ref="AB9">Get_9_Calc</f>
        <v>0</v>
      </c>
      <c r="AC9" s="29" cm="1">
        <f t="array" ref="AC9">Get_9_Add</f>
        <v>0</v>
      </c>
      <c r="AD9" s="29" cm="1">
        <f t="array" ref="AD9">Get_9_Del</f>
        <v>0</v>
      </c>
      <c r="AE9" s="30" cm="1">
        <f t="array" ref="AE9">Get_10_Calc</f>
        <v>0</v>
      </c>
      <c r="AF9" s="29" cm="1">
        <f t="array" ref="AF9">Get_10_Add</f>
        <v>0</v>
      </c>
      <c r="AG9" s="29" cm="1">
        <f t="array" ref="AG9">Get_10_Del</f>
        <v>0</v>
      </c>
      <c r="AH9" s="30" cm="1">
        <f t="array" ref="AH9">Get_11_Calc</f>
        <v>0</v>
      </c>
      <c r="AI9" s="29" cm="1">
        <f t="array" ref="AI9">Get_11_Add</f>
        <v>0</v>
      </c>
      <c r="AJ9" s="29" cm="1">
        <f t="array" ref="AJ9">Get_11_Del</f>
        <v>0</v>
      </c>
      <c r="AK9" s="30" cm="1">
        <f t="array" ref="AK9">Get_12_Calc</f>
        <v>0</v>
      </c>
      <c r="AL9" s="29" cm="1">
        <f t="array" ref="AL9">Get_12_Add</f>
        <v>0</v>
      </c>
      <c r="AM9" s="29" cm="1">
        <f t="array" ref="AM9">Get_12_Del</f>
        <v>0</v>
      </c>
      <c r="AN9" s="30" cm="1">
        <f t="array" ref="AN9">Get_13_Calc</f>
        <v>0</v>
      </c>
      <c r="AO9" s="29" cm="1">
        <f t="array" ref="AO9">Get_13_Add</f>
        <v>0</v>
      </c>
      <c r="AP9" s="29" cm="1">
        <f t="array" ref="AP9">Get_13_Del</f>
        <v>0</v>
      </c>
      <c r="AQ9" s="30" cm="1">
        <f t="array" ref="AQ9">Get_14_Calc</f>
        <v>0</v>
      </c>
      <c r="AR9" s="29" cm="1">
        <f t="array" ref="AR9">Get_14_Add</f>
        <v>0</v>
      </c>
      <c r="AS9" s="29" cm="1">
        <f t="array" ref="AS9">Get_14_Del</f>
        <v>0</v>
      </c>
      <c r="AT9" s="30" cm="1">
        <f t="array" ref="AT9">Get_15_Calc</f>
        <v>0</v>
      </c>
      <c r="AU9" s="29" cm="1">
        <f t="array" ref="AU9">Get_15_Add</f>
        <v>0</v>
      </c>
      <c r="AV9" s="29" cm="1">
        <f t="array" ref="AV9">Get_15_Del</f>
        <v>0</v>
      </c>
      <c r="AW9" s="30" cm="1">
        <f t="array" ref="AW9">Get_16_Calc</f>
        <v>0</v>
      </c>
      <c r="AX9" s="29" cm="1">
        <f t="array" ref="AX9">Get_16_Add</f>
        <v>0</v>
      </c>
      <c r="AY9" s="29" cm="1">
        <f t="array" ref="AY9">Get_16_Del</f>
        <v>0</v>
      </c>
      <c r="AZ9" s="30" cm="1">
        <f t="array" ref="AZ9">Get_17_Calc</f>
        <v>0</v>
      </c>
      <c r="BA9" s="29" cm="1">
        <f t="array" ref="BA9">Get_17_Add</f>
        <v>0</v>
      </c>
      <c r="BB9" s="29" cm="1">
        <f t="array" ref="BB9">Get_17_Del</f>
        <v>0</v>
      </c>
      <c r="BC9" s="30" cm="1">
        <f t="array" ref="BC9">Get_18_Calc</f>
        <v>0</v>
      </c>
      <c r="BD9" s="29" cm="1">
        <f t="array" ref="BD9">Get_18_Add</f>
        <v>0</v>
      </c>
      <c r="BE9" s="29" cm="1">
        <f t="array" ref="BE9">Get_18_Del</f>
        <v>0</v>
      </c>
      <c r="BF9" s="30" cm="1">
        <f t="array" ref="BF9">Get_19_Calc</f>
        <v>0</v>
      </c>
      <c r="BG9" s="29" cm="1">
        <f t="array" ref="BG9">Get_19_Add</f>
        <v>0</v>
      </c>
      <c r="BH9" s="29" cm="1">
        <f t="array" ref="BH9">Get_19_Del</f>
        <v>0</v>
      </c>
      <c r="BI9" s="30" cm="1">
        <f t="array" ref="BI9">Get_20_Calc</f>
        <v>0</v>
      </c>
      <c r="BJ9" s="29" cm="1">
        <f t="array" ref="BJ9">Get_20_Add</f>
        <v>0</v>
      </c>
      <c r="BK9" s="29" cm="1">
        <f t="array" ref="BK9">Get_20_Del</f>
        <v>0</v>
      </c>
      <c r="BL9" s="29" cm="1">
        <f t="array" ref="BL9">Get_21_Calc</f>
        <v>0</v>
      </c>
      <c r="BM9" s="29" cm="1">
        <f t="array" ref="BM9">Get_21_Add</f>
        <v>0</v>
      </c>
      <c r="BN9" s="29" cm="1">
        <f t="array" ref="BN9">Get_21_Del</f>
        <v>0</v>
      </c>
      <c r="BO9" s="29" cm="1">
        <f t="array" ref="BO9">Get_22_Calc</f>
        <v>0</v>
      </c>
      <c r="BP9" s="29" cm="1">
        <f t="array" ref="BP9">Get_22_Add</f>
        <v>0</v>
      </c>
      <c r="BQ9" s="29" cm="1">
        <f t="array" ref="BQ9">Get_22_Del</f>
        <v>0</v>
      </c>
      <c r="BR9" s="29" cm="1">
        <f t="array" ref="BR9">Get_23_Calc</f>
        <v>0</v>
      </c>
      <c r="BS9" s="29" cm="1">
        <f t="array" ref="BS9">Get_23_Add</f>
        <v>0</v>
      </c>
      <c r="BT9" s="29" cm="1">
        <f t="array" ref="BT9">Get_23_Del</f>
        <v>0</v>
      </c>
      <c r="BU9" s="29" cm="1">
        <f t="array" ref="BU9">Get_24_Calc</f>
        <v>0</v>
      </c>
      <c r="BV9" s="29" cm="1">
        <f t="array" ref="BV9">Get_24_Add</f>
        <v>0</v>
      </c>
      <c r="BW9" s="29" cm="1">
        <f t="array" ref="BW9">Get_24_Del</f>
        <v>0</v>
      </c>
      <c r="BX9" s="29" cm="1">
        <f t="array" ref="BX9">Get_25_Calc</f>
        <v>0</v>
      </c>
      <c r="BY9" s="29" cm="1">
        <f t="array" ref="BY9">Get_25_Add</f>
        <v>0</v>
      </c>
      <c r="BZ9" s="29" cm="1">
        <f t="array" ref="BZ9">Get_25_Del</f>
        <v>0</v>
      </c>
      <c r="CA9" s="29" cm="1">
        <f t="array" ref="CA9">Get_26_Calc</f>
        <v>0</v>
      </c>
      <c r="CB9" s="29" cm="1">
        <f t="array" ref="CB9">Get_26_Add</f>
        <v>0</v>
      </c>
      <c r="CC9" s="29" cm="1">
        <f t="array" ref="CC9">Get_26_Del</f>
        <v>0</v>
      </c>
      <c r="CD9" s="29" cm="1">
        <f t="array" ref="CD9">Get_27_Calc</f>
        <v>0</v>
      </c>
      <c r="CE9" s="29" cm="1">
        <f t="array" ref="CE9">Get_27_Add</f>
        <v>0</v>
      </c>
      <c r="CF9" s="29" cm="1">
        <f t="array" ref="CF9">Get_27_Del</f>
        <v>0</v>
      </c>
      <c r="CG9" s="29" cm="1">
        <f t="array" ref="CG9">Get_28_Calc</f>
        <v>0</v>
      </c>
      <c r="CH9" s="29" cm="1">
        <f t="array" ref="CH9">Get_28_Add</f>
        <v>0</v>
      </c>
      <c r="CI9" s="29" cm="1">
        <f t="array" ref="CI9">Get_28_Del</f>
        <v>0</v>
      </c>
      <c r="CJ9" s="29" cm="1">
        <f t="array" ref="CJ9">Get_29_Calc</f>
        <v>0</v>
      </c>
      <c r="CK9" s="29" cm="1">
        <f t="array" ref="CK9">Get_29_Add</f>
        <v>0</v>
      </c>
      <c r="CL9" s="29" cm="1">
        <f t="array" ref="CL9">Get_29_Del</f>
        <v>0</v>
      </c>
      <c r="CM9" s="29" cm="1">
        <f t="array" ref="CM9">Get_30_Calc</f>
        <v>0</v>
      </c>
      <c r="CN9" s="29" cm="1">
        <f t="array" ref="CN9">Get_30_Add</f>
        <v>0</v>
      </c>
      <c r="CO9" s="29" cm="1">
        <f t="array" ref="CO9">Get_30_Del</f>
        <v>0</v>
      </c>
      <c r="CP9" s="29" cm="1">
        <f t="array" ref="CP9">Get_31_Calc</f>
        <v>0</v>
      </c>
      <c r="CQ9" s="29" cm="1">
        <f t="array" ref="CQ9">Get_31_Add</f>
        <v>0</v>
      </c>
      <c r="CR9" s="29" cm="1">
        <f t="array" ref="CR9">Get_31_Del</f>
        <v>0</v>
      </c>
      <c r="CS9" s="29" cm="1">
        <f t="array" ref="CS9">Get_32_Calc</f>
        <v>0</v>
      </c>
      <c r="CT9" s="29" cm="1">
        <f t="array" ref="CT9">Get_32_Add</f>
        <v>0</v>
      </c>
      <c r="CU9" s="29" cm="1">
        <f t="array" ref="CU9">Get_32_Del</f>
        <v>0</v>
      </c>
      <c r="CV9" s="29" cm="1">
        <f t="array" ref="CV9">Get_33_Calc</f>
        <v>0</v>
      </c>
      <c r="CW9" s="29" cm="1">
        <f t="array" ref="CW9">Get_33_Add</f>
        <v>0</v>
      </c>
      <c r="CX9" s="29" cm="1">
        <f t="array" ref="CX9">Get_33_Del</f>
        <v>0</v>
      </c>
      <c r="CY9" s="29" cm="1">
        <f t="array" ref="CY9">Get_34_Calc</f>
        <v>0</v>
      </c>
      <c r="CZ9" s="29" cm="1">
        <f t="array" ref="CZ9">Get_34_Add</f>
        <v>0</v>
      </c>
      <c r="DA9" s="29" cm="1">
        <f t="array" ref="DA9">Get_34_Del</f>
        <v>0</v>
      </c>
      <c r="DB9" s="29" cm="1">
        <f t="array" ref="DB9">Get_35_Calc</f>
        <v>0</v>
      </c>
      <c r="DC9" s="29" cm="1">
        <f t="array" ref="DC9">Get_35_Add</f>
        <v>0</v>
      </c>
      <c r="DD9" s="29" cm="1">
        <f t="array" ref="DD9">Get_35_Del</f>
        <v>0</v>
      </c>
      <c r="DE9" s="29" cm="1">
        <f t="array" ref="DE9">Get_36_Calc</f>
        <v>0</v>
      </c>
      <c r="DF9" s="29" cm="1">
        <f t="array" ref="DF9">Get_36_Add</f>
        <v>0</v>
      </c>
      <c r="DG9" s="29" cm="1">
        <f t="array" ref="DG9">Get_36_Del</f>
        <v>0</v>
      </c>
      <c r="DH9" s="29" cm="1">
        <f t="array" ref="DH9">Get_37_Calc</f>
        <v>0</v>
      </c>
      <c r="DI9" s="29" cm="1">
        <f t="array" ref="DI9">Get_37_Add</f>
        <v>0</v>
      </c>
      <c r="DJ9" s="29" cm="1">
        <f t="array" ref="DJ9">Get_37_Del</f>
        <v>0</v>
      </c>
      <c r="DK9" s="29" cm="1">
        <f t="array" ref="DK9">Get_38_Calc</f>
        <v>0</v>
      </c>
      <c r="DL9" s="29" cm="1">
        <f t="array" ref="DL9">Get_38_Add</f>
        <v>0</v>
      </c>
      <c r="DM9" s="29" cm="1">
        <f t="array" ref="DM9">Get_38_Del</f>
        <v>0</v>
      </c>
      <c r="DN9" s="29" cm="1">
        <f t="array" ref="DN9">Get_39_Calc</f>
        <v>0</v>
      </c>
      <c r="DO9" s="29" cm="1">
        <f t="array" ref="DO9">Get_39_Add</f>
        <v>0</v>
      </c>
      <c r="DP9" s="29" cm="1">
        <f t="array" ref="DP9">Get_39_Del</f>
        <v>0</v>
      </c>
      <c r="DQ9" s="29" cm="1">
        <f t="array" ref="DQ9">Get_40_Calc</f>
        <v>0</v>
      </c>
      <c r="DR9" s="29" cm="1">
        <f t="array" ref="DR9">Get_40_Add</f>
        <v>0</v>
      </c>
      <c r="DS9" s="29" cm="1">
        <f t="array" ref="DS9">Get_40_Del</f>
        <v>0</v>
      </c>
      <c r="DT9" s="54" t="s">
        <v>237</v>
      </c>
      <c r="DU9" s="55" t="s">
        <v>238</v>
      </c>
      <c r="DV9" s="56" t="s">
        <v>10</v>
      </c>
      <c r="DW9" s="56" t="s">
        <v>130</v>
      </c>
      <c r="DX9" s="29"/>
      <c r="DY9" s="31"/>
      <c r="DZ9" s="56" t="s">
        <v>130</v>
      </c>
      <c r="EA9" s="56" t="s">
        <v>130</v>
      </c>
      <c r="EB9" s="24">
        <v>45268.505555555559</v>
      </c>
      <c r="EC9" s="56"/>
      <c r="ED9" s="56" t="s">
        <v>130</v>
      </c>
      <c r="EE9" s="11"/>
    </row>
  </sheetData>
  <sheetProtection deleteRows="0" selectLockedCells="1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9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whole" operator="greaterThanOrEqual" allowBlank="1" showInputMessage="1" showErrorMessage="1" sqref="DX9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161925</xdr:colOff>
                    <xdr:row>5</xdr:row>
                    <xdr:rowOff>57150</xdr:rowOff>
                  </from>
                  <to>
                    <xdr:col>2</xdr:col>
                    <xdr:colOff>895350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1133475</xdr:colOff>
                    <xdr:row>5</xdr:row>
                    <xdr:rowOff>57150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zoomScaleNormal="100" workbookViewId="0">
      <pane xSplit="3" ySplit="8" topLeftCell="AJ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20" customWidth="1"/>
    <col min="4" max="43" width="12.7109375" style="22" customWidth="1"/>
    <col min="44" max="44" width="10.7109375" style="1" customWidth="1"/>
    <col min="45" max="45" width="20.7109375" style="25" customWidth="1"/>
    <col min="46" max="46" width="12.7109375" style="1" customWidth="1"/>
    <col min="47" max="47" width="20.7109375" style="1" customWidth="1"/>
    <col min="48" max="48" width="10.7109375" style="101" customWidth="1"/>
    <col min="49" max="49" width="14.7109375" style="22" customWidth="1"/>
    <col min="50" max="50" width="8.7109375" style="1" customWidth="1"/>
    <col min="51" max="51" width="16.7109375" style="1" customWidth="1"/>
    <col min="52" max="52" width="2.7109375" style="1" customWidth="1"/>
    <col min="53" max="53" width="9.140625" style="1" hidden="1" customWidth="1"/>
    <col min="54" max="16384" width="9.140625" style="1" hidden="1"/>
  </cols>
  <sheetData>
    <row r="1" spans="2:51" s="7" customFormat="1" ht="6" customHeight="1" x14ac:dyDescent="0.25"/>
    <row r="2" spans="2:51" s="3" customFormat="1" ht="54.95" customHeight="1" x14ac:dyDescent="0.25">
      <c r="B2" s="5" t="str">
        <f>设置!D9 &amp;" - 历史记录"</f>
        <v>Yi - 历史记录</v>
      </c>
      <c r="D2" s="23"/>
      <c r="AV2" s="9"/>
      <c r="AW2" s="9"/>
      <c r="AX2" s="9"/>
      <c r="AY2" s="9"/>
    </row>
    <row r="3" spans="2:51" ht="8.1" customHeight="1" x14ac:dyDescent="0.25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25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" customHeight="1" x14ac:dyDescent="0.25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39.950000000000003" customHeight="1" x14ac:dyDescent="0.25">
      <c r="D6" s="10">
        <f>设置!F13</f>
        <v>1</v>
      </c>
      <c r="E6" s="10">
        <f>设置!F14</f>
        <v>2</v>
      </c>
      <c r="F6" s="10">
        <f>设置!F15</f>
        <v>3</v>
      </c>
      <c r="G6" s="10">
        <f>设置!F16</f>
        <v>4</v>
      </c>
      <c r="H6" s="10">
        <f>设置!F17</f>
        <v>5</v>
      </c>
      <c r="I6" s="10">
        <f>设置!F18</f>
        <v>6</v>
      </c>
      <c r="J6" s="10">
        <f>设置!F19</f>
        <v>7</v>
      </c>
      <c r="K6" s="10">
        <f>设置!F20</f>
        <v>8</v>
      </c>
      <c r="L6" s="10">
        <f>设置!F21</f>
        <v>9</v>
      </c>
      <c r="M6" s="10">
        <f>设置!F22</f>
        <v>10</v>
      </c>
      <c r="N6" s="10">
        <f>设置!F23</f>
        <v>11</v>
      </c>
      <c r="O6" s="10">
        <f>设置!F24</f>
        <v>12</v>
      </c>
      <c r="P6" s="10">
        <f>设置!F25</f>
        <v>13</v>
      </c>
      <c r="Q6" s="10">
        <f>设置!F26</f>
        <v>14</v>
      </c>
      <c r="R6" s="10">
        <f>设置!F27</f>
        <v>15</v>
      </c>
      <c r="S6" s="10">
        <f>设置!F28</f>
        <v>16</v>
      </c>
      <c r="T6" s="10">
        <f>设置!F29</f>
        <v>17</v>
      </c>
      <c r="U6" s="10">
        <f>设置!F30</f>
        <v>18</v>
      </c>
      <c r="V6" s="10">
        <f>设置!F31</f>
        <v>19</v>
      </c>
      <c r="W6" s="10">
        <f>设置!F32</f>
        <v>20</v>
      </c>
      <c r="X6" s="10">
        <f>设置!F33</f>
        <v>21</v>
      </c>
      <c r="Y6" s="10">
        <f>设置!F34</f>
        <v>22</v>
      </c>
      <c r="Z6" s="10">
        <f>设置!F35</f>
        <v>23</v>
      </c>
      <c r="AA6" s="10">
        <f>设置!F36</f>
        <v>24</v>
      </c>
      <c r="AB6" s="10">
        <f>设置!F37</f>
        <v>25</v>
      </c>
      <c r="AC6" s="10">
        <f>设置!F38</f>
        <v>26</v>
      </c>
      <c r="AD6" s="10">
        <f>设置!F39</f>
        <v>27</v>
      </c>
      <c r="AE6" s="10">
        <f>设置!F40</f>
        <v>28</v>
      </c>
      <c r="AF6" s="10">
        <f>设置!F41</f>
        <v>29</v>
      </c>
      <c r="AG6" s="10">
        <f>设置!F42</f>
        <v>30</v>
      </c>
      <c r="AH6" s="10">
        <f>设置!F43</f>
        <v>31</v>
      </c>
      <c r="AI6" s="10">
        <f>设置!F44</f>
        <v>32</v>
      </c>
      <c r="AJ6" s="10">
        <f>设置!F45</f>
        <v>33</v>
      </c>
      <c r="AK6" s="10">
        <f>设置!F46</f>
        <v>34</v>
      </c>
      <c r="AL6" s="10">
        <f>设置!F47</f>
        <v>35</v>
      </c>
      <c r="AM6" s="10">
        <f>设置!F48</f>
        <v>36</v>
      </c>
      <c r="AN6" s="10">
        <f>设置!F49</f>
        <v>37</v>
      </c>
      <c r="AO6" s="10">
        <f>设置!F50</f>
        <v>38</v>
      </c>
      <c r="AP6" s="10">
        <f>设置!F51</f>
        <v>39</v>
      </c>
      <c r="AQ6" s="10">
        <f>设置!F52</f>
        <v>40</v>
      </c>
      <c r="AR6" s="112" t="s">
        <v>86</v>
      </c>
      <c r="AS6" s="112"/>
      <c r="AT6" s="112"/>
      <c r="AU6" s="112"/>
      <c r="AV6" s="112" t="s">
        <v>85</v>
      </c>
      <c r="AW6" s="112"/>
      <c r="AX6" s="112"/>
      <c r="AY6" s="112"/>
    </row>
    <row r="7" spans="2:51" s="11" customFormat="1" ht="8.1" customHeight="1" x14ac:dyDescent="0.25"/>
    <row r="8" spans="2:51" ht="39.950000000000003" customHeight="1" x14ac:dyDescent="0.25">
      <c r="B8" s="8" t="s">
        <v>0</v>
      </c>
      <c r="C8" s="8" t="s">
        <v>3</v>
      </c>
      <c r="D8" s="8" t="s">
        <v>70</v>
      </c>
      <c r="E8" s="8" t="s">
        <v>71</v>
      </c>
      <c r="F8" s="8" t="s">
        <v>32</v>
      </c>
      <c r="G8" s="8" t="s">
        <v>33</v>
      </c>
      <c r="H8" s="8" t="s">
        <v>34</v>
      </c>
      <c r="I8" s="8" t="s">
        <v>35</v>
      </c>
      <c r="J8" s="8" t="s">
        <v>36</v>
      </c>
      <c r="K8" s="8" t="s">
        <v>37</v>
      </c>
      <c r="L8" s="8" t="s">
        <v>38</v>
      </c>
      <c r="M8" s="8" t="s">
        <v>40</v>
      </c>
      <c r="N8" s="8" t="s">
        <v>39</v>
      </c>
      <c r="O8" s="8" t="s">
        <v>41</v>
      </c>
      <c r="P8" s="8" t="s">
        <v>94</v>
      </c>
      <c r="Q8" s="8" t="s">
        <v>95</v>
      </c>
      <c r="R8" s="8" t="s">
        <v>96</v>
      </c>
      <c r="S8" s="8" t="s">
        <v>97</v>
      </c>
      <c r="T8" s="8" t="s">
        <v>98</v>
      </c>
      <c r="U8" s="8" t="s">
        <v>99</v>
      </c>
      <c r="V8" s="8" t="s">
        <v>100</v>
      </c>
      <c r="W8" s="8" t="s">
        <v>101</v>
      </c>
      <c r="X8" s="8" t="s">
        <v>145</v>
      </c>
      <c r="Y8" s="8" t="s">
        <v>146</v>
      </c>
      <c r="Z8" s="8" t="s">
        <v>147</v>
      </c>
      <c r="AA8" s="8" t="s">
        <v>148</v>
      </c>
      <c r="AB8" s="8" t="s">
        <v>149</v>
      </c>
      <c r="AC8" s="8" t="s">
        <v>150</v>
      </c>
      <c r="AD8" s="8" t="s">
        <v>151</v>
      </c>
      <c r="AE8" s="8" t="s">
        <v>152</v>
      </c>
      <c r="AF8" s="8" t="s">
        <v>153</v>
      </c>
      <c r="AG8" s="8" t="s">
        <v>154</v>
      </c>
      <c r="AH8" s="8" t="s">
        <v>144</v>
      </c>
      <c r="AI8" s="8" t="s">
        <v>155</v>
      </c>
      <c r="AJ8" s="8" t="s">
        <v>156</v>
      </c>
      <c r="AK8" s="8" t="s">
        <v>157</v>
      </c>
      <c r="AL8" s="8" t="s">
        <v>158</v>
      </c>
      <c r="AM8" s="8" t="s">
        <v>159</v>
      </c>
      <c r="AN8" s="8" t="s">
        <v>160</v>
      </c>
      <c r="AO8" s="8" t="s">
        <v>161</v>
      </c>
      <c r="AP8" s="8" t="s">
        <v>162</v>
      </c>
      <c r="AQ8" s="8" t="s">
        <v>163</v>
      </c>
      <c r="AR8" s="8" t="s">
        <v>5</v>
      </c>
      <c r="AS8" s="8" t="s">
        <v>4</v>
      </c>
      <c r="AT8" s="8" t="s">
        <v>6</v>
      </c>
      <c r="AU8" s="8" t="s">
        <v>7</v>
      </c>
      <c r="AV8" s="8" t="s">
        <v>28</v>
      </c>
      <c r="AW8" s="8" t="s">
        <v>29</v>
      </c>
      <c r="AX8" s="8" t="s">
        <v>1</v>
      </c>
      <c r="AY8" s="8" t="s">
        <v>2</v>
      </c>
    </row>
    <row r="9" spans="2:51" ht="39.75" customHeight="1" x14ac:dyDescent="0.25">
      <c r="B9" s="29" cm="1">
        <f t="array" ref="B9">SN</f>
        <v>1</v>
      </c>
      <c r="C9" s="61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31"/>
      <c r="AS9" s="24"/>
      <c r="AT9" s="31"/>
      <c r="AU9" s="31"/>
      <c r="AV9" s="62" t="str" cm="1">
        <f t="array" ref="AV9">Get_GUID_Surname</f>
        <v/>
      </c>
      <c r="AW9" s="30" t="str" cm="1">
        <f t="array" ref="AW9">Get_GUID_FirstName</f>
        <v/>
      </c>
      <c r="AX9" s="29" t="str" cm="1">
        <f t="array" ref="AX9">Get_GUID_Sex</f>
        <v/>
      </c>
      <c r="AY9" s="29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2023-12-03T13:55:01Z</cp:lastPrinted>
  <dcterms:created xsi:type="dcterms:W3CDTF">2023-11-27T09:49:08Z</dcterms:created>
  <dcterms:modified xsi:type="dcterms:W3CDTF">2023-12-04T20:43:41Z</dcterms:modified>
</cp:coreProperties>
</file>