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06AE7F51-948D-4CD9-870F-038BB2B72842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<sst xmlns="http://schemas.openxmlformats.org/spreadsheetml/2006/main" count="354" uniqueCount="298">
  <si>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</si>
  <si>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</si>
  <si>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</si>
  <si>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</si>
  <si>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</si>
  <si>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</si>
  <si>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</si>
  <si>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</si>
  <si>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</si>
  <si>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</si>
  <si>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</si>
  <si>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</si>
  <si>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</si>
  <si>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</si>
  <si>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</si>
  <si>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</si>
  <si>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</si>
  <si>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</si>
  <si>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</si>
  <si>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</si>
  <si>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</si>
  <si>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</si>
  <si>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</si>
  <si>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</si>
  <si>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</si>
  <si>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</si>
  <si>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</si>
  <si>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</si>
  <si>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</si>
  <si>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</si>
  <si>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</si>
  <si>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</si>
  <si>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</si>
  <si>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</si>
  <si>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</si>
  <si>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</si>
  <si>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</si>
  <si>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</si>
  <si>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</si>
  <si>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</si>
  <si>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</si>
  <si>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</si>
  <si>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</si>
  <si>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</si>
  <si>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</si>
  <si>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</si>
  <si>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</si>
  <si>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</si>
  <si>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</si>
  <si>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</si>
  <si>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</si>
  <si>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</si>
  <si>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</si>
  <si>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</si>
  <si>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</si>
  <si>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</si>
  <si>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</si>
  <si>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</si>
  <si>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</si>
  <si>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</si>
  <si>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</si>
  <si>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</si>
  <si>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</si>
  <si>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</si>
  <si>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</si>
  <si>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</si>
  <si>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</si>
  <si>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</si>
  <si>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</si>
  <si>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</si>
  <si>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</si>
  <si>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</si>
  <si>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</si>
  <si>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</si>
  <si>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</si>
  <si>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</si>
  <si>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</si>
  <si>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</si>
  <si>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</si>
  <si>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</si>
  <si>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</si>
  <si>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</si>
  <si>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</si>
  <si>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</si>
  <si>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</si>
  <si>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</si>
  <si>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</si>
  <si>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</si>
  <si>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</si>
  <si>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</si>
  <si>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</si>
  <si>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</si>
  <si>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</si>
  <si>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</si>
  <si>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</si>
  <si>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</si>
  <si>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</si>
  <si>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</si>
  <si>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</si>
  <si>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</si>
  <si>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</si>
  <si>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</si>
  <si>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</si>
  <si>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</si>
  <si>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</si>
  <si>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</si>
  <si>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</si>
  <si>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</si>
  <si>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</si>
  <si>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</si>
  <si>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</si>
  <si>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</si>
  <si>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</si>
  <si>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</si>
  <si>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</si>
  <si>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</si>
  <si>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</si>
  <si>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</si>
  <si>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</si>
  <si>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</si>
  <si>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</si>
  <si>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</si>
  <si>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</si>
  <si>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</si>
  <si>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</si>
  <si>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</si>
  <si>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</si>
  <si>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</si>
  <si>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</si>
  <si>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</si>
  <si>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</si>
  <si>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</si>
  <si>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</si>
  <si>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</si>
  <si>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</si>
  <si>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</si>
  <si>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</si>
  <si>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</si>
  <si>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</si>
  <si>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</si>
  <si>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</si>
  <si>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</si>
  <si>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</si>
  <si>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</si>
  <si>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</si>
  <si>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</si>
  <si>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</si>
  <si>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</si>
  <si>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</si>
  <si>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</si>
  <si>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</si>
  <si>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</si>
  <si>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</si>
  <si>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</si>
  <si>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</si>
  <si>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</si>
  <si>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</si>
  <si>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</si>
  <si>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</si>
  <si>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</si>
  <si>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</si>
  <si>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</si>
  <si>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</si>
  <si>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</si>
  <si>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</si>
  <si>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</si>
  <si>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</si>
  <si>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</si>
  <si>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</si>
  <si>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</si>
  <si>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</si>
  <si>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</si>
  <si>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</si>
  <si>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</si>
  <si>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</si>
  <si>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</si>
  <si>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</si>
  <si>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</si>
  <si>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</si>
  <si>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</si>
  <si>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</si>
  <si>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</si>
  <si>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</si>
  <si>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</si>
  <si>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</si>
  <si>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</si>
  <si>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</si>
  <si>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</si>
  <si>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</si>
  <si>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</si>
  <si>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</si>
  <si>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</si>
  <si>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</si>
  <si>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</si>
  <si>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</si>
  <si>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</si>
  <si>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</si>
  <si>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</si>
  <si>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</si>
  <si>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</si>
  <si>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</si>
  <si>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</si>
  <si>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</si>
  <si>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</si>
  <si>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</si>
  <si>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</si>
  <si>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</si>
  <si>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</si>
  <si>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</si>
  <si>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</si>
  <si>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</si>
  <si>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</si>
  <si>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</si>
  <si>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</si>
  <si>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</si>
  <si>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</si>
  <si>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</si>
  <si>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</si>
  <si>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</si>
  <si>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</si>
  <si>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</si>
  <si>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</si>
  <si>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</si>
  <si>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</si>
  <si>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</si>
  <si>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</si>
  <si>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</si>
  <si>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</si>
  <si>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</si>
  <si>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</si>
  <si>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</si>
  <si>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</si>
  <si>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</si>
  <si>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</si>
  <si>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</si>
  <si>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</si>
  <si>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</si>
  <si>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</si>
  <si>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</si>
  <si>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</si>
  <si>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</si>
  <si>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</si>
  <si>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</si>
  <si>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</si>
  <si>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</si>
  <si>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</si>
  <si>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</si>
  <si>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</si>
  <si>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</si>
  <si>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</si>
  <si>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</si>
  <si>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</si>
  <si>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</si>
  <si>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</si>
  <si>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</si>
  <si>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</si>
  <si>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</si>
  <si>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</si>
  <si>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</si>
  <si>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</si>
  <si>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</si>
  <si>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</si>
  <si>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</si>
  <si>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</si>
  <si>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</si>
  <si>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</si>
  <si>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</si>
  <si>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</si>
  <si>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</si>
  <si>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</si>
  <si>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</si>
  <si>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</si>
  <si>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</si>
  <si>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</si>
  <si>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</si>
  <si>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</si>
  <si>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</si>
  <si>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</si>
  <si>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</si>
  <si>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</si>
  <si>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</si>
  <si>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</si>
  <si>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</si>
  <si>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</si>
  <si>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</si>
  <si>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</si>
  <si>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</si>
  <si>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</si>
  <si>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</si>
  <si>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</si>
  <si>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</si>
  <si>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</si>
  <si>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</si>
  <si>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</si>
  <si>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</si>
  <si>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</si>
  <si>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</si>
  <si>
    <t>* 连招功能：启用“允许新增存入”后，通过了新增会员时验证项后，将插入一条新的历史记录存入。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</si>
</sst>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3020786</xdr:colOff>
          <xdr:row>1</xdr:row>
          <xdr:rowOff>212271</xdr:rowOff>
        </xdr:from>
        <xdr:to>
          <xdr:col>3</xdr:col>
          <xdr:colOff>3608614</xdr:colOff>
          <xdr:row>1</xdr:row>
          <xdr:rowOff>484414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217714</xdr:rowOff>
        </xdr:from>
        <xdr:to>
          <xdr:col>3</xdr:col>
          <xdr:colOff>2422071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3396343</xdr:colOff>
          <xdr:row>1</xdr:row>
          <xdr:rowOff>201386</xdr:rowOff>
        </xdr:from>
        <xdr:to>
          <xdr:col>3</xdr:col>
          <xdr:colOff>3984171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2536371</xdr:colOff>
          <xdr:row>1</xdr:row>
          <xdr:rowOff>201386</xdr:rowOff>
        </xdr:from>
        <xdr:to>
          <xdr:col>3</xdr:col>
          <xdr:colOff>3129643</xdr:colOff>
          <xdr:row>1</xdr:row>
          <xdr:rowOff>478971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2:16" s="4" customFormat="1" ht="6" customHeight="1" x14ac:dyDescent="0.4"/>
    <row r="2" spans="2:16" s="34" customFormat="1" ht="10" customHeight="1" x14ac:dyDescent="0.4"/>
    <row r="3" spans="2:16" s="1" customFormat="1" ht="40" customHeight="1" x14ac:dyDescent="0.45">
      <c r="D3" s="89" t="s">
        <v>140</v>
      </c>
    </row>
    <row r="4" spans="2:16" s="1" customFormat="1" ht="8.15" customHeight="1" x14ac:dyDescent="0.4">
      <c r="D4" s="90"/>
    </row>
    <row r="5" spans="2:16" s="1" customFormat="1" ht="40" customHeight="1" x14ac:dyDescent="0.4">
      <c r="D5" s="91" t="s">
        <v>282</v>
      </c>
    </row>
    <row r="6" spans="2:16" ht="16.5" customHeight="1" x14ac:dyDescent="0.4"/>
    <row r="7" spans="2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40" customHeight="1" x14ac:dyDescent="0.4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40" customHeight="1" x14ac:dyDescent="0.4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40" customHeight="1" x14ac:dyDescent="0.4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40" customHeight="1" x14ac:dyDescent="0.4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40" customHeight="1" x14ac:dyDescent="0.4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40" customHeight="1" x14ac:dyDescent="0.4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40" customHeight="1" x14ac:dyDescent="0.4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286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65" t="s">
        <v>287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thickBot="1" x14ac:dyDescent="0.45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40" customHeight="1" thickTop="1" x14ac:dyDescent="0.4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4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4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4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45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40" customHeight="1" x14ac:dyDescent="0.4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4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thickBot="1" x14ac:dyDescent="0.45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40" customHeight="1" thickTop="1" x14ac:dyDescent="0.4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thickBot="1" x14ac:dyDescent="0.45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40" customHeight="1" thickTop="1" x14ac:dyDescent="0.4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5" customHeight="1" x14ac:dyDescent="0.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4"/>
  </sheetData>
  <sheetProtection algorithmName="SHA-512" hashValue="OiwABG6jZBnhvPHoDny4ymr8OCxrkZ8EJs9P6wkYf+B6xYjOnwJJlMvBEuqV1/UvYBEDU6huM1NFdjpEfgG0jw==" saltValue="iMrfju95IaR5+qHLuRYlv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273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7" t="s">
        <v>231</v>
      </c>
      <c r="H11" s="117"/>
      <c r="I11" s="117"/>
      <c r="J11" s="116" t="s">
        <v>257</v>
      </c>
      <c r="K11" s="116"/>
      <c r="L11" s="116"/>
      <c r="M11" s="116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285</v>
      </c>
      <c r="L12" s="42" t="s">
        <v>258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40" customHeight="1" x14ac:dyDescent="0.4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40" customHeight="1" x14ac:dyDescent="0.4">
      <c r="B61" s="38"/>
      <c r="C61" s="114" t="s">
        <v>291</v>
      </c>
      <c r="D61" s="96" t="s">
        <v>135</v>
      </c>
      <c r="E61" s="115" t="s">
        <v>297</v>
      </c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4" t="s">
        <v>234</v>
      </c>
      <c r="E67" s="94" t="s">
        <v>235</v>
      </c>
      <c r="F67" s="94" t="s">
        <v>236</v>
      </c>
      <c r="G67" s="94" t="s">
        <v>292</v>
      </c>
      <c r="H67" s="94" t="s">
        <v>293</v>
      </c>
      <c r="I67" s="94" t="s">
        <v>294</v>
      </c>
      <c r="J67" s="94" t="s">
        <v>295</v>
      </c>
      <c r="K67" s="94"/>
      <c r="L67" s="94"/>
      <c r="M67" s="94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289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296</v>
      </c>
      <c r="D78" s="55"/>
      <c r="E78" s="55"/>
    </row>
    <row r="79" spans="2:13" ht="16" customHeight="1" x14ac:dyDescent="0.4"/>
  </sheetData>
  <sheetProtection algorithmName="SHA-512" hashValue="gLHRY08lWSYNIAGJAceMnpBHa0jCAUuk98/pxSFrDDLjSDqJQ5eYfSHxu/pENjyaVQZEeyGW+lvvFBiZorfabQ==" saltValue="bx2jIduGGrxhQ876q7a6WA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92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zARCuPujDBXDrbPoTgIrfnEgFzRffYB0jL6BrTpXYspyjLSbBQaZVvjhTbaJQGcg5tAk/jz/JGJsq9SQXBNeaw==" saltValue="9v0uq8RdpXT4SPz0jHUzhw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3020786</xdr:colOff>
                    <xdr:row>1</xdr:row>
                    <xdr:rowOff>212271</xdr:rowOff>
                  </from>
                  <to>
                    <xdr:col>3</xdr:col>
                    <xdr:colOff>3608614</xdr:colOff>
                    <xdr:row>1</xdr:row>
                    <xdr:rowOff>484414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217714</xdr:rowOff>
                  </from>
                  <to>
                    <xdr:col>3</xdr:col>
                    <xdr:colOff>2422071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 t="s">
        <v>130</v>
      </c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zXJOqAtgh4zSu79kdgLXwsHw0AN8L0jaEUsp818hd2qMo+M6XdSe+tS8QzycbMO3mX6u41fgxWX13DhaZrM3Gg==" saltValue="wkcHXnNy89zBvYC2m4mRA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3396343</xdr:colOff>
                    <xdr:row>1</xdr:row>
                    <xdr:rowOff>201386</xdr:rowOff>
                  </from>
                  <to>
                    <xdr:col>3</xdr:col>
                    <xdr:colOff>3984171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2536371</xdr:colOff>
                    <xdr:row>1</xdr:row>
                    <xdr:rowOff>201386</xdr:rowOff>
                  </from>
                  <to>
                    <xdr:col>3</xdr:col>
                    <xdr:colOff>3129643</xdr:colOff>
                    <xdr:row>1</xdr:row>
                    <xdr:rowOff>478971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3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10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19" t="str">
        <f>设置!F13 &amp;" - 历史记录"</f>
        <v>1 - 历史记录</v>
      </c>
      <c r="F6" s="119"/>
      <c r="G6" s="20">
        <f>设置!F14</f>
        <v>2</v>
      </c>
      <c r="H6" s="118" t="str">
        <f>设置!F14 &amp;" - 历史记录"</f>
        <v>2 - 历史记录</v>
      </c>
      <c r="I6" s="118"/>
      <c r="J6" s="10">
        <f>设置!F15</f>
        <v>3</v>
      </c>
      <c r="K6" s="119" t="str">
        <f>设置!F15 &amp;" - 历史记录"</f>
        <v>3 - 历史记录</v>
      </c>
      <c r="L6" s="119"/>
      <c r="M6" s="20">
        <f>设置!F16</f>
        <v>4</v>
      </c>
      <c r="N6" s="118" t="str">
        <f>设置!F16 &amp;" - 历史记录"</f>
        <v>4 - 历史记录</v>
      </c>
      <c r="O6" s="118"/>
      <c r="P6" s="10">
        <f>设置!F17</f>
        <v>5</v>
      </c>
      <c r="Q6" s="119" t="str">
        <f>设置!F17 &amp;" - 历史记录"</f>
        <v>5 - 历史记录</v>
      </c>
      <c r="R6" s="119"/>
      <c r="S6" s="20">
        <f>设置!F18</f>
        <v>6</v>
      </c>
      <c r="T6" s="118" t="str">
        <f>设置!F18 &amp;" - 历史记录"</f>
        <v>6 - 历史记录</v>
      </c>
      <c r="U6" s="118"/>
      <c r="V6" s="10">
        <f>设置!F19</f>
        <v>7</v>
      </c>
      <c r="W6" s="119" t="str">
        <f>设置!F19 &amp;" - 历史记录"</f>
        <v>7 - 历史记录</v>
      </c>
      <c r="X6" s="119"/>
      <c r="Y6" s="20">
        <f>设置!F20</f>
        <v>8</v>
      </c>
      <c r="Z6" s="118" t="str">
        <f>设置!F20 &amp;" - 历史记录"</f>
        <v>8 - 历史记录</v>
      </c>
      <c r="AA6" s="118"/>
      <c r="AB6" s="10">
        <f>设置!F21</f>
        <v>9</v>
      </c>
      <c r="AC6" s="119" t="str">
        <f>设置!F21 &amp;" - 历史记录"</f>
        <v>9 - 历史记录</v>
      </c>
      <c r="AD6" s="119"/>
      <c r="AE6" s="20">
        <f>设置!F22</f>
        <v>10</v>
      </c>
      <c r="AF6" s="118" t="str">
        <f>设置!F22 &amp;" - 历史记录"</f>
        <v>10 - 历史记录</v>
      </c>
      <c r="AG6" s="118"/>
      <c r="AH6" s="10">
        <f>设置!F23</f>
        <v>11</v>
      </c>
      <c r="AI6" s="119" t="str">
        <f>设置!F23 &amp;" - 历史记录"</f>
        <v>11 - 历史记录</v>
      </c>
      <c r="AJ6" s="119"/>
      <c r="AK6" s="20">
        <f>设置!F24</f>
        <v>12</v>
      </c>
      <c r="AL6" s="118" t="str">
        <f>设置!F24 &amp;" - 历史记录"</f>
        <v>12 - 历史记录</v>
      </c>
      <c r="AM6" s="118"/>
      <c r="AN6" s="10">
        <f>设置!F25</f>
        <v>13</v>
      </c>
      <c r="AO6" s="119" t="str">
        <f>设置!F25 &amp;" - 历史记录"</f>
        <v>13 - 历史记录</v>
      </c>
      <c r="AP6" s="119"/>
      <c r="AQ6" s="20">
        <f>设置!F26</f>
        <v>14</v>
      </c>
      <c r="AR6" s="118" t="str">
        <f>设置!F26 &amp;" - 历史记录"</f>
        <v>14 - 历史记录</v>
      </c>
      <c r="AS6" s="118"/>
      <c r="AT6" s="10">
        <f>设置!F27</f>
        <v>15</v>
      </c>
      <c r="AU6" s="119" t="str">
        <f>设置!F27 &amp;" - 历史记录"</f>
        <v>15 - 历史记录</v>
      </c>
      <c r="AV6" s="119"/>
      <c r="AW6" s="20">
        <f>设置!F28</f>
        <v>16</v>
      </c>
      <c r="AX6" s="118" t="str">
        <f>设置!F28 &amp;" - 历史记录"</f>
        <v>16 - 历史记录</v>
      </c>
      <c r="AY6" s="118"/>
      <c r="AZ6" s="10">
        <f>设置!F29</f>
        <v>17</v>
      </c>
      <c r="BA6" s="119" t="str">
        <f>设置!F29 &amp;" - 历史记录"</f>
        <v>17 - 历史记录</v>
      </c>
      <c r="BB6" s="119"/>
      <c r="BC6" s="20">
        <f>设置!F30</f>
        <v>18</v>
      </c>
      <c r="BD6" s="118" t="str">
        <f>设置!F30 &amp;" - 历史记录"</f>
        <v>18 - 历史记录</v>
      </c>
      <c r="BE6" s="118"/>
      <c r="BF6" s="10">
        <f>设置!F31</f>
        <v>19</v>
      </c>
      <c r="BG6" s="119" t="str">
        <f>设置!F31 &amp;" - 历史记录"</f>
        <v>19 - 历史记录</v>
      </c>
      <c r="BH6" s="119"/>
      <c r="BI6" s="20">
        <f>设置!F32</f>
        <v>20</v>
      </c>
      <c r="BJ6" s="118" t="str">
        <f>设置!F32 &amp;" - 历史记录"</f>
        <v>20 - 历史记录</v>
      </c>
      <c r="BK6" s="118"/>
      <c r="BL6" s="32">
        <f>设置!F33</f>
        <v>21</v>
      </c>
      <c r="BM6" s="117" t="str">
        <f>设置!F33 &amp;" - 历史记录"</f>
        <v>21 - 历史记录</v>
      </c>
      <c r="BN6" s="117"/>
      <c r="BO6" s="20">
        <f>设置!F34</f>
        <v>22</v>
      </c>
      <c r="BP6" s="118" t="str">
        <f>设置!F34 &amp;" - 历史记录"</f>
        <v>22 - 历史记录</v>
      </c>
      <c r="BQ6" s="118"/>
      <c r="BR6" s="32">
        <f>设置!F35</f>
        <v>23</v>
      </c>
      <c r="BS6" s="117" t="str">
        <f>设置!F35 &amp;" - 历史记录"</f>
        <v>23 - 历史记录</v>
      </c>
      <c r="BT6" s="117"/>
      <c r="BU6" s="20">
        <f>设置!F36</f>
        <v>24</v>
      </c>
      <c r="BV6" s="118" t="str">
        <f>设置!F36 &amp;" - 历史记录"</f>
        <v>24 - 历史记录</v>
      </c>
      <c r="BW6" s="118"/>
      <c r="BX6" s="32">
        <f>设置!F37</f>
        <v>25</v>
      </c>
      <c r="BY6" s="117" t="str">
        <f>设置!F37 &amp;" - 历史记录"</f>
        <v>25 - 历史记录</v>
      </c>
      <c r="BZ6" s="117"/>
      <c r="CA6" s="20">
        <f>设置!F38</f>
        <v>26</v>
      </c>
      <c r="CB6" s="118" t="str">
        <f>设置!F38 &amp;" - 历史记录"</f>
        <v>26 - 历史记录</v>
      </c>
      <c r="CC6" s="118"/>
      <c r="CD6" s="32">
        <f>设置!F39</f>
        <v>27</v>
      </c>
      <c r="CE6" s="117" t="str">
        <f>设置!F39 &amp;" - 历史记录"</f>
        <v>27 - 历史记录</v>
      </c>
      <c r="CF6" s="117"/>
      <c r="CG6" s="20">
        <f>设置!F40</f>
        <v>28</v>
      </c>
      <c r="CH6" s="118" t="str">
        <f>设置!F40 &amp;" - 历史记录"</f>
        <v>28 - 历史记录</v>
      </c>
      <c r="CI6" s="118"/>
      <c r="CJ6" s="32">
        <f>设置!F41</f>
        <v>29</v>
      </c>
      <c r="CK6" s="117" t="str">
        <f>设置!F41 &amp;" - 历史记录"</f>
        <v>29 - 历史记录</v>
      </c>
      <c r="CL6" s="117"/>
      <c r="CM6" s="20">
        <f>设置!F42</f>
        <v>30</v>
      </c>
      <c r="CN6" s="118" t="str">
        <f>设置!F42 &amp;" - 历史记录"</f>
        <v>30 - 历史记录</v>
      </c>
      <c r="CO6" s="118"/>
      <c r="CP6" s="32">
        <f>设置!F43</f>
        <v>31</v>
      </c>
      <c r="CQ6" s="117" t="str">
        <f>设置!F43 &amp;" - 历史记录"</f>
        <v>31 - 历史记录</v>
      </c>
      <c r="CR6" s="117"/>
      <c r="CS6" s="20">
        <f>设置!F44</f>
        <v>32</v>
      </c>
      <c r="CT6" s="118" t="str">
        <f>设置!F44 &amp;" - 历史记录"</f>
        <v>32 - 历史记录</v>
      </c>
      <c r="CU6" s="118"/>
      <c r="CV6" s="32">
        <f>设置!F45</f>
        <v>33</v>
      </c>
      <c r="CW6" s="117" t="str">
        <f>设置!F45 &amp;" - 历史记录"</f>
        <v>33 - 历史记录</v>
      </c>
      <c r="CX6" s="117"/>
      <c r="CY6" s="20">
        <f>设置!F46</f>
        <v>34</v>
      </c>
      <c r="CZ6" s="118" t="str">
        <f>设置!F46 &amp;" - 历史记录"</f>
        <v>34 - 历史记录</v>
      </c>
      <c r="DA6" s="118"/>
      <c r="DB6" s="32">
        <f>设置!F47</f>
        <v>35</v>
      </c>
      <c r="DC6" s="117" t="str">
        <f>设置!F47 &amp;" - 历史记录"</f>
        <v>35 - 历史记录</v>
      </c>
      <c r="DD6" s="117"/>
      <c r="DE6" s="20">
        <f>设置!F48</f>
        <v>36</v>
      </c>
      <c r="DF6" s="118" t="str">
        <f>设置!F48 &amp;" - 历史记录"</f>
        <v>36 - 历史记录</v>
      </c>
      <c r="DG6" s="118"/>
      <c r="DH6" s="32">
        <f>设置!F49</f>
        <v>37</v>
      </c>
      <c r="DI6" s="117" t="str">
        <f>设置!F49 &amp;" - 历史记录"</f>
        <v>37 - 历史记录</v>
      </c>
      <c r="DJ6" s="117"/>
      <c r="DK6" s="20">
        <f>设置!F50</f>
        <v>38</v>
      </c>
      <c r="DL6" s="118" t="str">
        <f>设置!F50 &amp;" - 历史记录"</f>
        <v>38 - 历史记录</v>
      </c>
      <c r="DM6" s="118"/>
      <c r="DN6" s="32">
        <f>设置!F51</f>
        <v>39</v>
      </c>
      <c r="DO6" s="117" t="str">
        <f>设置!F51 &amp;" - 历史记录"</f>
        <v>39 - 历史记录</v>
      </c>
      <c r="DP6" s="117"/>
      <c r="DQ6" s="20">
        <f>设置!F52</f>
        <v>40</v>
      </c>
      <c r="DR6" s="118" t="str">
        <f>设置!F52 &amp;" - 历史记录"</f>
        <v>40 - 历史记录</v>
      </c>
      <c r="DS6" s="118"/>
      <c r="DT6" s="119" t="s">
        <v>73</v>
      </c>
      <c r="DU6" s="119"/>
      <c r="DV6" s="119"/>
      <c r="DW6" s="119"/>
      <c r="DX6" s="119"/>
      <c r="DY6" s="119" t="s">
        <v>91</v>
      </c>
      <c r="DZ6" s="119"/>
      <c r="EA6" s="119"/>
      <c r="EB6" s="119" t="s">
        <v>83</v>
      </c>
      <c r="EC6" s="119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10" t="s">
        <v>0</v>
      </c>
      <c r="C8" s="110" t="s">
        <v>3</v>
      </c>
      <c r="D8" s="110" t="s">
        <v>128</v>
      </c>
      <c r="E8" s="110" t="s">
        <v>82</v>
      </c>
      <c r="F8" s="110" t="s">
        <v>81</v>
      </c>
      <c r="G8" s="110" t="s">
        <v>72</v>
      </c>
      <c r="H8" s="110" t="s">
        <v>80</v>
      </c>
      <c r="I8" s="110" t="s">
        <v>79</v>
      </c>
      <c r="J8" s="110" t="s">
        <v>59</v>
      </c>
      <c r="K8" s="110" t="s">
        <v>43</v>
      </c>
      <c r="L8" s="110" t="s">
        <v>78</v>
      </c>
      <c r="M8" s="110" t="s">
        <v>60</v>
      </c>
      <c r="N8" s="110" t="s">
        <v>44</v>
      </c>
      <c r="O8" s="110" t="s">
        <v>77</v>
      </c>
      <c r="P8" s="110" t="s">
        <v>61</v>
      </c>
      <c r="Q8" s="110" t="s">
        <v>45</v>
      </c>
      <c r="R8" s="110" t="s">
        <v>76</v>
      </c>
      <c r="S8" s="110" t="s">
        <v>62</v>
      </c>
      <c r="T8" s="110" t="s">
        <v>46</v>
      </c>
      <c r="U8" s="110" t="s">
        <v>69</v>
      </c>
      <c r="V8" s="110" t="s">
        <v>63</v>
      </c>
      <c r="W8" s="110" t="s">
        <v>47</v>
      </c>
      <c r="X8" s="110" t="s">
        <v>52</v>
      </c>
      <c r="Y8" s="110" t="s">
        <v>64</v>
      </c>
      <c r="Z8" s="110" t="s">
        <v>48</v>
      </c>
      <c r="AA8" s="110" t="s">
        <v>53</v>
      </c>
      <c r="AB8" s="110" t="s">
        <v>65</v>
      </c>
      <c r="AC8" s="110" t="s">
        <v>49</v>
      </c>
      <c r="AD8" s="110" t="s">
        <v>54</v>
      </c>
      <c r="AE8" s="110" t="s">
        <v>66</v>
      </c>
      <c r="AF8" s="110" t="s">
        <v>50</v>
      </c>
      <c r="AG8" s="110" t="s">
        <v>55</v>
      </c>
      <c r="AH8" s="110" t="s">
        <v>67</v>
      </c>
      <c r="AI8" s="110" t="s">
        <v>51</v>
      </c>
      <c r="AJ8" s="110" t="s">
        <v>56</v>
      </c>
      <c r="AK8" s="110" t="s">
        <v>68</v>
      </c>
      <c r="AL8" s="110" t="s">
        <v>57</v>
      </c>
      <c r="AM8" s="110" t="s">
        <v>58</v>
      </c>
      <c r="AN8" s="110" t="s">
        <v>103</v>
      </c>
      <c r="AO8" s="110" t="s">
        <v>104</v>
      </c>
      <c r="AP8" s="110" t="s">
        <v>102</v>
      </c>
      <c r="AQ8" s="110" t="s">
        <v>107</v>
      </c>
      <c r="AR8" s="110" t="s">
        <v>106</v>
      </c>
      <c r="AS8" s="110" t="s">
        <v>105</v>
      </c>
      <c r="AT8" s="110" t="s">
        <v>113</v>
      </c>
      <c r="AU8" s="110" t="s">
        <v>112</v>
      </c>
      <c r="AV8" s="110" t="s">
        <v>110</v>
      </c>
      <c r="AW8" s="110" t="s">
        <v>109</v>
      </c>
      <c r="AX8" s="110" t="s">
        <v>108</v>
      </c>
      <c r="AY8" s="110" t="s">
        <v>111</v>
      </c>
      <c r="AZ8" s="110" t="s">
        <v>116</v>
      </c>
      <c r="BA8" s="110" t="s">
        <v>115</v>
      </c>
      <c r="BB8" s="110" t="s">
        <v>114</v>
      </c>
      <c r="BC8" s="110" t="s">
        <v>117</v>
      </c>
      <c r="BD8" s="110" t="s">
        <v>118</v>
      </c>
      <c r="BE8" s="110" t="s">
        <v>119</v>
      </c>
      <c r="BF8" s="110" t="s">
        <v>120</v>
      </c>
      <c r="BG8" s="110" t="s">
        <v>121</v>
      </c>
      <c r="BH8" s="110" t="s">
        <v>122</v>
      </c>
      <c r="BI8" s="110" t="s">
        <v>123</v>
      </c>
      <c r="BJ8" s="110" t="s">
        <v>124</v>
      </c>
      <c r="BK8" s="110" t="s">
        <v>125</v>
      </c>
      <c r="BL8" s="110" t="s">
        <v>165</v>
      </c>
      <c r="BM8" s="110" t="s">
        <v>166</v>
      </c>
      <c r="BN8" s="110" t="s">
        <v>164</v>
      </c>
      <c r="BO8" s="110" t="s">
        <v>167</v>
      </c>
      <c r="BP8" s="110" t="s">
        <v>168</v>
      </c>
      <c r="BQ8" s="110" t="s">
        <v>169</v>
      </c>
      <c r="BR8" s="110" t="s">
        <v>170</v>
      </c>
      <c r="BS8" s="110" t="s">
        <v>171</v>
      </c>
      <c r="BT8" s="110" t="s">
        <v>172</v>
      </c>
      <c r="BU8" s="110" t="s">
        <v>173</v>
      </c>
      <c r="BV8" s="110" t="s">
        <v>174</v>
      </c>
      <c r="BW8" s="110" t="s">
        <v>175</v>
      </c>
      <c r="BX8" s="110" t="s">
        <v>176</v>
      </c>
      <c r="BY8" s="110" t="s">
        <v>177</v>
      </c>
      <c r="BZ8" s="110" t="s">
        <v>178</v>
      </c>
      <c r="CA8" s="110" t="s">
        <v>179</v>
      </c>
      <c r="CB8" s="110" t="s">
        <v>180</v>
      </c>
      <c r="CC8" s="110" t="s">
        <v>181</v>
      </c>
      <c r="CD8" s="110" t="s">
        <v>182</v>
      </c>
      <c r="CE8" s="110" t="s">
        <v>183</v>
      </c>
      <c r="CF8" s="110" t="s">
        <v>184</v>
      </c>
      <c r="CG8" s="110" t="s">
        <v>185</v>
      </c>
      <c r="CH8" s="110" t="s">
        <v>186</v>
      </c>
      <c r="CI8" s="110" t="s">
        <v>187</v>
      </c>
      <c r="CJ8" s="110" t="s">
        <v>188</v>
      </c>
      <c r="CK8" s="110" t="s">
        <v>189</v>
      </c>
      <c r="CL8" s="110" t="s">
        <v>190</v>
      </c>
      <c r="CM8" s="110" t="s">
        <v>191</v>
      </c>
      <c r="CN8" s="110" t="s">
        <v>192</v>
      </c>
      <c r="CO8" s="110" t="s">
        <v>193</v>
      </c>
      <c r="CP8" s="110" t="s">
        <v>194</v>
      </c>
      <c r="CQ8" s="110" t="s">
        <v>195</v>
      </c>
      <c r="CR8" s="110" t="s">
        <v>196</v>
      </c>
      <c r="CS8" s="110" t="s">
        <v>197</v>
      </c>
      <c r="CT8" s="110" t="s">
        <v>198</v>
      </c>
      <c r="CU8" s="110" t="s">
        <v>199</v>
      </c>
      <c r="CV8" s="110" t="s">
        <v>200</v>
      </c>
      <c r="CW8" s="110" t="s">
        <v>201</v>
      </c>
      <c r="CX8" s="110" t="s">
        <v>202</v>
      </c>
      <c r="CY8" s="110" t="s">
        <v>203</v>
      </c>
      <c r="CZ8" s="110" t="s">
        <v>204</v>
      </c>
      <c r="DA8" s="110" t="s">
        <v>205</v>
      </c>
      <c r="DB8" s="110" t="s">
        <v>206</v>
      </c>
      <c r="DC8" s="110" t="s">
        <v>207</v>
      </c>
      <c r="DD8" s="110" t="s">
        <v>208</v>
      </c>
      <c r="DE8" s="110" t="s">
        <v>209</v>
      </c>
      <c r="DF8" s="110" t="s">
        <v>210</v>
      </c>
      <c r="DG8" s="110" t="s">
        <v>211</v>
      </c>
      <c r="DH8" s="110" t="s">
        <v>213</v>
      </c>
      <c r="DI8" s="110" t="s">
        <v>214</v>
      </c>
      <c r="DJ8" s="110" t="s">
        <v>212</v>
      </c>
      <c r="DK8" s="110" t="s">
        <v>215</v>
      </c>
      <c r="DL8" s="110" t="s">
        <v>216</v>
      </c>
      <c r="DM8" s="110" t="s">
        <v>217</v>
      </c>
      <c r="DN8" s="110" t="s">
        <v>218</v>
      </c>
      <c r="DO8" s="110" t="s">
        <v>219</v>
      </c>
      <c r="DP8" s="110" t="s">
        <v>220</v>
      </c>
      <c r="DQ8" s="110" t="s">
        <v>221</v>
      </c>
      <c r="DR8" s="110" t="s">
        <v>222</v>
      </c>
      <c r="DS8" s="110" t="s">
        <v>223</v>
      </c>
      <c r="DT8" s="110" t="s">
        <v>28</v>
      </c>
      <c r="DU8" s="110" t="s">
        <v>29</v>
      </c>
      <c r="DV8" s="110" t="s">
        <v>1</v>
      </c>
      <c r="DW8" s="110" t="s">
        <v>22</v>
      </c>
      <c r="DX8" s="110" t="s">
        <v>21</v>
      </c>
      <c r="DY8" s="110" t="s">
        <v>2</v>
      </c>
      <c r="DZ8" s="111" t="s">
        <v>23</v>
      </c>
      <c r="EA8" s="111" t="s">
        <v>24</v>
      </c>
      <c r="EB8" s="111" t="s">
        <v>74</v>
      </c>
      <c r="EC8" s="111" t="s">
        <v>75</v>
      </c>
      <c r="ED8" s="111" t="s">
        <v>7</v>
      </c>
      <c r="EE8" s="11"/>
    </row>
    <row r="9" spans="1:135" ht="40" customHeight="1" x14ac:dyDescent="0.4">
      <c r="B9" s="106" cm="1">
        <f t="array" ref="B9">SN</f>
        <v>1</v>
      </c>
      <c r="C9" s="107" t="str" cm="1">
        <f t="array" ref="C9">GUID</f>
        <v>冯毅 | 男</v>
      </c>
      <c r="D9" s="108" cm="1">
        <f t="array" ref="D9">Get_1_Calc</f>
        <v>0</v>
      </c>
      <c r="E9" s="106" cm="1">
        <f t="array" ref="E9">Get_1_Add</f>
        <v>0</v>
      </c>
      <c r="F9" s="106" cm="1">
        <f t="array" ref="F9">Get_1_Del</f>
        <v>0</v>
      </c>
      <c r="G9" s="108" cm="1">
        <f t="array" ref="G9">Get_2_Calc</f>
        <v>0</v>
      </c>
      <c r="H9" s="106" cm="1">
        <f t="array" ref="H9">Get_2_Add</f>
        <v>0</v>
      </c>
      <c r="I9" s="106" cm="1">
        <f t="array" ref="I9">Get_2_Del</f>
        <v>0</v>
      </c>
      <c r="J9" s="108" cm="1">
        <f t="array" ref="J9">Get_3_Calc</f>
        <v>0</v>
      </c>
      <c r="K9" s="106" cm="1">
        <f t="array" ref="K9">Get_3_Add</f>
        <v>0</v>
      </c>
      <c r="L9" s="106" cm="1">
        <f t="array" ref="L9">Get_3_Del</f>
        <v>0</v>
      </c>
      <c r="M9" s="108" cm="1">
        <f t="array" ref="M9">Get_4_Calc</f>
        <v>0</v>
      </c>
      <c r="N9" s="106" cm="1">
        <f t="array" ref="N9">Get_4_Add</f>
        <v>0</v>
      </c>
      <c r="O9" s="106" cm="1">
        <f t="array" ref="O9">Get_4_Del</f>
        <v>0</v>
      </c>
      <c r="P9" s="108" cm="1">
        <f t="array" ref="P9">Get_5_Calc</f>
        <v>0</v>
      </c>
      <c r="Q9" s="106" cm="1">
        <f t="array" ref="Q9">Get_5_Add</f>
        <v>0</v>
      </c>
      <c r="R9" s="106" cm="1">
        <f t="array" ref="R9">Get_5_Del</f>
        <v>0</v>
      </c>
      <c r="S9" s="108" cm="1">
        <f t="array" ref="S9">Get_6_Calc</f>
        <v>0</v>
      </c>
      <c r="T9" s="106" cm="1">
        <f t="array" ref="T9">Get_6_Add</f>
        <v>0</v>
      </c>
      <c r="U9" s="106" cm="1">
        <f t="array" ref="U9">Get_6_Del</f>
        <v>0</v>
      </c>
      <c r="V9" s="108" cm="1">
        <f t="array" ref="V9">Get_7_Calc</f>
        <v>0</v>
      </c>
      <c r="W9" s="106" cm="1">
        <f t="array" ref="W9">Get_7_Add</f>
        <v>0</v>
      </c>
      <c r="X9" s="106" cm="1">
        <f t="array" ref="X9">Get_7_Del</f>
        <v>0</v>
      </c>
      <c r="Y9" s="108" cm="1">
        <f t="array" ref="Y9">Get_8_Calc</f>
        <v>0</v>
      </c>
      <c r="Z9" s="106" cm="1">
        <f t="array" ref="Z9">Get_8_Add</f>
        <v>0</v>
      </c>
      <c r="AA9" s="106" cm="1">
        <f t="array" ref="AA9">Get_8_Del</f>
        <v>0</v>
      </c>
      <c r="AB9" s="108" cm="1">
        <f t="array" ref="AB9">Get_9_Calc</f>
        <v>0</v>
      </c>
      <c r="AC9" s="106" cm="1">
        <f t="array" ref="AC9">Get_9_Add</f>
        <v>0</v>
      </c>
      <c r="AD9" s="106" cm="1">
        <f t="array" ref="AD9">Get_9_Del</f>
        <v>0</v>
      </c>
      <c r="AE9" s="108" cm="1">
        <f t="array" ref="AE9">Get_10_Calc</f>
        <v>0</v>
      </c>
      <c r="AF9" s="106" cm="1">
        <f t="array" ref="AF9">Get_10_Add</f>
        <v>0</v>
      </c>
      <c r="AG9" s="106" cm="1">
        <f t="array" ref="AG9">Get_10_Del</f>
        <v>0</v>
      </c>
      <c r="AH9" s="108" cm="1">
        <f t="array" ref="AH9">Get_11_Calc</f>
        <v>0</v>
      </c>
      <c r="AI9" s="106" cm="1">
        <f t="array" ref="AI9">Get_11_Add</f>
        <v>0</v>
      </c>
      <c r="AJ9" s="106" cm="1">
        <f t="array" ref="AJ9">Get_11_Del</f>
        <v>0</v>
      </c>
      <c r="AK9" s="108" cm="1">
        <f t="array" ref="AK9">Get_12_Calc</f>
        <v>0</v>
      </c>
      <c r="AL9" s="106" cm="1">
        <f t="array" ref="AL9">Get_12_Add</f>
        <v>0</v>
      </c>
      <c r="AM9" s="106" cm="1">
        <f t="array" ref="AM9">Get_12_Del</f>
        <v>0</v>
      </c>
      <c r="AN9" s="108" cm="1">
        <f t="array" ref="AN9">Get_13_Calc</f>
        <v>0</v>
      </c>
      <c r="AO9" s="106" cm="1">
        <f t="array" ref="AO9">Get_13_Add</f>
        <v>0</v>
      </c>
      <c r="AP9" s="106" cm="1">
        <f t="array" ref="AP9">Get_13_Del</f>
        <v>0</v>
      </c>
      <c r="AQ9" s="108" cm="1">
        <f t="array" ref="AQ9">Get_14_Calc</f>
        <v>0</v>
      </c>
      <c r="AR9" s="106" cm="1">
        <f t="array" ref="AR9">Get_14_Add</f>
        <v>0</v>
      </c>
      <c r="AS9" s="106" cm="1">
        <f t="array" ref="AS9">Get_14_Del</f>
        <v>0</v>
      </c>
      <c r="AT9" s="108" cm="1">
        <f t="array" ref="AT9">Get_15_Calc</f>
        <v>0</v>
      </c>
      <c r="AU9" s="106" cm="1">
        <f t="array" ref="AU9">Get_15_Add</f>
        <v>0</v>
      </c>
      <c r="AV9" s="106" cm="1">
        <f t="array" ref="AV9">Get_15_Del</f>
        <v>0</v>
      </c>
      <c r="AW9" s="108" cm="1">
        <f t="array" ref="AW9">Get_16_Calc</f>
        <v>0</v>
      </c>
      <c r="AX9" s="106" cm="1">
        <f t="array" ref="AX9">Get_16_Add</f>
        <v>0</v>
      </c>
      <c r="AY9" s="106" cm="1">
        <f t="array" ref="AY9">Get_16_Del</f>
        <v>0</v>
      </c>
      <c r="AZ9" s="108" cm="1">
        <f t="array" ref="AZ9">Get_17_Calc</f>
        <v>0</v>
      </c>
      <c r="BA9" s="106" cm="1">
        <f t="array" ref="BA9">Get_17_Add</f>
        <v>0</v>
      </c>
      <c r="BB9" s="106" cm="1">
        <f t="array" ref="BB9">Get_17_Del</f>
        <v>0</v>
      </c>
      <c r="BC9" s="108" cm="1">
        <f t="array" ref="BC9">Get_18_Calc</f>
        <v>0</v>
      </c>
      <c r="BD9" s="106" cm="1">
        <f t="array" ref="BD9">Get_18_Add</f>
        <v>0</v>
      </c>
      <c r="BE9" s="106" cm="1">
        <f t="array" ref="BE9">Get_18_Del</f>
        <v>0</v>
      </c>
      <c r="BF9" s="108" cm="1">
        <f t="array" ref="BF9">Get_19_Calc</f>
        <v>0</v>
      </c>
      <c r="BG9" s="106" cm="1">
        <f t="array" ref="BG9">Get_19_Add</f>
        <v>0</v>
      </c>
      <c r="BH9" s="106" cm="1">
        <f t="array" ref="BH9">Get_19_Del</f>
        <v>0</v>
      </c>
      <c r="BI9" s="108" cm="1">
        <f t="array" ref="BI9">Get_20_Calc</f>
        <v>0</v>
      </c>
      <c r="BJ9" s="106" cm="1">
        <f t="array" ref="BJ9">Get_20_Add</f>
        <v>0</v>
      </c>
      <c r="BK9" s="106" cm="1">
        <f t="array" ref="BK9">Get_20_Del</f>
        <v>0</v>
      </c>
      <c r="BL9" s="106" cm="1">
        <f t="array" ref="BL9">Get_21_Calc</f>
        <v>0</v>
      </c>
      <c r="BM9" s="106" cm="1">
        <f t="array" ref="BM9">Get_21_Add</f>
        <v>0</v>
      </c>
      <c r="BN9" s="106" cm="1">
        <f t="array" ref="BN9">Get_21_Del</f>
        <v>0</v>
      </c>
      <c r="BO9" s="106" cm="1">
        <f t="array" ref="BO9">Get_22_Calc</f>
        <v>0</v>
      </c>
      <c r="BP9" s="106" cm="1">
        <f t="array" ref="BP9">Get_22_Add</f>
        <v>0</v>
      </c>
      <c r="BQ9" s="106" cm="1">
        <f t="array" ref="BQ9">Get_22_Del</f>
        <v>0</v>
      </c>
      <c r="BR9" s="106" cm="1">
        <f t="array" ref="BR9">Get_23_Calc</f>
        <v>0</v>
      </c>
      <c r="BS9" s="106" cm="1">
        <f t="array" ref="BS9">Get_23_Add</f>
        <v>0</v>
      </c>
      <c r="BT9" s="106" cm="1">
        <f t="array" ref="BT9">Get_23_Del</f>
        <v>0</v>
      </c>
      <c r="BU9" s="106" cm="1">
        <f t="array" ref="BU9">Get_24_Calc</f>
        <v>0</v>
      </c>
      <c r="BV9" s="106" cm="1">
        <f t="array" ref="BV9">Get_24_Add</f>
        <v>0</v>
      </c>
      <c r="BW9" s="106" cm="1">
        <f t="array" ref="BW9">Get_24_Del</f>
        <v>0</v>
      </c>
      <c r="BX9" s="106" cm="1">
        <f t="array" ref="BX9">Get_25_Calc</f>
        <v>0</v>
      </c>
      <c r="BY9" s="106" cm="1">
        <f t="array" ref="BY9">Get_25_Add</f>
        <v>0</v>
      </c>
      <c r="BZ9" s="106" cm="1">
        <f t="array" ref="BZ9">Get_25_Del</f>
        <v>0</v>
      </c>
      <c r="CA9" s="106" cm="1">
        <f t="array" ref="CA9">Get_26_Calc</f>
        <v>0</v>
      </c>
      <c r="CB9" s="106" cm="1">
        <f t="array" ref="CB9">Get_26_Add</f>
        <v>0</v>
      </c>
      <c r="CC9" s="106" cm="1">
        <f t="array" ref="CC9">Get_26_Del</f>
        <v>0</v>
      </c>
      <c r="CD9" s="106" cm="1">
        <f t="array" ref="CD9">Get_27_Calc</f>
        <v>0</v>
      </c>
      <c r="CE9" s="106" cm="1">
        <f t="array" ref="CE9">Get_27_Add</f>
        <v>0</v>
      </c>
      <c r="CF9" s="106" cm="1">
        <f t="array" ref="CF9">Get_27_Del</f>
        <v>0</v>
      </c>
      <c r="CG9" s="106" cm="1">
        <f t="array" ref="CG9">Get_28_Calc</f>
        <v>0</v>
      </c>
      <c r="CH9" s="106" cm="1">
        <f t="array" ref="CH9">Get_28_Add</f>
        <v>0</v>
      </c>
      <c r="CI9" s="106" cm="1">
        <f t="array" ref="CI9">Get_28_Del</f>
        <v>0</v>
      </c>
      <c r="CJ9" s="106" cm="1">
        <f t="array" ref="CJ9">Get_29_Calc</f>
        <v>0</v>
      </c>
      <c r="CK9" s="106" cm="1">
        <f t="array" ref="CK9">Get_29_Add</f>
        <v>0</v>
      </c>
      <c r="CL9" s="106" cm="1">
        <f t="array" ref="CL9">Get_29_Del</f>
        <v>0</v>
      </c>
      <c r="CM9" s="106" cm="1">
        <f t="array" ref="CM9">Get_30_Calc</f>
        <v>0</v>
      </c>
      <c r="CN9" s="106" cm="1">
        <f t="array" ref="CN9">Get_30_Add</f>
        <v>0</v>
      </c>
      <c r="CO9" s="106" cm="1">
        <f t="array" ref="CO9">Get_30_Del</f>
        <v>0</v>
      </c>
      <c r="CP9" s="106" cm="1">
        <f t="array" ref="CP9">Get_31_Calc</f>
        <v>0</v>
      </c>
      <c r="CQ9" s="106" cm="1">
        <f t="array" ref="CQ9">Get_31_Add</f>
        <v>0</v>
      </c>
      <c r="CR9" s="106" cm="1">
        <f t="array" ref="CR9">Get_31_Del</f>
        <v>0</v>
      </c>
      <c r="CS9" s="106" cm="1">
        <f t="array" ref="CS9">Get_32_Calc</f>
        <v>0</v>
      </c>
      <c r="CT9" s="106" cm="1">
        <f t="array" ref="CT9">Get_32_Add</f>
        <v>0</v>
      </c>
      <c r="CU9" s="106" cm="1">
        <f t="array" ref="CU9">Get_32_Del</f>
        <v>0</v>
      </c>
      <c r="CV9" s="106" cm="1">
        <f t="array" ref="CV9">Get_33_Calc</f>
        <v>0</v>
      </c>
      <c r="CW9" s="106" cm="1">
        <f t="array" ref="CW9">Get_33_Add</f>
        <v>0</v>
      </c>
      <c r="CX9" s="106" cm="1">
        <f t="array" ref="CX9">Get_33_Del</f>
        <v>0</v>
      </c>
      <c r="CY9" s="106" cm="1">
        <f t="array" ref="CY9">Get_34_Calc</f>
        <v>0</v>
      </c>
      <c r="CZ9" s="106" cm="1">
        <f t="array" ref="CZ9">Get_34_Add</f>
        <v>0</v>
      </c>
      <c r="DA9" s="106" cm="1">
        <f t="array" ref="DA9">Get_34_Del</f>
        <v>0</v>
      </c>
      <c r="DB9" s="106" cm="1">
        <f t="array" ref="DB9">Get_35_Calc</f>
        <v>0</v>
      </c>
      <c r="DC9" s="106" cm="1">
        <f t="array" ref="DC9">Get_35_Add</f>
        <v>0</v>
      </c>
      <c r="DD9" s="106" cm="1">
        <f t="array" ref="DD9">Get_35_Del</f>
        <v>0</v>
      </c>
      <c r="DE9" s="106" cm="1">
        <f t="array" ref="DE9">Get_36_Calc</f>
        <v>0</v>
      </c>
      <c r="DF9" s="106" cm="1">
        <f t="array" ref="DF9">Get_36_Add</f>
        <v>0</v>
      </c>
      <c r="DG9" s="106" cm="1">
        <f t="array" ref="DG9">Get_36_Del</f>
        <v>0</v>
      </c>
      <c r="DH9" s="106" cm="1">
        <f t="array" ref="DH9">Get_37_Calc</f>
        <v>0</v>
      </c>
      <c r="DI9" s="106" cm="1">
        <f t="array" ref="DI9">Get_37_Add</f>
        <v>0</v>
      </c>
      <c r="DJ9" s="106" cm="1">
        <f t="array" ref="DJ9">Get_37_Del</f>
        <v>0</v>
      </c>
      <c r="DK9" s="106" cm="1">
        <f t="array" ref="DK9">Get_38_Calc</f>
        <v>0</v>
      </c>
      <c r="DL9" s="106" cm="1">
        <f t="array" ref="DL9">Get_38_Add</f>
        <v>0</v>
      </c>
      <c r="DM9" s="106" cm="1">
        <f t="array" ref="DM9">Get_38_Del</f>
        <v>0</v>
      </c>
      <c r="DN9" s="106" cm="1">
        <f t="array" ref="DN9">Get_39_Calc</f>
        <v>0</v>
      </c>
      <c r="DO9" s="106" cm="1">
        <f t="array" ref="DO9">Get_39_Add</f>
        <v>0</v>
      </c>
      <c r="DP9" s="106" cm="1">
        <f t="array" ref="DP9">Get_39_Del</f>
        <v>0</v>
      </c>
      <c r="DQ9" s="106" cm="1">
        <f t="array" ref="DQ9">Get_40_Calc</f>
        <v>0</v>
      </c>
      <c r="DR9" s="106" cm="1">
        <f t="array" ref="DR9">Get_40_Add</f>
        <v>0</v>
      </c>
      <c r="DS9" s="106" cm="1">
        <f t="array" ref="DS9">Get_40_Del</f>
        <v>0</v>
      </c>
      <c r="DT9" s="103" t="s">
        <v>237</v>
      </c>
      <c r="DU9" s="104" t="s">
        <v>238</v>
      </c>
      <c r="DV9" s="105" t="s">
        <v>10</v>
      </c>
      <c r="DW9" s="105" t="s">
        <v>130</v>
      </c>
      <c r="DX9" s="106"/>
      <c r="DY9" s="75"/>
      <c r="DZ9" s="105" t="s">
        <v>130</v>
      </c>
      <c r="EA9" s="105" t="s">
        <v>130</v>
      </c>
      <c r="EB9" s="76">
        <v>45268.505555555559</v>
      </c>
      <c r="EC9" s="105"/>
      <c r="ED9" s="105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3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9" t="s">
        <v>86</v>
      </c>
      <c r="AS6" s="119"/>
      <c r="AT6" s="119"/>
      <c r="AU6" s="119"/>
      <c r="AV6" s="119" t="s">
        <v>85</v>
      </c>
      <c r="AW6" s="119"/>
      <c r="AX6" s="119"/>
      <c r="AY6" s="119"/>
    </row>
    <row r="7" spans="2:51" s="11" customFormat="1" ht="8.15" customHeight="1" x14ac:dyDescent="0.4"/>
    <row r="8" spans="2:51" ht="40" customHeight="1" x14ac:dyDescent="0.4">
      <c r="B8" s="110" t="s">
        <v>0</v>
      </c>
      <c r="C8" s="110" t="s">
        <v>3</v>
      </c>
      <c r="D8" s="110" t="s">
        <v>70</v>
      </c>
      <c r="E8" s="110" t="s">
        <v>71</v>
      </c>
      <c r="F8" s="110" t="s">
        <v>32</v>
      </c>
      <c r="G8" s="110" t="s">
        <v>33</v>
      </c>
      <c r="H8" s="110" t="s">
        <v>34</v>
      </c>
      <c r="I8" s="110" t="s">
        <v>35</v>
      </c>
      <c r="J8" s="110" t="s">
        <v>36</v>
      </c>
      <c r="K8" s="110" t="s">
        <v>37</v>
      </c>
      <c r="L8" s="110" t="s">
        <v>38</v>
      </c>
      <c r="M8" s="110" t="s">
        <v>40</v>
      </c>
      <c r="N8" s="110" t="s">
        <v>39</v>
      </c>
      <c r="O8" s="110" t="s">
        <v>41</v>
      </c>
      <c r="P8" s="110" t="s">
        <v>94</v>
      </c>
      <c r="Q8" s="110" t="s">
        <v>95</v>
      </c>
      <c r="R8" s="110" t="s">
        <v>96</v>
      </c>
      <c r="S8" s="110" t="s">
        <v>97</v>
      </c>
      <c r="T8" s="110" t="s">
        <v>98</v>
      </c>
      <c r="U8" s="110" t="s">
        <v>99</v>
      </c>
      <c r="V8" s="110" t="s">
        <v>100</v>
      </c>
      <c r="W8" s="110" t="s">
        <v>101</v>
      </c>
      <c r="X8" s="110" t="s">
        <v>145</v>
      </c>
      <c r="Y8" s="110" t="s">
        <v>146</v>
      </c>
      <c r="Z8" s="110" t="s">
        <v>147</v>
      </c>
      <c r="AA8" s="110" t="s">
        <v>148</v>
      </c>
      <c r="AB8" s="110" t="s">
        <v>149</v>
      </c>
      <c r="AC8" s="110" t="s">
        <v>150</v>
      </c>
      <c r="AD8" s="110" t="s">
        <v>151</v>
      </c>
      <c r="AE8" s="110" t="s">
        <v>152</v>
      </c>
      <c r="AF8" s="110" t="s">
        <v>153</v>
      </c>
      <c r="AG8" s="110" t="s">
        <v>154</v>
      </c>
      <c r="AH8" s="110" t="s">
        <v>144</v>
      </c>
      <c r="AI8" s="110" t="s">
        <v>155</v>
      </c>
      <c r="AJ8" s="110" t="s">
        <v>156</v>
      </c>
      <c r="AK8" s="110" t="s">
        <v>157</v>
      </c>
      <c r="AL8" s="110" t="s">
        <v>158</v>
      </c>
      <c r="AM8" s="110" t="s">
        <v>159</v>
      </c>
      <c r="AN8" s="110" t="s">
        <v>160</v>
      </c>
      <c r="AO8" s="110" t="s">
        <v>161</v>
      </c>
      <c r="AP8" s="110" t="s">
        <v>162</v>
      </c>
      <c r="AQ8" s="110" t="s">
        <v>163</v>
      </c>
      <c r="AR8" s="110" t="s">
        <v>5</v>
      </c>
      <c r="AS8" s="110" t="s">
        <v>4</v>
      </c>
      <c r="AT8" s="110" t="s">
        <v>6</v>
      </c>
      <c r="AU8" s="110" t="s">
        <v>7</v>
      </c>
      <c r="AV8" s="110" t="s">
        <v>28</v>
      </c>
      <c r="AW8" s="110" t="s">
        <v>29</v>
      </c>
      <c r="AX8" s="110" t="s">
        <v>1</v>
      </c>
      <c r="AY8" s="110" t="s">
        <v>2</v>
      </c>
    </row>
    <row r="9" spans="2:51" ht="39.75" customHeight="1" x14ac:dyDescent="0.4">
      <c r="B9" s="106" cm="1">
        <f t="array" ref="B9">SN</f>
        <v>1</v>
      </c>
      <c r="C9" s="112" t="s">
        <v>290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75"/>
      <c r="AS9" s="76">
        <v>45268.505555555559</v>
      </c>
      <c r="AT9" s="75"/>
      <c r="AU9" s="75"/>
      <c r="AV9" s="109" t="str" cm="1">
        <f t="array" ref="AV9">Get_GUID_Surname</f>
        <v>冯</v>
      </c>
      <c r="AW9" s="108" t="str" cm="1">
        <f t="array" ref="AW9">Get_GUID_FirstName</f>
        <v>毅</v>
      </c>
      <c r="AX9" s="106" t="str" cm="1">
        <f t="array" ref="AX9">Get_GUID_Sex</f>
        <v>男</v>
      </c>
      <c r="AY9" s="106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2023-12-03T13:55:01Z</cp:lastPrinted>
  <dcterms:created xsi:type="dcterms:W3CDTF">2023-11-27T09:49:08Z</dcterms:created>
  <dcterms:modified xsi:type="dcterms:W3CDTF">2023-12-06T19:17:38Z</dcterms:modified>
</cp:coreProperties>
</file>