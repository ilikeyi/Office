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AA1AD63D-BD3E-4A8B-90EB-F49F17982633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Row],[唯一识别码]],History[类型],设置!$D$81)</definedName>
    <definedName name="Get_1_Calc">UserInfo[[#This Row],[1 - 存入]]-UserInfo[[#This Row],[1 - 支取]]</definedName>
    <definedName name="Get_1_Del">SUMIFS(History[1],History[唯一识别码],UserInfo[[#This Row],[唯一识别码]],History[类型],设置!$E$81)</definedName>
    <definedName name="Get_10_Add">SUMIFS(History[10],History[唯一识别码],UserInfo[[#This Row],[唯一识别码]],History[类型],设置!$D$81)</definedName>
    <definedName name="Get_10_Calc">UserInfo[[#This Row],[10 - 存入]]-UserInfo[[#This Row],[10 - 支取]]</definedName>
    <definedName name="Get_10_Del">SUMIFS(History[10],History[唯一识别码],UserInfo[[#This Row],[唯一识别码]],History[类型],设置!$E$81)</definedName>
    <definedName name="Get_11_Add">SUMIFS(History[11],History[唯一识别码],UserInfo[[#This Row],[唯一识别码]],History[类型],设置!$D$81)</definedName>
    <definedName name="Get_11_Calc">UserInfo[[#This Row],[11 - 存入]]-UserInfo[[#This Row],[11 - 支取]]</definedName>
    <definedName name="Get_11_Del">SUMIFS(History[11],History[唯一识别码],UserInfo[[#This Row],[唯一识别码]],History[类型],设置!$E$81)</definedName>
    <definedName name="Get_12_Add">SUMIFS(History[12],History[唯一识别码],UserInfo[[#This Row],[唯一识别码]],History[类型],设置!$D$81)</definedName>
    <definedName name="Get_12_Calc">UserInfo[[#This Row],[12 - 存入]]-UserInfo[[#This Row],[12 - 支取]]</definedName>
    <definedName name="Get_12_Del">SUMIFS(History[12],History[唯一识别码],UserInfo[[#This Row],[唯一识别码]],History[类型],设置!$E$81)</definedName>
    <definedName name="Get_13_Add">SUMIFS(History[13],History[唯一识别码],UserInfo[[#This Row],[唯一识别码]],History[类型],设置!$D$81)</definedName>
    <definedName name="Get_13_Calc">UserInfo[[#This Row],[13 - 存入]]-UserInfo[[#This Row],[13 - 支取]]</definedName>
    <definedName name="Get_13_Del">SUMIFS(History[13],History[唯一识别码],UserInfo[[#This Row],[唯一识别码]],History[类型],设置!$E$81)</definedName>
    <definedName name="Get_14_Add">SUMIFS(History[14],History[唯一识别码],UserInfo[[#This Row],[唯一识别码]],History[类型],设置!$D$81)</definedName>
    <definedName name="Get_14_Calc">UserInfo[[#This Row],[14 - 存入]]-UserInfo[[#This Row],[14 - 支取]]</definedName>
    <definedName name="Get_14_Del">SUMIFS(History[14],History[唯一识别码],UserInfo[[#This Row],[唯一识别码]],History[类型],设置!$E$81)</definedName>
    <definedName name="Get_15_Add">SUMIFS(History[15],History[唯一识别码],UserInfo[[#This Row],[唯一识别码]],History[类型],设置!$D$81)</definedName>
    <definedName name="Get_15_Calc">UserInfo[[#This Row],[15 - 存入]]-UserInfo[[#This Row],[15 - 支取]]</definedName>
    <definedName name="Get_15_Del">SUMIFS(History[15],History[唯一识别码],UserInfo[[#This Row],[唯一识别码]],History[类型],设置!$E$81)</definedName>
    <definedName name="Get_16_Add">SUMIFS(History[16],History[唯一识别码],UserInfo[[#This Row],[唯一识别码]],History[类型],设置!$D$81)</definedName>
    <definedName name="Get_16_Calc">UserInfo[[#This Row],[16 - 存入]]-UserInfo[[#This Row],[16 - 支取]]</definedName>
    <definedName name="Get_16_Del">SUMIFS(History[16],History[唯一识别码],UserInfo[[#This Row],[唯一识别码]],History[类型],设置!$E$81)</definedName>
    <definedName name="Get_17_Add">SUMIFS(History[17],History[唯一识别码],UserInfo[[#This Row],[唯一识别码]],History[类型],设置!$D$81)</definedName>
    <definedName name="Get_17_Calc">UserInfo[[#This Row],[17 - 存入]]-UserInfo[[#This Row],[17 - 支取]]</definedName>
    <definedName name="Get_17_Del">SUMIFS(History[17],History[唯一识别码],UserInfo[[#This Row],[唯一识别码]],History[类型],设置!$E$81)</definedName>
    <definedName name="Get_18_Add">SUMIFS(History[18],History[唯一识别码],UserInfo[[#This Row],[唯一识别码]],History[类型],设置!$D$81)</definedName>
    <definedName name="Get_18_Calc">UserInfo[[#This Row],[18 - 存入]]-UserInfo[[#This Row],[18 - 支取]]</definedName>
    <definedName name="Get_18_Del">SUMIFS(History[18],History[唯一识别码],UserInfo[[#This Row],[唯一识别码]],History[类型],设置!$E$81)</definedName>
    <definedName name="Get_19_Add">SUMIFS(History[19],History[唯一识别码],UserInfo[[#This Row],[唯一识别码]],History[类型],设置!$D$81)</definedName>
    <definedName name="Get_19_Calc">UserInfo[[#This Row],[19 - 存入]]-UserInfo[[#This Row],[19 - 支取]]</definedName>
    <definedName name="Get_19_Del">SUMIFS(History[19],History[唯一识别码],UserInfo[[#This Row],[唯一识别码]],History[类型],设置!$E$81)</definedName>
    <definedName name="Get_2_Add">SUMIFS(History[2],History[唯一识别码],UserInfo[[#This Row],[唯一识别码]],History[类型],设置!$D$81)</definedName>
    <definedName name="Get_2_Calc">UserInfo[[#This Row],[2 - 存入]]-UserInfo[[#This Row],[2 - 支取]]</definedName>
    <definedName name="Get_2_Del">SUMIFS(History[2],History[唯一识别码],UserInfo[[#This Row],[唯一识别码]],History[类型],设置!$E$81)</definedName>
    <definedName name="Get_20_Add">SUMIFS(History[20],History[唯一识别码],UserInfo[[#This Row],[唯一识别码]],History[类型],设置!$D$81)</definedName>
    <definedName name="Get_20_Calc">UserInfo[[#This Row],[20 - 存入]]-UserInfo[[#This Row],[20 - 支取]]</definedName>
    <definedName name="Get_20_Del">SUMIFS(History[20],History[唯一识别码],UserInfo[[#This Row],[唯一识别码]],History[类型],设置!$E$81)</definedName>
    <definedName name="Get_21_Add">SUMIFS(History[21],History[唯一识别码],UserInfo[[#This Row],[唯一识别码]],History[类型],设置!$D$81)</definedName>
    <definedName name="Get_21_Calc">UserInfo[[#This Row],[21 - 存入]]-UserInfo[[#This Row],[21 - 支取]]</definedName>
    <definedName name="Get_21_Del">SUMIFS(History[21],History[唯一识别码],UserInfo[[#This Row],[唯一识别码]],History[类型],设置!$E$81)</definedName>
    <definedName name="Get_22_Add">SUMIFS(History[22],History[唯一识别码],UserInfo[[#This Row],[唯一识别码]],History[类型],设置!$D$81)</definedName>
    <definedName name="Get_22_Calc">UserInfo[[#This Row],[22 - 存入]]-UserInfo[[#This Row],[22 - 支取]]</definedName>
    <definedName name="Get_22_Del">SUMIFS(History[22],History[唯一识别码],UserInfo[[#This Row],[唯一识别码]],History[类型],设置!$E$81)</definedName>
    <definedName name="Get_23_Add">SUMIFS(History[23],History[唯一识别码],UserInfo[[#This Row],[唯一识别码]],History[类型],设置!$D$81)</definedName>
    <definedName name="Get_23_Calc">UserInfo[[#This Row],[23 - 存入]]-UserInfo[[#This Row],[23 - 支取]]</definedName>
    <definedName name="Get_23_Del">SUMIFS(History[23],History[唯一识别码],UserInfo[[#This Row],[唯一识别码]],History[类型],设置!$E$81)</definedName>
    <definedName name="Get_24_Add">SUMIFS(History[24],History[唯一识别码],UserInfo[[#This Row],[唯一识别码]],History[类型],设置!$D$81)</definedName>
    <definedName name="Get_24_Calc">UserInfo[[#This Row],[24 - 存入]]-UserInfo[[#This Row],[24 - 支取]]</definedName>
    <definedName name="Get_24_Del">SUMIFS(History[24],History[唯一识别码],UserInfo[[#This Row],[唯一识别码]],History[类型],设置!$E$81)</definedName>
    <definedName name="Get_25_Add">SUMIFS(History[25],History[唯一识别码],UserInfo[[#This Row],[唯一识别码]],History[类型],设置!$D$81)</definedName>
    <definedName name="Get_25_Calc">UserInfo[[#This Row],[25 - 存入]]-UserInfo[[#This Row],[25 - 支取]]</definedName>
    <definedName name="Get_25_Del">SUMIFS(History[25],History[唯一识别码],UserInfo[[#This Row],[唯一识别码]],History[类型],设置!$E$81)</definedName>
    <definedName name="Get_26_Add">SUMIFS(History[26],History[唯一识别码],UserInfo[[#This Row],[唯一识别码]],History[类型],设置!$D$81)</definedName>
    <definedName name="Get_26_Calc">UserInfo[[#This Row],[26 - 存入]]-UserInfo[[#This Row],[26 - 支取]]</definedName>
    <definedName name="Get_26_Del">SUMIFS(History[26],History[唯一识别码],UserInfo[[#This Row],[唯一识别码]],History[类型],设置!$E$81)</definedName>
    <definedName name="Get_27_Add">SUMIFS(History[27],History[唯一识别码],UserInfo[[#This Row],[唯一识别码]],History[类型],设置!$D$81)</definedName>
    <definedName name="Get_27_Calc">UserInfo[[#This Row],[27 - 存入]]-UserInfo[[#This Row],[27 - 支取]]</definedName>
    <definedName name="Get_27_Del">SUMIFS(History[27],History[唯一识别码],UserInfo[[#This Row],[唯一识别码]],History[类型],设置!$E$81)</definedName>
    <definedName name="Get_28_Add">SUMIFS(History[28],History[唯一识别码],UserInfo[[#This Row],[唯一识别码]],History[类型],设置!$D$81)</definedName>
    <definedName name="Get_28_Calc">UserInfo[[#This Row],[28 - 存入]]-UserInfo[[#This Row],[28 - 支取]]</definedName>
    <definedName name="Get_28_Del">SUMIFS(History[28],History[唯一识别码],UserInfo[[#This Row],[唯一识别码]],History[类型],设置!$E$81)</definedName>
    <definedName name="Get_29_Add">SUMIFS(History[29],History[唯一识别码],UserInfo[[#This Row],[唯一识别码]],History[类型],设置!$D$81)</definedName>
    <definedName name="Get_29_Calc">UserInfo[[#This Row],[29 - 存入]]-UserInfo[[#This Row],[29 - 支取]]</definedName>
    <definedName name="Get_29_Del">SUMIFS(History[29],History[唯一识别码],UserInfo[[#This Row],[唯一识别码]],History[类型],设置!$E$81)</definedName>
    <definedName name="Get_3_Add">SUMIFS(History[3],History[唯一识别码],UserInfo[[#This Row],[唯一识别码]],History[类型],设置!$D$81)</definedName>
    <definedName name="Get_3_Calc">UserInfo[[#This Row],[3 - 存入]]-UserInfo[[#This Row],[3 - 支取]]</definedName>
    <definedName name="Get_3_Del">SUMIFS(History[3],History[唯一识别码],UserInfo[[#This Row],[唯一识别码]],History[类型],设置!$E$81)</definedName>
    <definedName name="Get_30_Add">SUMIFS(History[30],History[唯一识别码],UserInfo[[#This Row],[唯一识别码]],History[类型],设置!$D$81)</definedName>
    <definedName name="Get_30_Calc">UserInfo[[#This Row],[30 - 存入]]-UserInfo[[#This Row],[30 - 支取]]</definedName>
    <definedName name="Get_30_Del">SUMIFS(History[30],History[唯一识别码],UserInfo[[#This Row],[唯一识别码]],History[类型],设置!$E$81)</definedName>
    <definedName name="Get_31_Add">SUMIFS(History[31],History[唯一识别码],UserInfo[[#This Row],[唯一识别码]],History[类型],设置!$D$81)</definedName>
    <definedName name="Get_31_Calc">UserInfo[[#This Row],[31 - 存入]]-UserInfo[[#This Row],[31 - 支取]]</definedName>
    <definedName name="Get_31_Del">SUMIFS(History[31],History[唯一识别码],UserInfo[[#This Row],[唯一识别码]],History[类型],设置!$E$81)</definedName>
    <definedName name="Get_32_Add">SUMIFS(History[32],History[唯一识别码],UserInfo[[#This Row],[唯一识别码]],History[类型],设置!$D$81)</definedName>
    <definedName name="Get_32_Calc">UserInfo[[#This Row],[32 - 存入]]-UserInfo[[#This Row],[32 - 支取]]</definedName>
    <definedName name="Get_32_Del">SUMIFS(History[32],History[唯一识别码],UserInfo[[#This Row],[唯一识别码]],History[类型],设置!$E$81)</definedName>
    <definedName name="Get_33_Add">SUMIFS(History[33],History[唯一识别码],UserInfo[[#This Row],[唯一识别码]],History[类型],设置!$D$81)</definedName>
    <definedName name="Get_33_Calc">UserInfo[[#This Row],[33 - 存入]]-UserInfo[[#This Row],[33 - 支取]]</definedName>
    <definedName name="Get_33_Del">SUMIFS(History[33],History[唯一识别码],UserInfo[[#This Row],[唯一识别码]],History[类型],设置!$E$81)</definedName>
    <definedName name="Get_34_Add">SUMIFS(History[34],History[唯一识别码],UserInfo[[#This Row],[唯一识别码]],History[类型],设置!$D$81)</definedName>
    <definedName name="Get_34_Calc">UserInfo[[#This Row],[34 - 存入]]-UserInfo[[#This Row],[34 - 支取]]</definedName>
    <definedName name="Get_34_Del">SUMIFS(History[34],History[唯一识别码],UserInfo[[#This Row],[唯一识别码]],History[类型],设置!$E$81)</definedName>
    <definedName name="Get_35_Add">SUMIFS(History[35],History[唯一识别码],UserInfo[[#This Row],[唯一识别码]],History[类型],设置!$D$81)</definedName>
    <definedName name="Get_35_Calc">UserInfo[[#This Row],[35 - 存入]]-UserInfo[[#This Row],[35 - 支取]]</definedName>
    <definedName name="Get_35_Del">SUMIFS(History[35],History[唯一识别码],UserInfo[[#This Row],[唯一识别码]],History[类型],设置!$E$81)</definedName>
    <definedName name="Get_36_Add">SUMIFS(History[36],History[唯一识别码],UserInfo[[#This Row],[唯一识别码]],History[类型],设置!$D$81)</definedName>
    <definedName name="Get_36_Calc">UserInfo[[#This Row],[36 - 存入]]-UserInfo[[#This Row],[36 - 支取]]</definedName>
    <definedName name="Get_36_Del">SUMIFS(History[36],History[唯一识别码],UserInfo[[#This Row],[唯一识别码]],History[类型],设置!$E$81)</definedName>
    <definedName name="Get_37_Add">SUMIFS(History[37],History[唯一识别码],UserInfo[[#This Row],[唯一识别码]],History[类型],设置!$D$81)</definedName>
    <definedName name="Get_37_Calc">UserInfo[[#This Row],[37 - 存入]]-UserInfo[[#This Row],[37 - 支取]]</definedName>
    <definedName name="Get_37_Del">SUMIFS(History[37],History[唯一识别码],UserInfo[[#This Row],[唯一识别码]],History[类型],设置!$E$81)</definedName>
    <definedName name="Get_38_Add">SUMIFS(History[38],History[唯一识别码],UserInfo[[#This Row],[唯一识别码]],History[类型],设置!$D$81)</definedName>
    <definedName name="Get_38_Calc">UserInfo[[#This Row],[38 - 存入]]-UserInfo[[#This Row],[38 - 支取]]</definedName>
    <definedName name="Get_38_Del">SUMIFS(History[38],History[唯一识别码],UserInfo[[#This Row],[唯一识别码]],History[类型],设置!$E$81)</definedName>
    <definedName name="Get_39_Add">SUMIFS(History[39],History[唯一识别码],UserInfo[[#This Row],[唯一识别码]],History[类型],设置!$D$81)</definedName>
    <definedName name="Get_39_Calc">UserInfo[[#This Row],[39 - 存入]]-UserInfo[[#This Row],[39 - 支取]]</definedName>
    <definedName name="Get_39_Del">SUMIFS(History[39],History[唯一识别码],UserInfo[[#This Row],[唯一识别码]],History[类型],设置!$E$81)</definedName>
    <definedName name="Get_4_Add">SUMIFS(History[4],History[唯一识别码],UserInfo[[#This Row],[唯一识别码]],History[类型],设置!$D$81)</definedName>
    <definedName name="Get_4_Calc">UserInfo[[#This Row],[4 - 存入]]-UserInfo[[#This Row],[4 - 支取]]</definedName>
    <definedName name="Get_4_Del">SUMIFS(History[4],History[唯一识别码],UserInfo[[#This Row],[唯一识别码]],History[类型],设置!$E$81)</definedName>
    <definedName name="Get_40_Add">SUMIFS(History[40],History[唯一识别码],UserInfo[[#This Row],[唯一识别码]],History[类型],设置!$D$81)</definedName>
    <definedName name="Get_40_Calc">UserInfo[[#This Row],[40 - 存入]]-UserInfo[[#This Row],[40 - 支取]]</definedName>
    <definedName name="Get_40_Del">SUMIFS(History[40],History[唯一识别码],UserInfo[[#This Row],[唯一识别码]],History[类型],设置!$E$81)</definedName>
    <definedName name="Get_5_Add">SUMIFS(History[5],History[唯一识别码],UserInfo[[#This Row],[唯一识别码]],History[类型],设置!$D$81)</definedName>
    <definedName name="Get_5_Calc">UserInfo[[#This Row],[5 - 存入]]-UserInfo[[#This Row],[5 - 支取]]</definedName>
    <definedName name="Get_5_Del">SUMIFS(History[5],History[唯一识别码],UserInfo[[#This Row],[唯一识别码]],History[类型],设置!$E$81)</definedName>
    <definedName name="Get_6_Add">SUMIFS(History[6],History[唯一识别码],UserInfo[[#This Row],[唯一识别码]],History[类型],设置!$D$81)</definedName>
    <definedName name="Get_6_Calc">UserInfo[[#This Row],[6 - 存入]]-UserInfo[[#This Row],[6 - 支取]]</definedName>
    <definedName name="Get_6_Del">SUMIFS(History[6],History[唯一识别码],UserInfo[[#This Row],[唯一识别码]],History[类型],设置!$E$81)</definedName>
    <definedName name="Get_7_Add">SUMIFS(History[7],History[唯一识别码],UserInfo[[#This Row],[唯一识别码]],History[类型],设置!$D$81)</definedName>
    <definedName name="Get_7_Calc">UserInfo[[#This Row],[7 - 存入]]-UserInfo[[#This Row],[7 - 支取]]</definedName>
    <definedName name="Get_7_Del">SUMIFS(History[7],History[唯一识别码],UserInfo[[#This Row],[唯一识别码]],History[类型],设置!$E$81)</definedName>
    <definedName name="Get_8_Add">SUMIFS(History[8],History[唯一识别码],UserInfo[[#This Row],[唯一识别码]],History[类型],设置!$D$81)</definedName>
    <definedName name="Get_8_Calc">UserInfo[[#This Row],[8 - 存入]]-UserInfo[[#This Row],[8 - 支取]]</definedName>
    <definedName name="Get_8_Del">SUMIFS(History[8],History[唯一识别码],UserInfo[[#This Row],[唯一识别码]],History[类型],设置!$E$81)</definedName>
    <definedName name="Get_9_Add">SUMIFS(History[9],History[唯一识别码],UserInfo[[#This Row],[唯一识别码]],History[类型],设置!$D$81)</definedName>
    <definedName name="Get_9_Calc">UserInfo[[#This Row],[9 - 存入]]-UserInfo[[#This Row],[9 - 支取]]</definedName>
    <definedName name="Get_9_Del">SUMIFS(History[9],History[唯一识别码],UserInfo[[#This Row],[唯一识别码]],History[类型],设置!$E$81)</definedName>
    <definedName name="Get_Gender">设置!$D$85:$E$85</definedName>
    <definedName name="Get_GUID">UserInfo[唯一识别码]</definedName>
    <definedName name="Get_Keep_inventory">设置!$D$83:$E$83</definedName>
    <definedName name="Get_Levels">设置!$D$57:$O$57</definedName>
    <definedName name="Get_Staff_Member">设置!$D$53:$O$53</definedName>
    <definedName name="Get_Store_Uid">Store_Setting[唯一识别码]</definedName>
    <definedName name="Get_Type_of_Access">设置!$D$81:$E$81</definedName>
    <definedName name="Get_Work_Unit">设置!$D$67:$O$67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History[类型],设置!$D$81)</definedName>
    <definedName name="History_Total">COUNTIF(History[唯一识别码], UserInfo[[#This Row],[唯一识别码]])</definedName>
    <definedName name="History_Withdraw">COUNTIFS(History[唯一识别码], UserInfo[[#This Row],[唯一识别码]], History[类型],设置!$E$81)</definedName>
    <definedName name="_xlnm.Print_Titles" localSheetId="4">会员详细信息!$1:$6</definedName>
    <definedName name="_xlnm.Print_Titles" localSheetId="2">入库取货!$1:$4</definedName>
    <definedName name="_xlnm.Print_Titles" localSheetId="5">历史记录!$1:$6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88" i="1"/>
  <c r="B2" i="5"/>
  <c r="B2" i="6"/>
  <c r="B2" i="4"/>
  <c r="B2" i="8"/>
  <c r="B2" i="9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91" i="1" l="1"/>
  <c r="D90" i="1"/>
  <c r="B5" i="8" l="1" a="1"/>
  <c r="B5" i="8" s="1"/>
  <c r="B8" i="6" l="1" a="1"/>
  <c r="B8" i="6" s="1"/>
  <c r="C8" i="6" a="1"/>
  <c r="C8" i="6" s="1"/>
  <c r="EH8" i="6" s="1" a="1"/>
  <c r="EH8" i="6" s="1"/>
  <c r="EG8" i="6" l="1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9" i="1" s="1"/>
  <c r="B7" i="6" a="1"/>
  <c r="B7" i="6" s="1"/>
  <c r="D87" i="1" s="1"/>
  <c r="C7" i="6" a="1"/>
  <c r="C7" i="6" s="1"/>
  <c r="EH7" i="6" s="1" a="1"/>
  <c r="EH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<sst xmlns="http://schemas.openxmlformats.org/spreadsheetml/2006/main" count="719" uniqueCount="484">
  <si>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</si>
  <si>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</si>
  <si>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</si>
  <si>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</si>
  <si>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</si>
  <si>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</si>
  <si>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</si>
  <si>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</si>
  <si>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</si>
  <si>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</si>
  <si>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</si>
  <si>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</si>
  <si>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</si>
  <si>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</si>
  <si>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</si>
  <si>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</si>
  <si>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</si>
  <si>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</si>
  <si>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</si>
  <si>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</si>
  <si>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</si>
  <si>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</si>
  <si>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</si>
  <si>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</si>
  <si>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</si>
  <si>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</si>
  <si>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</si>
  <si>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</si>
  <si>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</si>
  <si>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</si>
  <si>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</si>
  <si>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</si>
  <si>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</si>
  <si>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</si>
  <si>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</si>
  <si>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</si>
  <si>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</si>
  <si>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</si>
  <si>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</si>
  <si>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</si>
  <si>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</si>
  <si>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</si>
  <si>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</si>
  <si>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</si>
  <si>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</si>
  <si>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</si>
  <si>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</si>
  <si>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</si>
  <si>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</si>
  <si>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</si>
  <si>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</si>
  <si>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</si>
  <si>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</si>
  <si>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</si>
  <si>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</si>
  <si>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</si>
  <si>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</si>
  <si>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</si>
  <si>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</si>
  <si>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</si>
  <si>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</si>
  <si>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</si>
  <si>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</si>
  <si>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</si>
  <si>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</si>
  <si>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</si>
  <si>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</si>
  <si>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</si>
  <si>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</si>
  <si>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</si>
  <si>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</si>
  <si>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</si>
  <si>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</si>
  <si>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</si>
  <si>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</si>
  <si>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</si>
  <si>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</si>
  <si>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</si>
  <si>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</si>
  <si>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</si>
  <si>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</si>
  <si>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</si>
  <si>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</si>
  <si>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</si>
  <si>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</si>
  <si>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</si>
  <si>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</si>
  <si>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</si>
  <si>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</si>
  <si>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</si>
  <si>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</si>
  <si>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</si>
  <si>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</si>
  <si>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</si>
  <si>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</si>
  <si>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</si>
  <si>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</si>
  <si>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</si>
  <si>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</si>
  <si>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</si>
  <si>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</si>
  <si>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</si>
  <si>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</si>
  <si>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</si>
  <si>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</si>
  <si>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</si>
  <si>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</si>
  <si>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</si>
  <si>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</si>
  <si>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</si>
  <si>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</si>
  <si>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</si>
  <si>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</si>
  <si>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</si>
  <si>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</si>
  <si>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</si>
  <si>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</si>
  <si>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</si>
  <si>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</si>
  <si>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</si>
  <si>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</si>
  <si>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</si>
  <si>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</si>
  <si>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</si>
  <si>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</si>
  <si>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</si>
  <si>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</si>
  <si>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</si>
  <si>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</si>
  <si>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</si>
  <si>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</si>
  <si>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</si>
  <si>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</si>
  <si>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</si>
  <si>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</si>
  <si>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</si>
  <si>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</si>
  <si>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</si>
  <si>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</si>
  <si>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</si>
  <si>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</si>
  <si>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</si>
  <si>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</si>
  <si>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</si>
  <si>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</si>
  <si>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</si>
  <si>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</si>
  <si>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</si>
  <si>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</si>
  <si>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</si>
  <si>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</si>
  <si>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</si>
  <si>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</si>
  <si>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</si>
  <si>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</si>
  <si>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</si>
  <si>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</si>
  <si>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</si>
  <si>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</si>
  <si>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</si>
  <si>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</si>
  <si>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</si>
  <si>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</si>
  <si>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</si>
  <si>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</si>
  <si>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</si>
  <si>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</si>
  <si>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</si>
  <si>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</si>
  <si>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</si>
  <si>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</si>
  <si>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</si>
  <si>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</si>
  <si>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</si>
  <si>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</si>
  <si>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</si>
  <si>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</si>
  <si>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</si>
  <si>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</si>
  <si>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</si>
  <si>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</si>
  <si>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</si>
  <si>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</si>
  <si>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</si>
  <si>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</si>
  <si>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</si>
  <si>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</si>
  <si>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</si>
  <si>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</si>
  <si>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</si>
  <si>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</si>
  <si>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</si>
  <si>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</si>
  <si>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</si>
  <si>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</si>
  <si>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</si>
  <si>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</si>
  <si>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</si>
  <si>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</si>
  <si>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</si>
  <si>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</si>
  <si>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</si>
  <si>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</si>
  <si>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</si>
  <si>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</si>
  <si>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</si>
  <si>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</si>
  <si>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</si>
  <si>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</si>
  <si>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</si>
  <si>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</si>
  <si>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</si>
  <si>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</si>
  <si>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</si>
  <si>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</si>
  <si>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</si>
  <si>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</si>
  <si>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</si>
  <si>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</si>
  <si>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</si>
  <si>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</si>
  <si>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</si>
  <si>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</si>
  <si>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</si>
  <si>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</si>
  <si>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</si>
  <si>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</si>
  <si>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</si>
  <si>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</si>
  <si>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</si>
  <si>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</si>
  <si>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</si>
  <si>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</si>
  <si>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</si>
  <si>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</si>
  <si>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</si>
  <si>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</si>
  <si>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</si>
  <si>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</si>
  <si>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</si>
  <si>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</si>
  <si>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</si>
  <si>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</si>
  <si>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</si>
  <si>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</si>
  <si>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</si>
  <si>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</si>
  <si>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</si>
  <si>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</si>
  <si>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</si>
  <si>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</si>
  <si>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</si>
  <si>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</si>
  <si>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</si>
  <si>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</si>
  <si>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</si>
  <si>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</si>
  <si>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</si>
  <si>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</si>
  <si>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</si>
  <si>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</si>
  <si>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</si>
  <si>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</si>
  <si>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</si>
  <si>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</si>
  <si>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</si>
  <si>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</si>
  <si>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</si>
  <si>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</si>
  <si>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</si>
  <si>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</si>
  <si>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</si>
  <si>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</si>
  <si>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</si>
  <si>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</si>
  <si>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</si>
  <si>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</si>
  <si>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</si>
  <si>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</si>
  <si>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</si>
  <si>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</si>
  <si>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</si>
  <si>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</si>
  <si>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</si>
  <si>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</si>
  <si>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</si>
  <si>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</si>
  <si>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</si>
  <si>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</si>
  <si>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</si>
  <si>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</si>
  <si>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</si>
  <si>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</si>
  <si>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</si>
  <si>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</si>
  <si>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</si>
  <si>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</si>
  <si>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</si>
  <si>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</si>
  <si>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</si>
  <si>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</si>
  <si>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</si>
  <si>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</si>
  <si>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</si>
  <si>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</si>
  <si>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</si>
  <si>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</si>
  <si>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</si>
  <si>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</si>
  <si>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</si>
  <si>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</si>
  <si>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</si>
  <si>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</si>
  <si>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</si>
  <si>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</si>
  <si>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</si>
  <si>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</si>
  <si>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</si>
  <si>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</si>
  <si>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</si>
  <si>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</si>
  <si>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</si>
  <si>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</si>
  <si>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</si>
  <si>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</si>
  <si>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</si>
  <si>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</si>
  <si>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</si>
  <si>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</si>
  <si>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</si>
  <si>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</si>
  <si>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</si>
  <si>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</si>
  <si>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</si>
  <si>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</si>
  <si>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</si>
  <si>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</si>
  <si>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</si>
  <si>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</si>
  <si>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</si>
  <si>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</si>
  <si>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</si>
  <si>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</si>
  <si>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</si>
  <si>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</si>
  <si>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</si>
  <si>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</si>
  <si>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</si>
  <si>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</si>
  <si>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</si>
  <si>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</si>
  <si>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</si>
  <si>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</si>
  <si>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</si>
  <si>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</si>
  <si>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</si>
  <si>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</si>
  <si>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</si>
  <si>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</si>
  <si>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</si>
  <si>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</si>
  <si>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</si>
  <si>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</si>
  <si>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</si>
  <si>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</si>
  <si>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</si>
  <si>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</si>
  <si>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</si>
  <si>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</si>
  <si>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</si>
  <si>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</si>
  <si>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</si>
  <si>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</si>
  <si>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</si>
  <si>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</si>
  <si>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</si>
  <si>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</si>
  <si>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</si>
  <si>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</si>
  <si>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</si>
  <si>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</si>
  <si>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</si>
  <si>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</si>
  <si>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</si>
  <si>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</si>
  <si>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</si>
  <si>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</si>
  <si>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</si>
  <si>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</si>
  <si>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</si>
  <si>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</si>
  <si>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</si>
  <si>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</si>
  <si>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</si>
  <si>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</si>
  <si>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</si>
  <si>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</si>
  <si>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</si>
  <si>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</si>
  <si>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</si>
  <si>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</si>
  <si>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</si>
  <si>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</si>
  <si>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</si>
  <si>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</si>
  <si>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</si>
  <si>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</si>
  <si>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</si>
  <si>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</si>
  <si>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</si>
  <si>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</si>
  <si>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</si>
  <si>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</si>
  <si>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</si>
  <si>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</si>
  <si>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</si>
  <si>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</si>
  <si>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</si>
  <si>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</si>
  <si>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</si>
  <si>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</si>
  <si>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</si>
  <si>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</si>
  <si>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</si>
  <si>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</si>
  <si>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</si>
  <si>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</si>
  <si>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</si>
  <si>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</si>
  <si>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</si>
  <si>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</si>
  <si>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</si>
  <si>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</si>
  <si>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</si>
  <si>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</si>
  <si>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</si>
  <si>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</si>
  <si>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</si>
  <si>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</si>
  <si>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</si>
  <si>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</si>
  <si>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</si>
  <si>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</si>
  <si>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</si>
  <si>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</si>
  <si>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</si>
  <si>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</si>
  <si>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</si>
  <si>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</si>
  <si>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</si>
  <si>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</si>
  <si>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</si>
  <si>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</si>
  <si>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</si>
  <si>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</si>
  <si>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</si>
  <si>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</si>
  <si>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</si>
  <si>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</si>
  <si>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</si>
  <si>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</si>
  <si>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</si>
  <si>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</si>
  <si>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</si>
  <si>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</si>
  <si>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</si>
  <si>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</si>
  <si>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</si>
  <si>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</si>
  <si>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</si>
  <si>
    <t>部分编辑受限</t>
  </si>
  <si>
    <t>时间错误</t>
  </si>
  <si>
    <t>v4</t>
  </si>
  <si>
    <t>新用户初始等级</t>
  </si>
  <si>
    <t>普通会员</t>
  </si>
  <si>
    <t>* 新增会员时自动填充初始等级</t>
  </si>
  <si>
    <t>会员等级</t>
  </si>
  <si>
    <t>银牌会员</t>
  </si>
  <si>
    <t>金牌会员</t>
  </si>
  <si>
    <t>铂金会员</t>
  </si>
  <si>
    <t>钻石会员</t>
  </si>
  <si>
    <t>至尊会员</t>
  </si>
  <si>
    <t>* 自动填充：新增入库、新增会员、新增存入、支取</t>
  </si>
  <si>
    <t>未选择会员等级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</si>
</sst>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8">
    <xf numFmtId="0" fontId="0" fillId="0" borderId="0" xfId="0"/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5" fillId="9" borderId="0" xfId="0" applyFont="1" applyFill="1" applyAlignment="1">
      <alignment horizontal="left" vertical="center"/>
    </xf>
    <xf numFmtId="0" fontId="6" fillId="9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6" fillId="16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6" fillId="14" borderId="0" xfId="0" applyFont="1" applyFill="1" applyAlignment="1">
      <alignment horizontal="left" vertical="center" indent="1"/>
    </xf>
    <xf numFmtId="0" fontId="6" fillId="14" borderId="0" xfId="0" applyFont="1" applyFill="1" applyAlignment="1">
      <alignment horizontal="left" vertical="center" indent="2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right" vertical="center" indent="2"/>
    </xf>
    <xf numFmtId="0" fontId="6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49" fontId="3" fillId="1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indent="1"/>
    </xf>
    <xf numFmtId="0" fontId="6" fillId="8" borderId="0" xfId="1" applyFont="1" applyFill="1" applyAlignment="1" applyProtection="1">
      <alignment horizontal="left" vertical="center" indent="1"/>
    </xf>
    <xf numFmtId="0" fontId="6" fillId="8" borderId="0" xfId="1" applyFont="1" applyFill="1" applyAlignment="1" applyProtection="1">
      <alignment vertical="center"/>
    </xf>
    <xf numFmtId="0" fontId="6" fillId="8" borderId="0" xfId="0" applyFont="1" applyFill="1" applyAlignment="1">
      <alignment horizontal="left" vertical="center" indent="1"/>
    </xf>
    <xf numFmtId="0" fontId="6" fillId="8" borderId="0" xfId="0" applyFont="1" applyFill="1" applyAlignment="1">
      <alignment vertical="center"/>
    </xf>
    <xf numFmtId="0" fontId="3" fillId="11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3" fillId="17" borderId="0" xfId="0" applyFont="1" applyFill="1" applyAlignment="1">
      <alignment horizontal="center" vertical="center"/>
    </xf>
    <xf numFmtId="0" fontId="9" fillId="13" borderId="0" xfId="0" applyFont="1" applyFill="1" applyAlignment="1" applyProtection="1">
      <alignment horizontal="left" vertical="center" indent="2"/>
      <protection locked="0"/>
    </xf>
    <xf numFmtId="0" fontId="9" fillId="13" borderId="0" xfId="0" applyFont="1" applyFill="1" applyAlignment="1">
      <alignment vertical="center"/>
    </xf>
    <xf numFmtId="0" fontId="9" fillId="13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right" vertical="center" indent="2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7" fillId="4" borderId="0" xfId="0" applyFont="1" applyFill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13" borderId="0" xfId="0" applyFont="1" applyFill="1" applyAlignment="1" applyProtection="1">
      <alignment horizontal="left" vertical="center" indent="1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indent="2"/>
    </xf>
    <xf numFmtId="0" fontId="3" fillId="11" borderId="0" xfId="0" applyFont="1" applyFill="1" applyAlignment="1">
      <alignment horizontal="left" vertical="center" indent="2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>
      <alignment horizontal="right" vertical="center" indent="2"/>
    </xf>
    <xf numFmtId="0" fontId="3" fillId="1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 indent="2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3" fillId="2" borderId="0" xfId="0" applyFont="1" applyFill="1"/>
    <xf numFmtId="0" fontId="3" fillId="2" borderId="0" xfId="0" applyFont="1" applyFill="1" applyAlignment="1">
      <alignment horizontal="left" vertical="center" indent="1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left" indent="1"/>
    </xf>
    <xf numFmtId="0" fontId="3" fillId="7" borderId="0" xfId="0" applyFont="1" applyFill="1" applyAlignment="1">
      <alignment horizontal="center" vertical="center"/>
    </xf>
    <xf numFmtId="0" fontId="6" fillId="2" borderId="0" xfId="1" applyFont="1" applyFill="1" applyAlignment="1" applyProtection="1">
      <alignment horizontal="right" vertical="center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11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vertical="center" wrapText="1"/>
    </xf>
    <xf numFmtId="0" fontId="3" fillId="12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5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2" dataDxfId="401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400">
      <calculatedColumnFormula>CONCATENATE(Store_Setting[[#This Row],[商品序号]], IF(Store_Setting[[#This Row],[商品名称]]="","", _xlfn.CONCAT(" | ",Store_Setting[[#This Row],[商品名称]])))</calculatedColumnFormula>
    </tableColumn>
    <tableColumn id="1" xr3:uid="{76D80D8E-17D9-4452-B1EE-33BFE80A31E7}" name="商品序号" dataDxfId="399"/>
    <tableColumn id="2" xr3:uid="{C28244F3-482D-4CFC-B629-A29496B98C0B}" name="商品名称" dataDxfId="398"/>
    <tableColumn id="11" xr3:uid="{71958388-9C14-426E-8457-DCEA92BC0E87}" name="负差" dataDxfId="397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6">
      <calculatedColumnFormula>SUM(UserInfo[1 - 剩余])</calculatedColumnFormula>
    </tableColumn>
    <tableColumn id="7" xr3:uid="{75829BDD-5513-4744-8184-35AE3788771C}" name="已存入" dataDxfId="395">
      <calculatedColumnFormula>SUM(UserInfo[1 - 存入])</calculatedColumnFormula>
    </tableColumn>
    <tableColumn id="6" xr3:uid="{B71F91EB-0024-4EC1-8035-3636C31B3740}" name="已支取" dataDxfId="394">
      <calculatedColumnFormula>SUM(UserInfo[1 - 支取])</calculatedColumnFormula>
    </tableColumn>
    <tableColumn id="5" xr3:uid="{6E4E3255-2204-43C6-A50C-EEAF08580A14}" name="库存负差" dataDxfId="393">
      <calculatedColumnFormula>Store_Setting[[#This Row],[入库小计]]-Store_Setting[[#This Row],[取货小计]]</calculatedColumnFormula>
    </tableColumn>
    <tableColumn id="9" xr3:uid="{7DA9A308-8441-49E3-B1B4-6AF7A14784F7}" name="入库小计" dataDxfId="392">
      <calculatedColumnFormula>SUMIFS(Store_History[数量],Store_History[唯一识别码],Store_Setting[[#This Row],[唯一识别码]],Store_History[类型],$D$83)</calculatedColumnFormula>
    </tableColumn>
    <tableColumn id="8" xr3:uid="{43D402E1-A683-4B65-923F-EB29ABFA8F93}" name="取货小计" dataDxfId="391">
      <calculatedColumnFormula>SUMIFS(Store_History[数量],Store_History[唯一识别码],Store_Setting[[#This Row],[唯一识别码]],Store_History[类型],$E$83)</calculatedColumnFormula>
    </tableColumn>
    <tableColumn id="13" xr3:uid="{CA008503-3851-4A3A-95EA-D5E7B623ECAE}" name="隐藏存入" dataDxfId="390"/>
    <tableColumn id="14" xr3:uid="{7AAE1579-D3AC-492B-8830-5F0CA2792BCF}" name="隐藏支取" dataDxfId="389"/>
    <tableColumn id="15" xr3:uid="{369D4935-858F-4DEC-9B49-AD7F7222A9C9}" name="MemberScope" dataDxfId="388"/>
    <tableColumn id="16" xr3:uid="{52E822AB-E6D3-4737-AA5F-238C893521EA}" name="MemberSave" dataDxfId="387"/>
    <tableColumn id="17" xr3:uid="{FE487014-85C9-4F6B-9EE2-006A2D21AC02}" name="MemberEject" dataDxfId="386"/>
    <tableColumn id="18" xr3:uid="{DF91574E-2FF7-4705-921F-E31C5A63C918}" name="HostoryScope" dataDxfId="385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2" dataDxfId="381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78" dataDxfId="377" totalsRowDxfId="376">
  <autoFilter ref="B6:EI8" xr:uid="{ADAB6017-62AE-4ECA-A153-D815FED82043}"/>
  <tableColumns count="138">
    <tableColumn id="1" xr3:uid="{69B39378-5DEE-4683-8063-2D1E5E369E67}" name="序号" totalsRowLabel="Total" dataDxfId="375" totalsRowDxfId="374">
      <calculatedColumnFormula array="1">SN</calculatedColumnFormula>
    </tableColumn>
    <tableColumn id="5" xr3:uid="{35BA10B8-A444-4F80-8F55-6146540C5A57}" name="唯一识别码" dataDxfId="373" totalsRowDxfId="372">
      <calculatedColumnFormula array="1">GUID</calculatedColumnFormula>
    </tableColumn>
    <tableColumn id="6" xr3:uid="{8A3791BE-D142-4B77-980F-0E769FF1CE0E}" name="1 - 剩余" dataDxfId="371">
      <calculatedColumnFormula array="1">Get_1_Calc</calculatedColumnFormula>
    </tableColumn>
    <tableColumn id="8" xr3:uid="{E45E7682-0361-46D3-BF20-AF1E07C3D65B}" name="1 - 存入" dataDxfId="370" totalsRowDxfId="369">
      <calculatedColumnFormula array="1">Get_1_Add</calculatedColumnFormula>
    </tableColumn>
    <tableColumn id="9" xr3:uid="{FE45F0F1-8F7A-4A14-B0E4-3EC60A580E37}" name="1 - 支取" dataDxfId="368" totalsRowDxfId="367">
      <calculatedColumnFormula array="1">Get_1_Del</calculatedColumnFormula>
    </tableColumn>
    <tableColumn id="7" xr3:uid="{B53043EA-8EAF-48CD-A1C4-F1751A029F72}" name="2 - 剩余" dataDxfId="366" totalsRowDxfId="365">
      <calculatedColumnFormula array="1">Get_2_Calc</calculatedColumnFormula>
    </tableColumn>
    <tableColumn id="10" xr3:uid="{95260041-5347-400B-AAEF-EE609D2539A1}" name="2 - 存入" dataDxfId="364" totalsRowDxfId="363">
      <calculatedColumnFormula array="1">Get_2_Add</calculatedColumnFormula>
    </tableColumn>
    <tableColumn id="11" xr3:uid="{33755691-0EB3-40CE-9B73-E91F8C102760}" name="2 - 支取" dataDxfId="362" totalsRowDxfId="361">
      <calculatedColumnFormula array="1">Get_2_Del</calculatedColumnFormula>
    </tableColumn>
    <tableColumn id="32" xr3:uid="{EC5EB628-FB36-43AE-A347-41E9ACE5D72E}" name="3 - 剩余" dataDxfId="360" totalsRowDxfId="359">
      <calculatedColumnFormula array="1">Get_3_Calc</calculatedColumnFormula>
    </tableColumn>
    <tableColumn id="33" xr3:uid="{43A56C01-D775-4C69-87D1-225F1941DB58}" name="3 - 存入" dataDxfId="358" totalsRowDxfId="357">
      <calculatedColumnFormula array="1">Get_3_Add</calculatedColumnFormula>
    </tableColumn>
    <tableColumn id="30" xr3:uid="{E3875226-6AB9-4F4B-91BF-CC71FCEAF551}" name="3 - 支取" dataDxfId="356" totalsRowDxfId="355">
      <calculatedColumnFormula array="1">Get_3_Del</calculatedColumnFormula>
    </tableColumn>
    <tableColumn id="31" xr3:uid="{B62D1E0D-5AB3-4BE3-8BC6-8442FF019A25}" name="4 - 剩余" dataDxfId="354" totalsRowDxfId="353">
      <calculatedColumnFormula array="1">Get_4_Calc</calculatedColumnFormula>
    </tableColumn>
    <tableColumn id="28" xr3:uid="{7B09D42A-E4B3-42DA-A7BC-1855D7B3276B}" name="4 - 存入" dataDxfId="352" totalsRowDxfId="351">
      <calculatedColumnFormula array="1">Get_4_Add</calculatedColumnFormula>
    </tableColumn>
    <tableColumn id="29" xr3:uid="{B7BDACF3-46DD-4203-BF1C-D95921A9EAB9}" name="4 - 支取" dataDxfId="350" totalsRowDxfId="349">
      <calculatedColumnFormula array="1">Get_4_Del</calculatedColumnFormula>
    </tableColumn>
    <tableColumn id="26" xr3:uid="{2B28D0BE-0636-4250-93AD-A6F7361B235B}" name="5 - 剩余" dataDxfId="348" totalsRowDxfId="347">
      <calculatedColumnFormula array="1">Get_5_Calc</calculatedColumnFormula>
    </tableColumn>
    <tableColumn id="27" xr3:uid="{E0E33EBF-F853-45D7-8D8D-4968D0DF550A}" name="5 - 存入" dataDxfId="346" totalsRowDxfId="345">
      <calculatedColumnFormula array="1">Get_5_Add</calculatedColumnFormula>
    </tableColumn>
    <tableColumn id="34" xr3:uid="{8BF8358E-3A1F-4FD6-A3D2-5C9ED03B66D2}" name="5 - 支取" dataDxfId="344" totalsRowDxfId="343">
      <calculatedColumnFormula array="1">Get_5_Del</calculatedColumnFormula>
    </tableColumn>
    <tableColumn id="35" xr3:uid="{BB2E7E56-CFEB-45E5-A53A-8F8601B9A6BC}" name="6 - 剩余" dataDxfId="342">
      <calculatedColumnFormula array="1">Get_6_Calc</calculatedColumnFormula>
    </tableColumn>
    <tableColumn id="36" xr3:uid="{B1C76173-BBE5-4463-A5A2-D59DF06DFEA3}" name="6 - 存入" dataDxfId="341" totalsRowDxfId="340">
      <calculatedColumnFormula array="1">Get_6_Add</calculatedColumnFormula>
    </tableColumn>
    <tableColumn id="37" xr3:uid="{252F1115-6468-4A69-A315-CC054804CD2D}" name="6 - 支取" dataDxfId="339" totalsRowDxfId="338">
      <calculatedColumnFormula array="1">Get_6_Del</calculatedColumnFormula>
    </tableColumn>
    <tableColumn id="20" xr3:uid="{A588D5D5-7793-43CD-9189-E1B0E04C4525}" name="7 - 剩余" dataDxfId="337" totalsRowDxfId="336">
      <calculatedColumnFormula array="1">Get_7_Calc</calculatedColumnFormula>
    </tableColumn>
    <tableColumn id="21" xr3:uid="{173A2F2F-7CDB-4106-BA59-7971244FD630}" name="7 - 存入" dataDxfId="335" totalsRowDxfId="334">
      <calculatedColumnFormula array="1">Get_7_Add</calculatedColumnFormula>
    </tableColumn>
    <tableColumn id="46" xr3:uid="{5DD0D315-AA29-4E95-AB07-E17D16311131}" name="7 - 支取" dataDxfId="333" totalsRowDxfId="332">
      <calculatedColumnFormula array="1">Get_7_Del</calculatedColumnFormula>
    </tableColumn>
    <tableColumn id="47" xr3:uid="{887630E9-FAB3-4BC4-AE9D-DA08EE18BEE8}" name="8 - 剩余" dataDxfId="331" totalsRowDxfId="330">
      <calculatedColumnFormula array="1">Get_8_Calc</calculatedColumnFormula>
    </tableColumn>
    <tableColumn id="44" xr3:uid="{74DD3BDF-B83E-43E2-A24B-4F5846C78DBC}" name="8 - 存入" dataDxfId="329" totalsRowDxfId="328">
      <calculatedColumnFormula array="1">Get_8_Add</calculatedColumnFormula>
    </tableColumn>
    <tableColumn id="45" xr3:uid="{F7703264-4D50-4502-8F6F-FB36B91EB021}" name="8 - 支取" dataDxfId="327" totalsRowDxfId="326">
      <calculatedColumnFormula array="1">Get_8_Del</calculatedColumnFormula>
    </tableColumn>
    <tableColumn id="42" xr3:uid="{4E67C08C-7260-499F-B198-7B6E4192E472}" name="9 - 剩余" dataDxfId="325" totalsRowDxfId="324">
      <calculatedColumnFormula array="1">Get_9_Calc</calculatedColumnFormula>
    </tableColumn>
    <tableColumn id="43" xr3:uid="{7F9B0DDB-B0CF-4F25-BEAA-5F937B25BDE0}" name="9 - 存入" dataDxfId="323" totalsRowDxfId="322">
      <calculatedColumnFormula array="1">Get_9_Add</calculatedColumnFormula>
    </tableColumn>
    <tableColumn id="40" xr3:uid="{3AA5B498-FA98-483A-A388-6B6F74476BFD}" name="9 - 支取" dataDxfId="321" totalsRowDxfId="320">
      <calculatedColumnFormula array="1">Get_9_Del</calculatedColumnFormula>
    </tableColumn>
    <tableColumn id="41" xr3:uid="{82D58ED2-A190-4823-8868-5A26D45CD476}" name="10 - 剩余" dataDxfId="319" totalsRowDxfId="318">
      <calculatedColumnFormula array="1">Get_10_Calc</calculatedColumnFormula>
    </tableColumn>
    <tableColumn id="38" xr3:uid="{800CF74D-0283-4B1A-9909-EF49C70CBE94}" name="10 - 存入" dataDxfId="317" totalsRowDxfId="316">
      <calculatedColumnFormula array="1">Get_10_Add</calculatedColumnFormula>
    </tableColumn>
    <tableColumn id="39" xr3:uid="{276FBA7A-AC3A-4E59-B8B1-B09B169E6837}" name="10 - 支取" dataDxfId="315" totalsRowDxfId="314">
      <calculatedColumnFormula array="1">Get_10_Del</calculatedColumnFormula>
    </tableColumn>
    <tableColumn id="48" xr3:uid="{A7B9D79E-F38B-48CB-AEE5-E7B7F6EF5C2C}" name="11 - 剩余" dataDxfId="313" totalsRowDxfId="312">
      <calculatedColumnFormula array="1">Get_11_Calc</calculatedColumnFormula>
    </tableColumn>
    <tableColumn id="49" xr3:uid="{01CFCCAE-6F8F-4C1E-8FF6-6275897A542E}" name="11 - 存入" dataDxfId="311" totalsRowDxfId="310">
      <calculatedColumnFormula array="1">Get_11_Add</calculatedColumnFormula>
    </tableColumn>
    <tableColumn id="14" xr3:uid="{27E31913-0377-43BF-8773-DF68330317BA}" name="11 - 支取" dataDxfId="309" totalsRowDxfId="308">
      <calculatedColumnFormula array="1">Get_11_Del</calculatedColumnFormula>
    </tableColumn>
    <tableColumn id="51" xr3:uid="{5B85F460-5E62-4025-895D-56CA23340014}" name="12 - 剩余" dataDxfId="307" totalsRowDxfId="306">
      <calculatedColumnFormula array="1">Get_12_Calc</calculatedColumnFormula>
    </tableColumn>
    <tableColumn id="52" xr3:uid="{0EC70A7E-2DCB-4261-AA03-9B9BE1BAEC8F}" name="12 - 存入" dataDxfId="305" totalsRowDxfId="304">
      <calculatedColumnFormula array="1">Get_12_Add</calculatedColumnFormula>
    </tableColumn>
    <tableColumn id="50" xr3:uid="{3EB42EAC-DC06-4CC0-A5A9-B7FE23DC5389}" name="12 - 支取" dataDxfId="303" totalsRowDxfId="302">
      <calculatedColumnFormula array="1">Get_12_Del</calculatedColumnFormula>
    </tableColumn>
    <tableColumn id="65" xr3:uid="{EDF8FCAF-50EB-44D5-B6A9-3CD2A6E9AE1E}" name="13 - 剩余" dataDxfId="301" totalsRowDxfId="300">
      <calculatedColumnFormula array="1">Get_13_Calc</calculatedColumnFormula>
    </tableColumn>
    <tableColumn id="66" xr3:uid="{F5CC81DC-58D2-4192-A82D-389419FBEF0D}" name="13 - 存入" dataDxfId="299" totalsRowDxfId="298">
      <calculatedColumnFormula array="1">Get_13_Add</calculatedColumnFormula>
    </tableColumn>
    <tableColumn id="67" xr3:uid="{CDD18276-7453-4E17-BA82-D9E26BD8811B}" name="13 - 支取" dataDxfId="297" totalsRowDxfId="296">
      <calculatedColumnFormula array="1">Get_13_Del</calculatedColumnFormula>
    </tableColumn>
    <tableColumn id="62" xr3:uid="{68ACC17D-E3C3-4466-88A6-F2F14F757F76}" name="14 - 剩余" dataDxfId="295" totalsRowDxfId="294">
      <calculatedColumnFormula array="1">Get_14_Calc</calculatedColumnFormula>
    </tableColumn>
    <tableColumn id="63" xr3:uid="{0E0EE3C5-8F3C-4968-B0E6-50B1C2B616A8}" name="14 - 存入" dataDxfId="293" totalsRowDxfId="292">
      <calculatedColumnFormula array="1">Get_14_Add</calculatedColumnFormula>
    </tableColumn>
    <tableColumn id="64" xr3:uid="{AD67C543-6A27-4C51-906F-D522151C0D92}" name="14 - 支取" dataDxfId="291" totalsRowDxfId="290">
      <calculatedColumnFormula array="1">Get_14_Del</calculatedColumnFormula>
    </tableColumn>
    <tableColumn id="59" xr3:uid="{7CAE30DB-B183-4017-8A77-F435FA507A01}" name="15 - 剩余" dataDxfId="289" totalsRowDxfId="288">
      <calculatedColumnFormula array="1">Get_15_Calc</calculatedColumnFormula>
    </tableColumn>
    <tableColumn id="60" xr3:uid="{10EF06B0-FD95-42A9-BFCC-64BBC565CA14}" name="15 - 存入" dataDxfId="287" totalsRowDxfId="286">
      <calculatedColumnFormula array="1">Get_15_Add</calculatedColumnFormula>
    </tableColumn>
    <tableColumn id="61" xr3:uid="{6301F8B4-4D01-4FDA-8D32-75921B15A2D9}" name="15 - 支取" dataDxfId="285" totalsRowDxfId="284">
      <calculatedColumnFormula array="1">Get_15_Del</calculatedColumnFormula>
    </tableColumn>
    <tableColumn id="56" xr3:uid="{05F125DE-5AE7-4786-ACBC-DAF9D7222A62}" name="16 - 剩余" dataDxfId="283" totalsRowDxfId="282">
      <calculatedColumnFormula array="1">Get_16_Calc</calculatedColumnFormula>
    </tableColumn>
    <tableColumn id="57" xr3:uid="{7E6969DC-E3FC-4DA8-BB9D-6B36E075458F}" name="16 - 存入" dataDxfId="281" totalsRowDxfId="280">
      <calculatedColumnFormula array="1">Get_16_Add</calculatedColumnFormula>
    </tableColumn>
    <tableColumn id="58" xr3:uid="{84C80CB2-57F5-4B66-8756-5573CD699D16}" name="16 - 支取" dataDxfId="279" totalsRowDxfId="278">
      <calculatedColumnFormula array="1">Get_16_Del</calculatedColumnFormula>
    </tableColumn>
    <tableColumn id="53" xr3:uid="{65516705-AD27-4ECA-AF09-D132C51E08CE}" name="17 - 剩余" dataDxfId="277" totalsRowDxfId="276">
      <calculatedColumnFormula array="1">Get_17_Calc</calculatedColumnFormula>
    </tableColumn>
    <tableColumn id="54" xr3:uid="{0756DBD3-FDA1-4E71-849C-F20BBD0A5182}" name="17 - 存入" dataDxfId="275" totalsRowDxfId="274">
      <calculatedColumnFormula array="1">Get_17_Add</calculatedColumnFormula>
    </tableColumn>
    <tableColumn id="55" xr3:uid="{51CB254C-5F29-4215-8FE0-F8B8B7B32759}" name="17 - 支取" dataDxfId="273" totalsRowDxfId="272">
      <calculatedColumnFormula array="1">Get_17_Del</calculatedColumnFormula>
    </tableColumn>
    <tableColumn id="68" xr3:uid="{9C2EC294-A2C3-40B0-9E15-FFA1DA6DE0E7}" name="18 - 剩余" dataDxfId="271" totalsRowDxfId="270">
      <calculatedColumnFormula array="1">Get_18_Calc</calculatedColumnFormula>
    </tableColumn>
    <tableColumn id="69" xr3:uid="{A371F69D-1236-4AAC-B5F1-72D518D6FC69}" name="18 - 存入" dataDxfId="269" totalsRowDxfId="268">
      <calculatedColumnFormula array="1">Get_18_Add</calculatedColumnFormula>
    </tableColumn>
    <tableColumn id="70" xr3:uid="{7B3C5D9B-BC0C-404F-9490-CDADC350F1D7}" name="18 - 支取" dataDxfId="267" totalsRowDxfId="266">
      <calculatedColumnFormula array="1">Get_18_Del</calculatedColumnFormula>
    </tableColumn>
    <tableColumn id="19" xr3:uid="{91B42855-55D1-4A6A-B9A8-5EE011ADEB10}" name="19 - 剩余" dataDxfId="265" totalsRowDxfId="264">
      <calculatedColumnFormula array="1">Get_19_Calc</calculatedColumnFormula>
    </tableColumn>
    <tableColumn id="18" xr3:uid="{98EE3A39-A8AB-42CF-AEB5-291E8B95D8CA}" name="19 - 存入" dataDxfId="263" totalsRowDxfId="262">
      <calculatedColumnFormula array="1">Get_19_Add</calculatedColumnFormula>
    </tableColumn>
    <tableColumn id="73" xr3:uid="{DB40D44F-8801-4D50-BA48-8323E05D2E13}" name="19 - 支取" dataDxfId="261" totalsRowDxfId="260">
      <calculatedColumnFormula array="1">Get_19_Del</calculatedColumnFormula>
    </tableColumn>
    <tableColumn id="72" xr3:uid="{470D5EC3-31A6-4851-B48C-D6DDADACC807}" name="20 - 剩余" dataDxfId="259" totalsRowDxfId="258">
      <calculatedColumnFormula array="1">Get_20_Calc</calculatedColumnFormula>
    </tableColumn>
    <tableColumn id="71" xr3:uid="{39143051-B360-4CEF-883D-35BFEEAE3BA0}" name="20 - 存入" dataDxfId="257" totalsRowDxfId="256">
      <calculatedColumnFormula array="1">Get_20_Add</calculatedColumnFormula>
    </tableColumn>
    <tableColumn id="15" xr3:uid="{8C1BB1E7-B23F-46EC-AE4E-28A3C394FD55}" name="20 - 支取" dataDxfId="255" totalsRowDxfId="254">
      <calculatedColumnFormula array="1">Get_20_Del</calculatedColumnFormula>
    </tableColumn>
    <tableColumn id="102" xr3:uid="{F21D4D43-73EE-4C8A-8AEF-E424CE485010}" name="21 - 剩余" dataDxfId="253" totalsRowDxfId="252">
      <calculatedColumnFormula array="1">Get_21_Calc</calculatedColumnFormula>
    </tableColumn>
    <tableColumn id="103" xr3:uid="{4486E59C-66B0-413C-AFFC-A8A336BC25D8}" name="21 - 存入" dataDxfId="251" totalsRowDxfId="250">
      <calculatedColumnFormula array="1">Get_21_Add</calculatedColumnFormula>
    </tableColumn>
    <tableColumn id="104" xr3:uid="{564EC857-6030-490D-A2E5-16F4F8221C23}" name="21 - 支取" dataDxfId="249" totalsRowDxfId="248">
      <calculatedColumnFormula array="1">Get_21_Del</calculatedColumnFormula>
    </tableColumn>
    <tableColumn id="105" xr3:uid="{31132AB1-247A-4EB9-8A8A-871FED0D5AA1}" name="22 - 剩余" dataDxfId="247" totalsRowDxfId="246">
      <calculatedColumnFormula array="1">Get_22_Calc</calculatedColumnFormula>
    </tableColumn>
    <tableColumn id="98" xr3:uid="{CF6220B5-7B80-445C-A013-845D35543916}" name="22 - 存入" dataDxfId="245" totalsRowDxfId="244">
      <calculatedColumnFormula array="1">Get_22_Add</calculatedColumnFormula>
    </tableColumn>
    <tableColumn id="99" xr3:uid="{98BD4691-C847-4F41-8E6C-BEC01B8FAEB3}" name="22 - 支取" dataDxfId="243" totalsRowDxfId="242">
      <calculatedColumnFormula array="1">Get_22_Del</calculatedColumnFormula>
    </tableColumn>
    <tableColumn id="100" xr3:uid="{66330D4E-ED0D-41A7-921D-E622CA8068A4}" name="23 - 剩余" dataDxfId="241" totalsRowDxfId="240">
      <calculatedColumnFormula array="1">Get_23_Calc</calculatedColumnFormula>
    </tableColumn>
    <tableColumn id="101" xr3:uid="{3345E086-C2E9-453D-A0EB-A7471CF2ACB2}" name="23 - 存入" dataDxfId="239" totalsRowDxfId="238">
      <calculatedColumnFormula array="1">Get_23_Add</calculatedColumnFormula>
    </tableColumn>
    <tableColumn id="94" xr3:uid="{8EF3E108-22A5-4CBC-9928-BC115EFE882A}" name="23 - 支取" dataDxfId="237" totalsRowDxfId="236">
      <calculatedColumnFormula array="1">Get_23_Del</calculatedColumnFormula>
    </tableColumn>
    <tableColumn id="95" xr3:uid="{C6AA287C-2EA3-4286-A71D-29E22D519C41}" name="24 - 剩余" dataDxfId="235" totalsRowDxfId="234">
      <calculatedColumnFormula array="1">Get_24_Calc</calculatedColumnFormula>
    </tableColumn>
    <tableColumn id="96" xr3:uid="{1FDAF720-4143-496A-91C3-D65BD5CBA18F}" name="24 - 存入" dataDxfId="233" totalsRowDxfId="232">
      <calculatedColumnFormula array="1">Get_24_Add</calculatedColumnFormula>
    </tableColumn>
    <tableColumn id="97" xr3:uid="{0CACBF11-449C-4C06-A249-904EB5517854}" name="24 - 支取" dataDxfId="231" totalsRowDxfId="230">
      <calculatedColumnFormula array="1">Get_24_Del</calculatedColumnFormula>
    </tableColumn>
    <tableColumn id="90" xr3:uid="{11D36A45-02CB-476F-A2D2-734F76A2D1A6}" name="25 - 剩余" dataDxfId="229" totalsRowDxfId="228">
      <calculatedColumnFormula array="1">Get_25_Calc</calculatedColumnFormula>
    </tableColumn>
    <tableColumn id="91" xr3:uid="{8B60EC99-F04A-45EF-8F17-680319744A85}" name="25 - 存入" dataDxfId="227" totalsRowDxfId="226">
      <calculatedColumnFormula array="1">Get_25_Add</calculatedColumnFormula>
    </tableColumn>
    <tableColumn id="92" xr3:uid="{AD05D88D-F2C1-4505-9BBD-FDC0B2D388F3}" name="25 - 支取" dataDxfId="225" totalsRowDxfId="224">
      <calculatedColumnFormula array="1">Get_25_Del</calculatedColumnFormula>
    </tableColumn>
    <tableColumn id="93" xr3:uid="{F7CB76E9-97CE-4CC8-AEDA-CB574593A924}" name="26 - 剩余" dataDxfId="223" totalsRowDxfId="222">
      <calculatedColumnFormula array="1">Get_26_Calc</calculatedColumnFormula>
    </tableColumn>
    <tableColumn id="86" xr3:uid="{6D74E673-FBC5-435E-9229-8C187E67EA3F}" name="26 - 存入" dataDxfId="221" totalsRowDxfId="220">
      <calculatedColumnFormula array="1">Get_26_Add</calculatedColumnFormula>
    </tableColumn>
    <tableColumn id="87" xr3:uid="{C2C28027-A1CD-440D-BB33-3A80FCC5A8C1}" name="26 - 支取" dataDxfId="219" totalsRowDxfId="218">
      <calculatedColumnFormula array="1">Get_26_Del</calculatedColumnFormula>
    </tableColumn>
    <tableColumn id="88" xr3:uid="{070B4F15-D610-4FCF-B681-42E984B3F85F}" name="27 - 剩余" dataDxfId="217" totalsRowDxfId="216">
      <calculatedColumnFormula array="1">Get_27_Calc</calculatedColumnFormula>
    </tableColumn>
    <tableColumn id="89" xr3:uid="{04BA09B0-47DA-4E80-BEEC-AB8498C074D5}" name="27 - 存入" dataDxfId="215" totalsRowDxfId="214">
      <calculatedColumnFormula array="1">Get_27_Add</calculatedColumnFormula>
    </tableColumn>
    <tableColumn id="82" xr3:uid="{17B1B927-AD09-4E4A-B7FC-33ED76279CBC}" name="27 - 支取" dataDxfId="213" totalsRowDxfId="212">
      <calculatedColumnFormula array="1">Get_27_Del</calculatedColumnFormula>
    </tableColumn>
    <tableColumn id="83" xr3:uid="{2F4ED0A5-EE6B-4248-832C-F478A57FA0D5}" name="28 - 剩余" dataDxfId="211" totalsRowDxfId="210">
      <calculatedColumnFormula array="1">Get_28_Calc</calculatedColumnFormula>
    </tableColumn>
    <tableColumn id="84" xr3:uid="{D1140375-114D-49D9-A424-519A4250A622}" name="28 - 存入" dataDxfId="209" totalsRowDxfId="208">
      <calculatedColumnFormula array="1">Get_28_Add</calculatedColumnFormula>
    </tableColumn>
    <tableColumn id="85" xr3:uid="{53209986-74FA-491C-8499-CAD58386B246}" name="28 - 支取" dataDxfId="207" totalsRowDxfId="206">
      <calculatedColumnFormula array="1">Get_28_Del</calculatedColumnFormula>
    </tableColumn>
    <tableColumn id="78" xr3:uid="{9B1695E1-88D0-4B66-86DA-6328CEFA236B}" name="29 - 剩余" dataDxfId="205" totalsRowDxfId="204">
      <calculatedColumnFormula array="1">Get_29_Calc</calculatedColumnFormula>
    </tableColumn>
    <tableColumn id="79" xr3:uid="{AD5F07E7-774D-47C8-B9B7-0278E35D62E4}" name="29 - 存入" dataDxfId="203" totalsRowDxfId="202">
      <calculatedColumnFormula array="1">Get_29_Add</calculatedColumnFormula>
    </tableColumn>
    <tableColumn id="80" xr3:uid="{60613223-E2AD-4FE8-AB22-74D7D70E9EC2}" name="29 - 支取" dataDxfId="201" totalsRowDxfId="200">
      <calculatedColumnFormula array="1">Get_29_Del</calculatedColumnFormula>
    </tableColumn>
    <tableColumn id="81" xr3:uid="{598D87C2-40FF-4EB0-A568-2DE01DFD9C9A}" name="30 - 剩余" dataDxfId="199" totalsRowDxfId="198">
      <calculatedColumnFormula array="1">Get_30_Calc</calculatedColumnFormula>
    </tableColumn>
    <tableColumn id="112" xr3:uid="{A33BC1F0-D006-4639-92C6-0E411B6CA96D}" name="30 - 存入" dataDxfId="197" totalsRowDxfId="196">
      <calculatedColumnFormula array="1">Get_30_Add</calculatedColumnFormula>
    </tableColumn>
    <tableColumn id="113" xr3:uid="{AF7F8313-8446-4886-AE41-FE26C24E6965}" name="30 - 支取" dataDxfId="195" totalsRowDxfId="194">
      <calculatedColumnFormula array="1">Get_30_Del</calculatedColumnFormula>
    </tableColumn>
    <tableColumn id="114" xr3:uid="{32AC448A-1D9F-45C6-ADF0-484483D61305}" name="31 - 剩余" dataDxfId="193" totalsRowDxfId="192">
      <calculatedColumnFormula array="1">Get_31_Calc</calculatedColumnFormula>
    </tableColumn>
    <tableColumn id="109" xr3:uid="{6656E887-BCA1-45C6-9018-4F892EDCD6BD}" name="31 - 存入" dataDxfId="191" totalsRowDxfId="190">
      <calculatedColumnFormula array="1">Get_31_Add</calculatedColumnFormula>
    </tableColumn>
    <tableColumn id="110" xr3:uid="{19143AD3-AFEC-4767-B097-6EFED19C1D5F}" name="31 - 支取" dataDxfId="189" totalsRowDxfId="188">
      <calculatedColumnFormula array="1">Get_31_Del</calculatedColumnFormula>
    </tableColumn>
    <tableColumn id="111" xr3:uid="{A73390AD-84AD-4B11-962F-A0DD77AF79DB}" name="32 - 剩余" dataDxfId="187" totalsRowDxfId="186">
      <calculatedColumnFormula array="1">Get_32_Calc</calculatedColumnFormula>
    </tableColumn>
    <tableColumn id="106" xr3:uid="{CD563433-AB70-48C2-B28C-D63B8FE4231B}" name="32 - 存入" dataDxfId="185" totalsRowDxfId="184">
      <calculatedColumnFormula array="1">Get_32_Add</calculatedColumnFormula>
    </tableColumn>
    <tableColumn id="107" xr3:uid="{8C2B9726-7B44-4012-849B-90C10E42CC75}" name="32 - 支取" dataDxfId="183" totalsRowDxfId="182">
      <calculatedColumnFormula array="1">Get_32_Del</calculatedColumnFormula>
    </tableColumn>
    <tableColumn id="108" xr3:uid="{E5AF4544-102C-474F-A246-CC7171B33738}" name="33 - 剩余" dataDxfId="181" totalsRowDxfId="180">
      <calculatedColumnFormula array="1">Get_33_Calc</calculatedColumnFormula>
    </tableColumn>
    <tableColumn id="121" xr3:uid="{C1F5D498-1262-44DF-B066-1A676148E301}" name="33 - 存入" dataDxfId="179" totalsRowDxfId="178">
      <calculatedColumnFormula array="1">Get_33_Add</calculatedColumnFormula>
    </tableColumn>
    <tableColumn id="122" xr3:uid="{2F6821D0-F42C-4DED-A045-B1C398C90F61}" name="33 - 支取" dataDxfId="177" totalsRowDxfId="176">
      <calculatedColumnFormula array="1">Get_33_Del</calculatedColumnFormula>
    </tableColumn>
    <tableColumn id="123" xr3:uid="{DDEBD9FE-7A2F-41FF-9BD6-93F0E3570136}" name="34 - 剩余" dataDxfId="175" totalsRowDxfId="174">
      <calculatedColumnFormula array="1">Get_34_Calc</calculatedColumnFormula>
    </tableColumn>
    <tableColumn id="118" xr3:uid="{DEAF0FA5-8ADE-45D7-B112-EA03FAA0D896}" name="34 - 存入" dataDxfId="173" totalsRowDxfId="172">
      <calculatedColumnFormula array="1">Get_34_Add</calculatedColumnFormula>
    </tableColumn>
    <tableColumn id="119" xr3:uid="{C95831F4-24FC-40B7-A0D8-FEBAAA6EAD80}" name="34 - 支取" dataDxfId="171" totalsRowDxfId="170">
      <calculatedColumnFormula array="1">Get_34_Del</calculatedColumnFormula>
    </tableColumn>
    <tableColumn id="120" xr3:uid="{8C22D30B-320F-49E4-B37A-57A3D5DEE429}" name="35 - 剩余" dataDxfId="169" totalsRowDxfId="168">
      <calculatedColumnFormula array="1">Get_35_Calc</calculatedColumnFormula>
    </tableColumn>
    <tableColumn id="115" xr3:uid="{DC9FF648-80A3-480C-8295-816AE96549F0}" name="35 - 存入" dataDxfId="167" totalsRowDxfId="166">
      <calculatedColumnFormula array="1">Get_35_Add</calculatedColumnFormula>
    </tableColumn>
    <tableColumn id="116" xr3:uid="{19FD796A-C39B-4913-B2F4-CF8C8A6E2355}" name="35 - 支取" dataDxfId="165" totalsRowDxfId="164">
      <calculatedColumnFormula array="1">Get_35_Del</calculatedColumnFormula>
    </tableColumn>
    <tableColumn id="117" xr3:uid="{329AC6EB-CF46-4F1E-A1D1-49A8B17CACCD}" name="36 - 剩余" dataDxfId="163" totalsRowDxfId="162">
      <calculatedColumnFormula array="1">Get_36_Calc</calculatedColumnFormula>
    </tableColumn>
    <tableColumn id="77" xr3:uid="{D18373BA-DB75-470C-9939-60206C36267B}" name="36 - 存入" dataDxfId="161" totalsRowDxfId="160">
      <calculatedColumnFormula array="1">Get_36_Add</calculatedColumnFormula>
    </tableColumn>
    <tableColumn id="76" xr3:uid="{8C923C1F-8AAD-4F00-B3ED-8C81417C548A}" name="36 - 支取" dataDxfId="159" totalsRowDxfId="158">
      <calculatedColumnFormula array="1">Get_36_Del</calculatedColumnFormula>
    </tableColumn>
    <tableColumn id="132" xr3:uid="{F6203D74-C033-4FEA-B4CE-F892F2B07270}" name="37 - 剩余" dataDxfId="157" totalsRowDxfId="156">
      <calculatedColumnFormula array="1">Get_37_Calc</calculatedColumnFormula>
    </tableColumn>
    <tableColumn id="133" xr3:uid="{BA7DE93C-8EE4-4DDC-BC04-EC21986490A7}" name="37 - 存入" dataDxfId="155" totalsRowDxfId="154">
      <calculatedColumnFormula array="1">Get_37_Add</calculatedColumnFormula>
    </tableColumn>
    <tableColumn id="128" xr3:uid="{A2AB67E7-67E5-4957-9EB1-A4A37B61C71A}" name="37 - 支取" dataDxfId="153" totalsRowDxfId="152">
      <calculatedColumnFormula array="1">Get_37_Del</calculatedColumnFormula>
    </tableColumn>
    <tableColumn id="129" xr3:uid="{15573BDA-20F9-4C2F-9D6F-18F743FC6E25}" name="38 - 剩余" dataDxfId="151" totalsRowDxfId="150">
      <calculatedColumnFormula array="1">Get_38_Calc</calculatedColumnFormula>
    </tableColumn>
    <tableColumn id="130" xr3:uid="{C0F229CF-C5D6-4F11-8F55-7692B00DC0E3}" name="38 - 存入" dataDxfId="149" totalsRowDxfId="148">
      <calculatedColumnFormula array="1">Get_38_Add</calculatedColumnFormula>
    </tableColumn>
    <tableColumn id="125" xr3:uid="{24A0AFA6-873B-40D0-95AA-269E0E8A05E1}" name="38 - 支取" dataDxfId="147" totalsRowDxfId="146">
      <calculatedColumnFormula array="1">Get_38_Del</calculatedColumnFormula>
    </tableColumn>
    <tableColumn id="126" xr3:uid="{20897FAE-D3FE-48DD-961E-6A6443173FA9}" name="39 - 剩余" dataDxfId="145" totalsRowDxfId="144">
      <calculatedColumnFormula array="1">Get_39_Calc</calculatedColumnFormula>
    </tableColumn>
    <tableColumn id="127" xr3:uid="{35F30295-EDB2-4D7F-939D-DFAC52BB2A9F}" name="39 - 存入" dataDxfId="143" totalsRowDxfId="142">
      <calculatedColumnFormula array="1">Get_39_Add</calculatedColumnFormula>
    </tableColumn>
    <tableColumn id="124" xr3:uid="{AF953A41-E1B0-4337-8A8E-F951C493EDE8}" name="39 - 支取" dataDxfId="141" totalsRowDxfId="140">
      <calculatedColumnFormula array="1">Get_39_Del</calculatedColumnFormula>
    </tableColumn>
    <tableColumn id="75" xr3:uid="{07F02D24-5D96-40AE-BCE0-590F79C6D5DF}" name="40 - 剩余" dataDxfId="139" totalsRowDxfId="138">
      <calculatedColumnFormula array="1">Get_40_Calc</calculatedColumnFormula>
    </tableColumn>
    <tableColumn id="134" xr3:uid="{1075256E-BEBC-4E72-B0F5-766EF175AB4B}" name="40 - 存入" dataDxfId="137" totalsRowDxfId="136">
      <calculatedColumnFormula array="1">Get_40_Add</calculatedColumnFormula>
    </tableColumn>
    <tableColumn id="74" xr3:uid="{DAFDE2C6-F321-4651-AA25-F4B29B9F690B}" name="40 - 支取" dataDxfId="135" totalsRowDxfId="134">
      <calculatedColumnFormula array="1">Get_40_Del</calculatedColumnFormula>
    </tableColumn>
    <tableColumn id="135" xr3:uid="{C9DF1E91-BCD6-4D3A-B1E6-BCE52523C009}" name="会员等级" dataDxfId="133" totalsRowDxfId="132"/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 x14ac:dyDescent="0.4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 x14ac:dyDescent="0.4"/>
    <row r="2" spans="2:56" s="2" customFormat="1" ht="10.1" customHeight="1" x14ac:dyDescent="0.4"/>
    <row r="3" spans="2:56" s="2" customFormat="1" ht="40" customHeight="1" x14ac:dyDescent="0.5">
      <c r="B3" s="3"/>
      <c r="C3" s="4" t="s">
        <v>81</v>
      </c>
    </row>
    <row r="4" spans="2:56" s="2" customFormat="1" ht="8.25" customHeight="1" x14ac:dyDescent="0.4">
      <c r="B4" s="3"/>
      <c r="C4" s="5"/>
    </row>
    <row r="5" spans="2:56" s="2" customFormat="1" ht="40" customHeight="1" x14ac:dyDescent="0.4">
      <c r="B5" s="3"/>
      <c r="C5" s="6" t="s">
        <v>228</v>
      </c>
    </row>
    <row r="6" spans="2:56" ht="16.5" customHeight="1" x14ac:dyDescent="0.4">
      <c r="I6" s="8"/>
      <c r="J6" s="8"/>
      <c r="K6" s="8"/>
      <c r="L6" s="8"/>
      <c r="M6" s="8"/>
    </row>
    <row r="7" spans="2:56" ht="40" customHeight="1" x14ac:dyDescent="0.4">
      <c r="B7" s="9" t="s">
        <v>13</v>
      </c>
      <c r="C7" s="10" t="s">
        <v>12</v>
      </c>
      <c r="D7" s="11" t="s">
        <v>18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426</v>
      </c>
    </row>
    <row r="8" spans="2:56" ht="8.25" customHeight="1" x14ac:dyDescent="0.4"/>
    <row r="9" spans="2:56" ht="40" customHeight="1" x14ac:dyDescent="0.4">
      <c r="B9" s="9" t="s">
        <v>14</v>
      </c>
      <c r="C9" s="10" t="s">
        <v>209</v>
      </c>
      <c r="D9" s="10"/>
      <c r="E9" s="10"/>
      <c r="F9" s="10"/>
      <c r="G9" s="10" t="s">
        <v>243</v>
      </c>
      <c r="H9" s="102" t="s">
        <v>215</v>
      </c>
      <c r="I9" s="102"/>
      <c r="J9" s="102"/>
      <c r="K9" s="101" t="s">
        <v>226</v>
      </c>
      <c r="L9" s="101"/>
      <c r="M9" s="101"/>
      <c r="N9" s="101" t="s">
        <v>269</v>
      </c>
      <c r="O9" s="101"/>
      <c r="P9" s="101" t="s">
        <v>410</v>
      </c>
      <c r="Q9" s="101"/>
      <c r="R9" s="101"/>
      <c r="S9" s="101"/>
      <c r="BB9" s="7" t="s">
        <v>427</v>
      </c>
      <c r="BC9" s="7" t="s">
        <v>0</v>
      </c>
      <c r="BD9" s="7" t="s">
        <v>428</v>
      </c>
    </row>
    <row r="10" spans="2:56" ht="40" customHeight="1" x14ac:dyDescent="0.4">
      <c r="B10" s="9"/>
      <c r="C10" s="10"/>
      <c r="D10" s="14" t="s">
        <v>3</v>
      </c>
      <c r="E10" s="14" t="s">
        <v>214</v>
      </c>
      <c r="F10" s="14" t="s">
        <v>41</v>
      </c>
      <c r="G10" s="14" t="s">
        <v>242</v>
      </c>
      <c r="H10" s="14" t="s">
        <v>224</v>
      </c>
      <c r="I10" s="14" t="s">
        <v>229</v>
      </c>
      <c r="J10" s="14" t="s">
        <v>230</v>
      </c>
      <c r="K10" s="14" t="s">
        <v>213</v>
      </c>
      <c r="L10" s="14" t="s">
        <v>227</v>
      </c>
      <c r="M10" s="14" t="s">
        <v>216</v>
      </c>
      <c r="N10" s="14" t="s">
        <v>270</v>
      </c>
      <c r="O10" s="14" t="s">
        <v>271</v>
      </c>
      <c r="P10" s="14" t="s">
        <v>406</v>
      </c>
      <c r="Q10" s="14" t="s">
        <v>407</v>
      </c>
      <c r="R10" s="14" t="s">
        <v>408</v>
      </c>
      <c r="S10" s="14" t="s">
        <v>409</v>
      </c>
      <c r="BC10" s="7" t="s">
        <v>429</v>
      </c>
      <c r="BD10" s="7" t="s">
        <v>123</v>
      </c>
    </row>
    <row r="11" spans="2:56" ht="40" customHeight="1" x14ac:dyDescent="0.4">
      <c r="B11" s="9"/>
      <c r="C11" s="10"/>
      <c r="D11" s="15" t="str">
        <f>CONCATENATE(Store_Setting[[#This Row],[商品序号]], IF(Store_Setting[[#This Row],[商品名称]]="","", _xlfn.CONCAT(" | ",Store_Setting[[#This Row],[商品名称]])))</f>
        <v>1 | 1</v>
      </c>
      <c r="E11" s="16">
        <v>1</v>
      </c>
      <c r="F11" s="17" t="s">
        <v>69</v>
      </c>
      <c r="G11" s="18">
        <f>Store_Setting[[#This Row],[库存负差]]-SUM(Store_Setting[[#This Row],[已存入]]-Store_Setting[[#This Row],[已支取]])</f>
        <v>0</v>
      </c>
      <c r="H11" s="19">
        <f>SUM(UserInfo[1 - 剩余])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Row],[入库小计]]-Store_Setting[[#This Row],[取货小计]]</f>
        <v>0</v>
      </c>
      <c r="L11" s="19">
        <f>SUMIFS(Store_History[数量],Store_History[唯一识别码],Store_Setting[[#This Row],[唯一识别码]],Store_History[类型],$D$83)</f>
        <v>0</v>
      </c>
      <c r="M11" s="19">
        <f>SUMIFS(Store_History[数量],Store_History[唯一识别码],Store_Setting[[#This Row],[唯一识别码]],Store_History[类型],$E$83)</f>
        <v>0</v>
      </c>
      <c r="N11" s="17" t="s">
        <v>123</v>
      </c>
      <c r="O11" s="17" t="s">
        <v>123</v>
      </c>
      <c r="P11" s="16" t="s">
        <v>312</v>
      </c>
      <c r="Q11" s="16" t="s">
        <v>273</v>
      </c>
      <c r="R11" s="16" t="s">
        <v>274</v>
      </c>
      <c r="S11" s="16" t="s">
        <v>272</v>
      </c>
      <c r="BC11" s="7" t="s">
        <v>430</v>
      </c>
      <c r="BD11" s="7" t="s">
        <v>124</v>
      </c>
    </row>
    <row r="12" spans="2:56" ht="40" customHeight="1" x14ac:dyDescent="0.4">
      <c r="B12" s="9"/>
      <c r="C12" s="10"/>
      <c r="D12" s="15" t="str">
        <f>CONCATENATE(Store_Setting[[#This Row],[商品序号]], IF(Store_Setting[[#This Row],[商品名称]]="","", _xlfn.CONCAT(" | ",Store_Setting[[#This Row],[商品名称]])))</f>
        <v>2 | 2</v>
      </c>
      <c r="E12" s="16">
        <v>2</v>
      </c>
      <c r="F12" s="17" t="s">
        <v>70</v>
      </c>
      <c r="G12" s="18">
        <f>Store_Setting[[#This Row],[库存负差]]-SUM(Store_Setting[[#This Row],[已存入]]-Store_Setting[[#This Row],[已支取]])</f>
        <v>0</v>
      </c>
      <c r="H12" s="19">
        <f>SUM(UserInfo[2 - 剩余])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Row],[入库小计]]-Store_Setting[[#This Row],[取货小计]]</f>
        <v>0</v>
      </c>
      <c r="L12" s="19">
        <f>SUMIFS(Store_History[数量],Store_History[唯一识别码],Store_Setting[[#This Row],[唯一识别码]],Store_History[类型],$D$83)</f>
        <v>0</v>
      </c>
      <c r="M12" s="19">
        <f>SUMIFS(Store_History[数量],Store_History[唯一识别码],Store_Setting[[#This Row],[唯一识别码]],Store_History[类型],$E$83)</f>
        <v>0</v>
      </c>
      <c r="N12" s="17" t="s">
        <v>123</v>
      </c>
      <c r="O12" s="17" t="s">
        <v>123</v>
      </c>
      <c r="P12" s="16" t="s">
        <v>313</v>
      </c>
      <c r="Q12" s="16" t="s">
        <v>276</v>
      </c>
      <c r="R12" s="16" t="s">
        <v>277</v>
      </c>
      <c r="S12" s="16" t="s">
        <v>273</v>
      </c>
      <c r="BD12" s="7" t="s">
        <v>3</v>
      </c>
    </row>
    <row r="13" spans="2:56" ht="40" customHeight="1" x14ac:dyDescent="0.4">
      <c r="B13" s="9"/>
      <c r="C13" s="10"/>
      <c r="D13" s="15" t="str">
        <f>CONCATENATE(Store_Setting[[#This Row],[商品序号]], IF(Store_Setting[[#This Row],[商品名称]]="","", _xlfn.CONCAT(" | ",Store_Setting[[#This Row],[商品名称]])))</f>
        <v>3</v>
      </c>
      <c r="E13" s="16">
        <v>3</v>
      </c>
      <c r="F13" s="17"/>
      <c r="G13" s="18">
        <f>Store_Setting[[#This Row],[库存负差]]-SUM(Store_Setting[[#This Row],[已存入]]-Store_Setting[[#This Row],[已支取]])</f>
        <v>0</v>
      </c>
      <c r="H13" s="19">
        <f>SUM(UserInfo[3 - 剩余])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Row],[入库小计]]-Store_Setting[[#This Row],[取货小计]]</f>
        <v>0</v>
      </c>
      <c r="L13" s="19">
        <f>SUMIFS(Store_History[数量],Store_History[唯一识别码],Store_Setting[[#This Row],[唯一识别码]],Store_History[类型],$D$83)</f>
        <v>0</v>
      </c>
      <c r="M13" s="19">
        <f>SUMIFS(Store_History[数量],Store_History[唯一识别码],Store_Setting[[#This Row],[唯一识别码]],Store_History[类型],$E$83)</f>
        <v>0</v>
      </c>
      <c r="N13" s="17" t="s">
        <v>123</v>
      </c>
      <c r="O13" s="17" t="s">
        <v>123</v>
      </c>
      <c r="P13" s="16" t="s">
        <v>314</v>
      </c>
      <c r="Q13" s="16" t="s">
        <v>279</v>
      </c>
      <c r="R13" s="16" t="s">
        <v>280</v>
      </c>
      <c r="S13" s="16" t="s">
        <v>274</v>
      </c>
      <c r="BD13" s="7" t="s">
        <v>437</v>
      </c>
    </row>
    <row r="14" spans="2:56" ht="40" customHeight="1" x14ac:dyDescent="0.4">
      <c r="B14" s="9"/>
      <c r="C14" s="10"/>
      <c r="D14" s="15" t="str">
        <f>CONCATENATE(Store_Setting[[#This Row],[商品序号]], IF(Store_Setting[[#This Row],[商品名称]]="","", _xlfn.CONCAT(" | ",Store_Setting[[#This Row],[商品名称]])))</f>
        <v>4</v>
      </c>
      <c r="E14" s="16">
        <v>4</v>
      </c>
      <c r="F14" s="17"/>
      <c r="G14" s="18">
        <f>Store_Setting[[#This Row],[库存负差]]-SUM(Store_Setting[[#This Row],[已存入]]-Store_Setting[[#This Row],[已支取]])</f>
        <v>0</v>
      </c>
      <c r="H14" s="19">
        <f>SUM(UserInfo[4 - 剩余])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Row],[入库小计]]-Store_Setting[[#This Row],[取货小计]]</f>
        <v>0</v>
      </c>
      <c r="L14" s="19">
        <f>SUMIFS(Store_History[数量],Store_History[唯一识别码],Store_Setting[[#This Row],[唯一识别码]],Store_History[类型],$D$83)</f>
        <v>0</v>
      </c>
      <c r="M14" s="19">
        <f>SUMIFS(Store_History[数量],Store_History[唯一识别码],Store_Setting[[#This Row],[唯一识别码]],Store_History[类型],$E$83)</f>
        <v>0</v>
      </c>
      <c r="N14" s="17" t="s">
        <v>123</v>
      </c>
      <c r="O14" s="17" t="s">
        <v>123</v>
      </c>
      <c r="P14" s="16" t="s">
        <v>315</v>
      </c>
      <c r="Q14" s="16" t="s">
        <v>282</v>
      </c>
      <c r="R14" s="16" t="s">
        <v>283</v>
      </c>
      <c r="S14" s="16" t="s">
        <v>275</v>
      </c>
      <c r="BD14" s="7" t="s">
        <v>451</v>
      </c>
    </row>
    <row r="15" spans="2:56" ht="40" customHeight="1" x14ac:dyDescent="0.4">
      <c r="B15" s="9"/>
      <c r="C15" s="10"/>
      <c r="D15" s="15" t="str">
        <f>CONCATENATE(Store_Setting[[#This Row],[商品序号]], IF(Store_Setting[[#This Row],[商品名称]]="","", _xlfn.CONCAT(" | ",Store_Setting[[#This Row],[商品名称]])))</f>
        <v>5</v>
      </c>
      <c r="E15" s="16">
        <v>5</v>
      </c>
      <c r="F15" s="17"/>
      <c r="G15" s="18">
        <f>Store_Setting[[#This Row],[库存负差]]-SUM(Store_Setting[[#This Row],[已存入]]-Store_Setting[[#This Row],[已支取]])</f>
        <v>0</v>
      </c>
      <c r="H15" s="19">
        <f>SUM(UserInfo[5 - 剩余])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Row],[入库小计]]-Store_Setting[[#This Row],[取货小计]]</f>
        <v>0</v>
      </c>
      <c r="L15" s="19">
        <f>SUMIFS(Store_History[数量],Store_History[唯一识别码],Store_Setting[[#This Row],[唯一识别码]],Store_History[类型],$D$83)</f>
        <v>0</v>
      </c>
      <c r="M15" s="19">
        <f>SUMIFS(Store_History[数量],Store_History[唯一识别码],Store_Setting[[#This Row],[唯一识别码]],Store_History[类型],$E$83)</f>
        <v>0</v>
      </c>
      <c r="N15" s="17" t="s">
        <v>123</v>
      </c>
      <c r="O15" s="17" t="s">
        <v>123</v>
      </c>
      <c r="P15" s="16" t="s">
        <v>316</v>
      </c>
      <c r="Q15" s="16" t="s">
        <v>285</v>
      </c>
      <c r="R15" s="16" t="s">
        <v>286</v>
      </c>
      <c r="S15" s="16" t="s">
        <v>276</v>
      </c>
      <c r="BD15" s="7" t="s">
        <v>433</v>
      </c>
    </row>
    <row r="16" spans="2:56" ht="40" customHeight="1" x14ac:dyDescent="0.4">
      <c r="B16" s="9"/>
      <c r="C16" s="10"/>
      <c r="D16" s="15" t="str">
        <f>CONCATENATE(Store_Setting[[#This Row],[商品序号]], IF(Store_Setting[[#This Row],[商品名称]]="","", _xlfn.CONCAT(" | ",Store_Setting[[#This Row],[商品名称]])))</f>
        <v>6</v>
      </c>
      <c r="E16" s="16">
        <v>6</v>
      </c>
      <c r="F16" s="17"/>
      <c r="G16" s="18">
        <f>Store_Setting[[#This Row],[库存负差]]-SUM(Store_Setting[[#This Row],[已存入]]-Store_Setting[[#This Row],[已支取]])</f>
        <v>0</v>
      </c>
      <c r="H16" s="19">
        <f>SUM(UserInfo[6 - 剩余])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Row],[入库小计]]-Store_Setting[[#This Row],[取货小计]]</f>
        <v>0</v>
      </c>
      <c r="L16" s="19">
        <f>SUMIFS(Store_History[数量],Store_History[唯一识别码],Store_Setting[[#This Row],[唯一识别码]],Store_History[类型],$D$83)</f>
        <v>0</v>
      </c>
      <c r="M16" s="19">
        <f>SUMIFS(Store_History[数量],Store_History[唯一识别码],Store_Setting[[#This Row],[唯一识别码]],Store_History[类型],$E$83)</f>
        <v>0</v>
      </c>
      <c r="N16" s="17" t="s">
        <v>123</v>
      </c>
      <c r="O16" s="17" t="s">
        <v>123</v>
      </c>
      <c r="P16" s="16" t="s">
        <v>317</v>
      </c>
      <c r="Q16" s="16" t="s">
        <v>288</v>
      </c>
      <c r="R16" s="16" t="s">
        <v>289</v>
      </c>
      <c r="S16" s="16" t="s">
        <v>277</v>
      </c>
      <c r="BD16" s="7" t="s">
        <v>453</v>
      </c>
    </row>
    <row r="17" spans="2:56" ht="40" customHeight="1" x14ac:dyDescent="0.4">
      <c r="B17" s="9"/>
      <c r="C17" s="10"/>
      <c r="D17" s="15" t="str">
        <f>CONCATENATE(Store_Setting[[#This Row],[商品序号]], IF(Store_Setting[[#This Row],[商品名称]]="","", _xlfn.CONCAT(" | ",Store_Setting[[#This Row],[商品名称]])))</f>
        <v>7</v>
      </c>
      <c r="E17" s="16">
        <v>7</v>
      </c>
      <c r="F17" s="17"/>
      <c r="G17" s="18">
        <f>Store_Setting[[#This Row],[库存负差]]-SUM(Store_Setting[[#This Row],[已存入]]-Store_Setting[[#This Row],[已支取]])</f>
        <v>0</v>
      </c>
      <c r="H17" s="19">
        <f>SUM(UserInfo[7 - 剩余])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Row],[入库小计]]-Store_Setting[[#This Row],[取货小计]]</f>
        <v>0</v>
      </c>
      <c r="L17" s="19">
        <f>SUMIFS(Store_History[数量],Store_History[唯一识别码],Store_Setting[[#This Row],[唯一识别码]],Store_History[类型],$D$83)</f>
        <v>0</v>
      </c>
      <c r="M17" s="19">
        <f>SUMIFS(Store_History[数量],Store_History[唯一识别码],Store_Setting[[#This Row],[唯一识别码]],Store_History[类型],$E$83)</f>
        <v>0</v>
      </c>
      <c r="N17" s="17" t="s">
        <v>123</v>
      </c>
      <c r="O17" s="17" t="s">
        <v>123</v>
      </c>
      <c r="P17" s="16" t="s">
        <v>318</v>
      </c>
      <c r="Q17" s="16" t="s">
        <v>291</v>
      </c>
      <c r="R17" s="16" t="s">
        <v>292</v>
      </c>
      <c r="S17" s="16" t="s">
        <v>278</v>
      </c>
      <c r="BD17" s="7" t="s">
        <v>412</v>
      </c>
    </row>
    <row r="18" spans="2:56" ht="40" customHeight="1" x14ac:dyDescent="0.4">
      <c r="B18" s="9"/>
      <c r="C18" s="10"/>
      <c r="D18" s="15" t="str">
        <f>CONCATENATE(Store_Setting[[#This Row],[商品序号]], IF(Store_Setting[[#This Row],[商品名称]]="","", _xlfn.CONCAT(" | ",Store_Setting[[#This Row],[商品名称]])))</f>
        <v>8</v>
      </c>
      <c r="E18" s="16">
        <v>8</v>
      </c>
      <c r="F18" s="17"/>
      <c r="G18" s="18">
        <f>Store_Setting[[#This Row],[库存负差]]-SUM(Store_Setting[[#This Row],[已存入]]-Store_Setting[[#This Row],[已支取]])</f>
        <v>0</v>
      </c>
      <c r="H18" s="19">
        <f>SUM(UserInfo[8 - 剩余])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Row],[入库小计]]-Store_Setting[[#This Row],[取货小计]]</f>
        <v>0</v>
      </c>
      <c r="L18" s="19">
        <f>SUMIFS(Store_History[数量],Store_History[唯一识别码],Store_Setting[[#This Row],[唯一识别码]],Store_History[类型],$D$83)</f>
        <v>0</v>
      </c>
      <c r="M18" s="19">
        <f>SUMIFS(Store_History[数量],Store_History[唯一识别码],Store_Setting[[#This Row],[唯一识别码]],Store_History[类型],$E$83)</f>
        <v>0</v>
      </c>
      <c r="N18" s="17" t="s">
        <v>123</v>
      </c>
      <c r="O18" s="17" t="s">
        <v>123</v>
      </c>
      <c r="P18" s="16" t="s">
        <v>319</v>
      </c>
      <c r="Q18" s="16" t="s">
        <v>294</v>
      </c>
      <c r="R18" s="16" t="s">
        <v>310</v>
      </c>
      <c r="S18" s="16" t="s">
        <v>279</v>
      </c>
      <c r="BD18" s="7" t="s">
        <v>436</v>
      </c>
    </row>
    <row r="19" spans="2:56" ht="40" customHeight="1" x14ac:dyDescent="0.4">
      <c r="B19" s="9"/>
      <c r="C19" s="10"/>
      <c r="D19" s="15" t="str">
        <f>CONCATENATE(Store_Setting[[#This Row],[商品序号]], IF(Store_Setting[[#This Row],[商品名称]]="","", _xlfn.CONCAT(" | ",Store_Setting[[#This Row],[商品名称]])))</f>
        <v>9</v>
      </c>
      <c r="E19" s="16">
        <v>9</v>
      </c>
      <c r="F19" s="17"/>
      <c r="G19" s="18">
        <f>Store_Setting[[#This Row],[库存负差]]-SUM(Store_Setting[[#This Row],[已存入]]-Store_Setting[[#This Row],[已支取]])</f>
        <v>0</v>
      </c>
      <c r="H19" s="19">
        <f>SUM(UserInfo[9 - 剩余])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Row],[入库小计]]-Store_Setting[[#This Row],[取货小计]]</f>
        <v>0</v>
      </c>
      <c r="L19" s="19">
        <f>SUMIFS(Store_History[数量],Store_History[唯一识别码],Store_Setting[[#This Row],[唯一识别码]],Store_History[类型],$D$83)</f>
        <v>0</v>
      </c>
      <c r="M19" s="19">
        <f>SUMIFS(Store_History[数量],Store_History[唯一识别码],Store_Setting[[#This Row],[唯一识别码]],Store_History[类型],$E$83)</f>
        <v>0</v>
      </c>
      <c r="N19" s="17" t="s">
        <v>123</v>
      </c>
      <c r="O19" s="17" t="s">
        <v>123</v>
      </c>
      <c r="P19" s="16" t="s">
        <v>320</v>
      </c>
      <c r="Q19" s="16" t="s">
        <v>296</v>
      </c>
      <c r="R19" s="16" t="s">
        <v>297</v>
      </c>
      <c r="S19" s="16" t="s">
        <v>280</v>
      </c>
      <c r="BD19" s="7" t="s">
        <v>434</v>
      </c>
    </row>
    <row r="20" spans="2:56" ht="40" customHeight="1" x14ac:dyDescent="0.4">
      <c r="B20" s="9"/>
      <c r="C20" s="10"/>
      <c r="D20" s="15" t="str">
        <f>CONCATENATE(Store_Setting[[#This Row],[商品序号]], IF(Store_Setting[[#This Row],[商品名称]]="","", _xlfn.CONCAT(" | ",Store_Setting[[#This Row],[商品名称]])))</f>
        <v>10</v>
      </c>
      <c r="E20" s="16">
        <v>10</v>
      </c>
      <c r="F20" s="17"/>
      <c r="G20" s="18">
        <f>Store_Setting[[#This Row],[库存负差]]-SUM(Store_Setting[[#This Row],[已存入]]-Store_Setting[[#This Row],[已支取]])</f>
        <v>0</v>
      </c>
      <c r="H20" s="19">
        <f>SUM(UserInfo[10 - 剩余])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Row],[入库小计]]-Store_Setting[[#This Row],[取货小计]]</f>
        <v>0</v>
      </c>
      <c r="L20" s="19">
        <f>SUMIFS(Store_History[数量],Store_History[唯一识别码],Store_Setting[[#This Row],[唯一识别码]],Store_History[类型],$D$83)</f>
        <v>0</v>
      </c>
      <c r="M20" s="19">
        <f>SUMIFS(Store_History[数量],Store_History[唯一识别码],Store_Setting[[#This Row],[唯一识别码]],Store_History[类型],$E$83)</f>
        <v>0</v>
      </c>
      <c r="N20" s="17" t="s">
        <v>123</v>
      </c>
      <c r="O20" s="17" t="s">
        <v>123</v>
      </c>
      <c r="P20" s="16" t="s">
        <v>321</v>
      </c>
      <c r="Q20" s="16" t="s">
        <v>299</v>
      </c>
      <c r="R20" s="16" t="s">
        <v>300</v>
      </c>
      <c r="S20" s="16" t="s">
        <v>281</v>
      </c>
      <c r="BD20" s="7" t="s">
        <v>423</v>
      </c>
    </row>
    <row r="21" spans="2:56" ht="40" customHeight="1" x14ac:dyDescent="0.4">
      <c r="B21" s="9"/>
      <c r="C21" s="10"/>
      <c r="D21" s="15" t="str">
        <f>CONCATENATE(Store_Setting[[#This Row],[商品序号]], IF(Store_Setting[[#This Row],[商品名称]]="","", _xlfn.CONCAT(" | ",Store_Setting[[#This Row],[商品名称]])))</f>
        <v>11</v>
      </c>
      <c r="E21" s="16">
        <v>11</v>
      </c>
      <c r="F21" s="17"/>
      <c r="G21" s="18">
        <f>Store_Setting[[#This Row],[库存负差]]-SUM(Store_Setting[[#This Row],[已存入]]-Store_Setting[[#This Row],[已支取]])</f>
        <v>0</v>
      </c>
      <c r="H21" s="19">
        <f>SUM(UserInfo[11 - 剩余])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Row],[入库小计]]-Store_Setting[[#This Row],[取货小计]]</f>
        <v>0</v>
      </c>
      <c r="L21" s="19">
        <f>SUMIFS(Store_History[数量],Store_History[唯一识别码],Store_Setting[[#This Row],[唯一识别码]],Store_History[类型],$D$83)</f>
        <v>0</v>
      </c>
      <c r="M21" s="19">
        <f>SUMIFS(Store_History[数量],Store_History[唯一识别码],Store_Setting[[#This Row],[唯一识别码]],Store_History[类型],$E$83)</f>
        <v>0</v>
      </c>
      <c r="N21" s="17" t="s">
        <v>123</v>
      </c>
      <c r="O21" s="17" t="s">
        <v>123</v>
      </c>
      <c r="P21" s="16" t="s">
        <v>322</v>
      </c>
      <c r="Q21" s="16" t="s">
        <v>302</v>
      </c>
      <c r="R21" s="16" t="s">
        <v>303</v>
      </c>
      <c r="S21" s="16" t="s">
        <v>282</v>
      </c>
      <c r="BD21" s="7" t="s">
        <v>470</v>
      </c>
    </row>
    <row r="22" spans="2:56" ht="40" customHeight="1" x14ac:dyDescent="0.4">
      <c r="B22" s="9"/>
      <c r="C22" s="10"/>
      <c r="D22" s="15" t="str">
        <f>CONCATENATE(Store_Setting[[#This Row],[商品序号]], IF(Store_Setting[[#This Row],[商品名称]]="","", _xlfn.CONCAT(" | ",Store_Setting[[#This Row],[商品名称]])))</f>
        <v>12</v>
      </c>
      <c r="E22" s="16">
        <v>12</v>
      </c>
      <c r="F22" s="17"/>
      <c r="G22" s="18">
        <f>Store_Setting[[#This Row],[库存负差]]-SUM(Store_Setting[[#This Row],[已存入]]-Store_Setting[[#This Row],[已支取]])</f>
        <v>0</v>
      </c>
      <c r="H22" s="19">
        <f>SUM(UserInfo[12 - 剩余])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Row],[入库小计]]-Store_Setting[[#This Row],[取货小计]]</f>
        <v>0</v>
      </c>
      <c r="L22" s="19">
        <f>SUMIFS(Store_History[数量],Store_History[唯一识别码],Store_Setting[[#This Row],[唯一识别码]],Store_History[类型],$D$83)</f>
        <v>0</v>
      </c>
      <c r="M22" s="19">
        <f>SUMIFS(Store_History[数量],Store_History[唯一识别码],Store_Setting[[#This Row],[唯一识别码]],Store_History[类型],$E$83)</f>
        <v>0</v>
      </c>
      <c r="N22" s="17" t="s">
        <v>123</v>
      </c>
      <c r="O22" s="17" t="s">
        <v>123</v>
      </c>
      <c r="P22" s="16" t="s">
        <v>323</v>
      </c>
      <c r="Q22" s="16" t="s">
        <v>305</v>
      </c>
      <c r="R22" s="16" t="s">
        <v>306</v>
      </c>
      <c r="S22" s="16" t="s">
        <v>283</v>
      </c>
      <c r="BB22" s="7" t="s">
        <v>431</v>
      </c>
      <c r="BD22" s="7" t="s">
        <v>438</v>
      </c>
    </row>
    <row r="23" spans="2:56" ht="40" customHeight="1" x14ac:dyDescent="0.4">
      <c r="B23" s="9"/>
      <c r="C23" s="10"/>
      <c r="D23" s="15" t="str">
        <f>CONCATENATE(Store_Setting[[#This Row],[商品序号]], IF(Store_Setting[[#This Row],[商品名称]]="","", _xlfn.CONCAT(" | ",Store_Setting[[#This Row],[商品名称]])))</f>
        <v>13</v>
      </c>
      <c r="E23" s="16">
        <v>13</v>
      </c>
      <c r="F23" s="17"/>
      <c r="G23" s="18">
        <f>Store_Setting[[#This Row],[库存负差]]-SUM(Store_Setting[[#This Row],[已存入]]-Store_Setting[[#This Row],[已支取]])</f>
        <v>0</v>
      </c>
      <c r="H23" s="19">
        <f>SUM(UserInfo[13 - 剩余])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Row],[入库小计]]-Store_Setting[[#This Row],[取货小计]]</f>
        <v>0</v>
      </c>
      <c r="L23" s="19">
        <f>SUMIFS(Store_History[数量],Store_History[唯一识别码],Store_Setting[[#This Row],[唯一识别码]],Store_History[类型],$D$83)</f>
        <v>0</v>
      </c>
      <c r="M23" s="19">
        <f>SUMIFS(Store_History[数量],Store_History[唯一识别码],Store_Setting[[#This Row],[唯一识别码]],Store_History[类型],$E$83)</f>
        <v>0</v>
      </c>
      <c r="N23" s="17" t="s">
        <v>123</v>
      </c>
      <c r="O23" s="17" t="s">
        <v>123</v>
      </c>
      <c r="P23" s="16" t="s">
        <v>324</v>
      </c>
      <c r="Q23" s="16" t="s">
        <v>308</v>
      </c>
      <c r="R23" s="16" t="s">
        <v>309</v>
      </c>
      <c r="S23" s="16" t="s">
        <v>284</v>
      </c>
      <c r="BD23" s="7" t="s">
        <v>439</v>
      </c>
    </row>
    <row r="24" spans="2:56" ht="40" customHeight="1" x14ac:dyDescent="0.4">
      <c r="B24" s="9"/>
      <c r="C24" s="10"/>
      <c r="D24" s="15" t="str">
        <f>CONCATENATE(Store_Setting[[#This Row],[商品序号]], IF(Store_Setting[[#This Row],[商品名称]]="","", _xlfn.CONCAT(" | ",Store_Setting[[#This Row],[商品名称]])))</f>
        <v>14</v>
      </c>
      <c r="E24" s="16">
        <v>14</v>
      </c>
      <c r="F24" s="17"/>
      <c r="G24" s="18">
        <f>Store_Setting[[#This Row],[库存负差]]-SUM(Store_Setting[[#This Row],[已存入]]-Store_Setting[[#This Row],[已支取]])</f>
        <v>0</v>
      </c>
      <c r="H24" s="19">
        <f>SUM(UserInfo[14 - 剩余])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Row],[入库小计]]-Store_Setting[[#This Row],[取货小计]]</f>
        <v>0</v>
      </c>
      <c r="L24" s="19">
        <f>SUMIFS(Store_History[数量],Store_History[唯一识别码],Store_Setting[[#This Row],[唯一识别码]],Store_History[类型],$D$83)</f>
        <v>0</v>
      </c>
      <c r="M24" s="19">
        <f>SUMIFS(Store_History[数量],Store_History[唯一识别码],Store_Setting[[#This Row],[唯一识别码]],Store_History[类型],$E$83)</f>
        <v>0</v>
      </c>
      <c r="N24" s="17" t="s">
        <v>123</v>
      </c>
      <c r="O24" s="17" t="s">
        <v>123</v>
      </c>
      <c r="P24" s="16" t="s">
        <v>325</v>
      </c>
      <c r="Q24" s="16" t="s">
        <v>351</v>
      </c>
      <c r="R24" s="16" t="s">
        <v>352</v>
      </c>
      <c r="S24" s="16" t="s">
        <v>285</v>
      </c>
      <c r="BD24" s="7" t="s">
        <v>440</v>
      </c>
    </row>
    <row r="25" spans="2:56" ht="40" customHeight="1" x14ac:dyDescent="0.4">
      <c r="B25" s="9"/>
      <c r="C25" s="10"/>
      <c r="D25" s="15" t="str">
        <f>CONCATENATE(Store_Setting[[#This Row],[商品序号]], IF(Store_Setting[[#This Row],[商品名称]]="","", _xlfn.CONCAT(" | ",Store_Setting[[#This Row],[商品名称]])))</f>
        <v>15</v>
      </c>
      <c r="E25" s="16">
        <v>15</v>
      </c>
      <c r="F25" s="17"/>
      <c r="G25" s="18">
        <f>Store_Setting[[#This Row],[库存负差]]-SUM(Store_Setting[[#This Row],[已存入]]-Store_Setting[[#This Row],[已支取]])</f>
        <v>0</v>
      </c>
      <c r="H25" s="19">
        <f>SUM(UserInfo[15 - 剩余])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Row],[入库小计]]-Store_Setting[[#This Row],[取货小计]]</f>
        <v>0</v>
      </c>
      <c r="L25" s="19">
        <f>SUMIFS(Store_History[数量],Store_History[唯一识别码],Store_Setting[[#This Row],[唯一识别码]],Store_History[类型],$D$83)</f>
        <v>0</v>
      </c>
      <c r="M25" s="19">
        <f>SUMIFS(Store_History[数量],Store_History[唯一识别码],Store_Setting[[#This Row],[唯一识别码]],Store_History[类型],$E$83)</f>
        <v>0</v>
      </c>
      <c r="N25" s="17" t="s">
        <v>123</v>
      </c>
      <c r="O25" s="17" t="s">
        <v>123</v>
      </c>
      <c r="P25" s="16" t="s">
        <v>405</v>
      </c>
      <c r="Q25" s="16" t="s">
        <v>353</v>
      </c>
      <c r="R25" s="16" t="s">
        <v>354</v>
      </c>
      <c r="S25" s="16" t="s">
        <v>286</v>
      </c>
      <c r="BB25" s="7" t="s">
        <v>442</v>
      </c>
      <c r="BD25" s="7" t="s">
        <v>441</v>
      </c>
    </row>
    <row r="26" spans="2:56" ht="40" customHeight="1" x14ac:dyDescent="0.4">
      <c r="B26" s="9"/>
      <c r="C26" s="10"/>
      <c r="D26" s="15" t="str">
        <f>CONCATENATE(Store_Setting[[#This Row],[商品序号]], IF(Store_Setting[[#This Row],[商品名称]]="","", _xlfn.CONCAT(" | ",Store_Setting[[#This Row],[商品名称]])))</f>
        <v>16</v>
      </c>
      <c r="E26" s="16">
        <v>16</v>
      </c>
      <c r="F26" s="17"/>
      <c r="G26" s="18">
        <f>Store_Setting[[#This Row],[库存负差]]-SUM(Store_Setting[[#This Row],[已存入]]-Store_Setting[[#This Row],[已支取]])</f>
        <v>0</v>
      </c>
      <c r="H26" s="19">
        <f>SUM(UserInfo[16 - 剩余])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Row],[入库小计]]-Store_Setting[[#This Row],[取货小计]]</f>
        <v>0</v>
      </c>
      <c r="L26" s="19">
        <f>SUMIFS(Store_History[数量],Store_History[唯一识别码],Store_Setting[[#This Row],[唯一识别码]],Store_History[类型],$D$83)</f>
        <v>0</v>
      </c>
      <c r="M26" s="19">
        <f>SUMIFS(Store_History[数量],Store_History[唯一识别码],Store_Setting[[#This Row],[唯一识别码]],Store_History[类型],$E$83)</f>
        <v>0</v>
      </c>
      <c r="N26" s="17" t="s">
        <v>123</v>
      </c>
      <c r="O26" s="17" t="s">
        <v>123</v>
      </c>
      <c r="P26" s="16" t="s">
        <v>326</v>
      </c>
      <c r="Q26" s="16" t="s">
        <v>355</v>
      </c>
      <c r="R26" s="16" t="s">
        <v>356</v>
      </c>
      <c r="S26" s="16" t="s">
        <v>287</v>
      </c>
      <c r="BD26" s="7" t="s">
        <v>443</v>
      </c>
    </row>
    <row r="27" spans="2:56" ht="40" customHeight="1" x14ac:dyDescent="0.4">
      <c r="B27" s="9"/>
      <c r="C27" s="10"/>
      <c r="D27" s="15" t="str">
        <f>CONCATENATE(Store_Setting[[#This Row],[商品序号]], IF(Store_Setting[[#This Row],[商品名称]]="","", _xlfn.CONCAT(" | ",Store_Setting[[#This Row],[商品名称]])))</f>
        <v>17</v>
      </c>
      <c r="E27" s="16">
        <v>17</v>
      </c>
      <c r="F27" s="17"/>
      <c r="G27" s="18">
        <f>Store_Setting[[#This Row],[库存负差]]-SUM(Store_Setting[[#This Row],[已存入]]-Store_Setting[[#This Row],[已支取]])</f>
        <v>0</v>
      </c>
      <c r="H27" s="19">
        <f>SUM(UserInfo[17 - 剩余])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Row],[入库小计]]-Store_Setting[[#This Row],[取货小计]]</f>
        <v>0</v>
      </c>
      <c r="L27" s="19">
        <f>SUMIFS(Store_History[数量],Store_History[唯一识别码],Store_Setting[[#This Row],[唯一识别码]],Store_History[类型],$D$83)</f>
        <v>0</v>
      </c>
      <c r="M27" s="19">
        <f>SUMIFS(Store_History[数量],Store_History[唯一识别码],Store_Setting[[#This Row],[唯一识别码]],Store_History[类型],$E$83)</f>
        <v>0</v>
      </c>
      <c r="N27" s="17" t="s">
        <v>123</v>
      </c>
      <c r="O27" s="17" t="s">
        <v>123</v>
      </c>
      <c r="P27" s="16" t="s">
        <v>327</v>
      </c>
      <c r="Q27" s="16" t="s">
        <v>357</v>
      </c>
      <c r="R27" s="16" t="s">
        <v>358</v>
      </c>
      <c r="S27" s="16" t="s">
        <v>288</v>
      </c>
      <c r="BD27" s="7" t="s">
        <v>444</v>
      </c>
    </row>
    <row r="28" spans="2:56" ht="40" customHeight="1" x14ac:dyDescent="0.4">
      <c r="B28" s="9"/>
      <c r="C28" s="10"/>
      <c r="D28" s="15" t="str">
        <f>CONCATENATE(Store_Setting[[#This Row],[商品序号]], IF(Store_Setting[[#This Row],[商品名称]]="","", _xlfn.CONCAT(" | ",Store_Setting[[#This Row],[商品名称]])))</f>
        <v>18</v>
      </c>
      <c r="E28" s="16">
        <v>18</v>
      </c>
      <c r="F28" s="17"/>
      <c r="G28" s="18">
        <f>Store_Setting[[#This Row],[库存负差]]-SUM(Store_Setting[[#This Row],[已存入]]-Store_Setting[[#This Row],[已支取]])</f>
        <v>0</v>
      </c>
      <c r="H28" s="19">
        <f>SUM(UserInfo[18 - 剩余])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Row],[入库小计]]-Store_Setting[[#This Row],[取货小计]]</f>
        <v>0</v>
      </c>
      <c r="L28" s="19">
        <f>SUMIFS(Store_History[数量],Store_History[唯一识别码],Store_Setting[[#This Row],[唯一识别码]],Store_History[类型],$D$83)</f>
        <v>0</v>
      </c>
      <c r="M28" s="19">
        <f>SUMIFS(Store_History[数量],Store_History[唯一识别码],Store_Setting[[#This Row],[唯一识别码]],Store_History[类型],$E$83)</f>
        <v>0</v>
      </c>
      <c r="N28" s="17" t="s">
        <v>123</v>
      </c>
      <c r="O28" s="17" t="s">
        <v>123</v>
      </c>
      <c r="P28" s="16" t="s">
        <v>328</v>
      </c>
      <c r="Q28" s="16" t="s">
        <v>359</v>
      </c>
      <c r="R28" s="16" t="s">
        <v>360</v>
      </c>
      <c r="S28" s="16" t="s">
        <v>289</v>
      </c>
      <c r="BD28" s="7" t="s">
        <v>445</v>
      </c>
    </row>
    <row r="29" spans="2:56" ht="40" customHeight="1" x14ac:dyDescent="0.4">
      <c r="B29" s="9"/>
      <c r="C29" s="10"/>
      <c r="D29" s="15" t="str">
        <f>CONCATENATE(Store_Setting[[#This Row],[商品序号]], IF(Store_Setting[[#This Row],[商品名称]]="","", _xlfn.CONCAT(" | ",Store_Setting[[#This Row],[商品名称]])))</f>
        <v>19</v>
      </c>
      <c r="E29" s="16">
        <v>19</v>
      </c>
      <c r="F29" s="17"/>
      <c r="G29" s="18">
        <f>Store_Setting[[#This Row],[库存负差]]-SUM(Store_Setting[[#This Row],[已存入]]-Store_Setting[[#This Row],[已支取]])</f>
        <v>0</v>
      </c>
      <c r="H29" s="19">
        <f>SUM(UserInfo[19 - 剩余])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Row],[入库小计]]-Store_Setting[[#This Row],[取货小计]]</f>
        <v>0</v>
      </c>
      <c r="L29" s="19">
        <f>SUMIFS(Store_History[数量],Store_History[唯一识别码],Store_Setting[[#This Row],[唯一识别码]],Store_History[类型],$D$83)</f>
        <v>0</v>
      </c>
      <c r="M29" s="19">
        <f>SUMIFS(Store_History[数量],Store_History[唯一识别码],Store_Setting[[#This Row],[唯一识别码]],Store_History[类型],$E$83)</f>
        <v>0</v>
      </c>
      <c r="N29" s="17" t="s">
        <v>123</v>
      </c>
      <c r="O29" s="17" t="s">
        <v>123</v>
      </c>
      <c r="P29" s="16" t="s">
        <v>329</v>
      </c>
      <c r="Q29" s="16" t="s">
        <v>361</v>
      </c>
      <c r="R29" s="16" t="s">
        <v>362</v>
      </c>
      <c r="S29" s="16" t="s">
        <v>290</v>
      </c>
      <c r="BD29" s="7" t="s">
        <v>446</v>
      </c>
    </row>
    <row r="30" spans="2:56" ht="40" customHeight="1" x14ac:dyDescent="0.4">
      <c r="B30" s="9"/>
      <c r="C30" s="10"/>
      <c r="D30" s="15" t="str">
        <f>CONCATENATE(Store_Setting[[#This Row],[商品序号]], IF(Store_Setting[[#This Row],[商品名称]]="","", _xlfn.CONCAT(" | ",Store_Setting[[#This Row],[商品名称]])))</f>
        <v>20</v>
      </c>
      <c r="E30" s="16">
        <v>20</v>
      </c>
      <c r="F30" s="17"/>
      <c r="G30" s="18">
        <f>Store_Setting[[#This Row],[库存负差]]-SUM(Store_Setting[[#This Row],[已存入]]-Store_Setting[[#This Row],[已支取]])</f>
        <v>0</v>
      </c>
      <c r="H30" s="19">
        <f>SUM(UserInfo[20 - 剩余])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Row],[入库小计]]-Store_Setting[[#This Row],[取货小计]]</f>
        <v>0</v>
      </c>
      <c r="L30" s="19">
        <f>SUMIFS(Store_History[数量],Store_History[唯一识别码],Store_Setting[[#This Row],[唯一识别码]],Store_History[类型],$D$83)</f>
        <v>0</v>
      </c>
      <c r="M30" s="19">
        <f>SUMIFS(Store_History[数量],Store_History[唯一识别码],Store_Setting[[#This Row],[唯一识别码]],Store_History[类型],$E$83)</f>
        <v>0</v>
      </c>
      <c r="N30" s="17" t="s">
        <v>123</v>
      </c>
      <c r="O30" s="17" t="s">
        <v>123</v>
      </c>
      <c r="P30" s="16" t="s">
        <v>330</v>
      </c>
      <c r="Q30" s="16" t="s">
        <v>363</v>
      </c>
      <c r="R30" s="16" t="s">
        <v>364</v>
      </c>
      <c r="S30" s="16" t="s">
        <v>291</v>
      </c>
      <c r="BD30" s="7" t="s">
        <v>447</v>
      </c>
    </row>
    <row r="31" spans="2:56" ht="40" customHeight="1" x14ac:dyDescent="0.4">
      <c r="B31" s="9"/>
      <c r="C31" s="10"/>
      <c r="D31" s="15" t="str">
        <f>CONCATENATE(Store_Setting[[#This Row],[商品序号]], IF(Store_Setting[[#This Row],[商品名称]]="","", _xlfn.CONCAT(" | ",Store_Setting[[#This Row],[商品名称]])))</f>
        <v>21</v>
      </c>
      <c r="E31" s="16">
        <v>21</v>
      </c>
      <c r="F31" s="17"/>
      <c r="G31" s="18">
        <f>Store_Setting[[#This Row],[库存负差]]-SUM(Store_Setting[[#This Row],[已存入]]-Store_Setting[[#This Row],[已支取]])</f>
        <v>0</v>
      </c>
      <c r="H31" s="19">
        <f>SUM(UserInfo[21 - 剩余])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Row],[入库小计]]-Store_Setting[[#This Row],[取货小计]]</f>
        <v>0</v>
      </c>
      <c r="L31" s="19">
        <f>SUMIFS(Store_History[数量],Store_History[唯一识别码],Store_Setting[[#This Row],[唯一识别码]],Store_History[类型],$D$83)</f>
        <v>0</v>
      </c>
      <c r="M31" s="19">
        <f>SUMIFS(Store_History[数量],Store_History[唯一识别码],Store_Setting[[#This Row],[唯一识别码]],Store_History[类型],$E$83)</f>
        <v>0</v>
      </c>
      <c r="N31" s="17" t="s">
        <v>123</v>
      </c>
      <c r="O31" s="17" t="s">
        <v>123</v>
      </c>
      <c r="P31" s="16" t="s">
        <v>331</v>
      </c>
      <c r="Q31" s="16" t="s">
        <v>365</v>
      </c>
      <c r="R31" s="16" t="s">
        <v>366</v>
      </c>
      <c r="S31" s="16" t="s">
        <v>292</v>
      </c>
      <c r="BD31" s="7" t="s">
        <v>448</v>
      </c>
    </row>
    <row r="32" spans="2:56" ht="40" customHeight="1" x14ac:dyDescent="0.4">
      <c r="B32" s="9"/>
      <c r="C32" s="10"/>
      <c r="D32" s="15" t="str">
        <f>CONCATENATE(Store_Setting[[#This Row],[商品序号]], IF(Store_Setting[[#This Row],[商品名称]]="","", _xlfn.CONCAT(" | ",Store_Setting[[#This Row],[商品名称]])))</f>
        <v>22</v>
      </c>
      <c r="E32" s="16">
        <v>22</v>
      </c>
      <c r="F32" s="17"/>
      <c r="G32" s="18">
        <f>Store_Setting[[#This Row],[库存负差]]-SUM(Store_Setting[[#This Row],[已存入]]-Store_Setting[[#This Row],[已支取]])</f>
        <v>0</v>
      </c>
      <c r="H32" s="19">
        <f>SUM(UserInfo[22 - 剩余])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Row],[入库小计]]-Store_Setting[[#This Row],[取货小计]]</f>
        <v>0</v>
      </c>
      <c r="L32" s="19">
        <f>SUMIFS(Store_History[数量],Store_History[唯一识别码],Store_Setting[[#This Row],[唯一识别码]],Store_History[类型],$D$83)</f>
        <v>0</v>
      </c>
      <c r="M32" s="19">
        <f>SUMIFS(Store_History[数量],Store_History[唯一识别码],Store_Setting[[#This Row],[唯一识别码]],Store_History[类型],$E$83)</f>
        <v>0</v>
      </c>
      <c r="N32" s="17" t="s">
        <v>123</v>
      </c>
      <c r="O32" s="17" t="s">
        <v>123</v>
      </c>
      <c r="P32" s="16" t="s">
        <v>332</v>
      </c>
      <c r="Q32" s="16" t="s">
        <v>367</v>
      </c>
      <c r="R32" s="16" t="s">
        <v>368</v>
      </c>
      <c r="S32" s="16" t="s">
        <v>293</v>
      </c>
      <c r="BD32" s="7" t="s">
        <v>449</v>
      </c>
    </row>
    <row r="33" spans="2:56" ht="40" customHeight="1" x14ac:dyDescent="0.4">
      <c r="B33" s="9"/>
      <c r="C33" s="10"/>
      <c r="D33" s="15" t="str">
        <f>CONCATENATE(Store_Setting[[#This Row],[商品序号]], IF(Store_Setting[[#This Row],[商品名称]]="","", _xlfn.CONCAT(" | ",Store_Setting[[#This Row],[商品名称]])))</f>
        <v>23</v>
      </c>
      <c r="E33" s="16">
        <v>23</v>
      </c>
      <c r="F33" s="17"/>
      <c r="G33" s="18">
        <f>Store_Setting[[#This Row],[库存负差]]-SUM(Store_Setting[[#This Row],[已存入]]-Store_Setting[[#This Row],[已支取]])</f>
        <v>0</v>
      </c>
      <c r="H33" s="19">
        <f>SUM(UserInfo[23 - 剩余])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Row],[入库小计]]-Store_Setting[[#This Row],[取货小计]]</f>
        <v>0</v>
      </c>
      <c r="L33" s="19">
        <f>SUMIFS(Store_History[数量],Store_History[唯一识别码],Store_Setting[[#This Row],[唯一识别码]],Store_History[类型],$D$83)</f>
        <v>0</v>
      </c>
      <c r="M33" s="19">
        <f>SUMIFS(Store_History[数量],Store_History[唯一识别码],Store_Setting[[#This Row],[唯一识别码]],Store_History[类型],$E$83)</f>
        <v>0</v>
      </c>
      <c r="N33" s="17" t="s">
        <v>123</v>
      </c>
      <c r="O33" s="17" t="s">
        <v>123</v>
      </c>
      <c r="P33" s="16" t="s">
        <v>333</v>
      </c>
      <c r="Q33" s="16" t="s">
        <v>369</v>
      </c>
      <c r="R33" s="16" t="s">
        <v>370</v>
      </c>
      <c r="S33" s="16" t="s">
        <v>294</v>
      </c>
      <c r="BD33" s="7" t="s">
        <v>450</v>
      </c>
    </row>
    <row r="34" spans="2:56" ht="40" customHeight="1" x14ac:dyDescent="0.4">
      <c r="B34" s="9"/>
      <c r="C34" s="10"/>
      <c r="D34" s="15" t="str">
        <f>CONCATENATE(Store_Setting[[#This Row],[商品序号]], IF(Store_Setting[[#This Row],[商品名称]]="","", _xlfn.CONCAT(" | ",Store_Setting[[#This Row],[商品名称]])))</f>
        <v>24</v>
      </c>
      <c r="E34" s="16">
        <v>24</v>
      </c>
      <c r="F34" s="17"/>
      <c r="G34" s="18">
        <f>Store_Setting[[#This Row],[库存负差]]-SUM(Store_Setting[[#This Row],[已存入]]-Store_Setting[[#This Row],[已支取]])</f>
        <v>0</v>
      </c>
      <c r="H34" s="19">
        <f>SUM(UserInfo[24 - 剩余])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Row],[入库小计]]-Store_Setting[[#This Row],[取货小计]]</f>
        <v>0</v>
      </c>
      <c r="L34" s="19">
        <f>SUMIFS(Store_History[数量],Store_History[唯一识别码],Store_Setting[[#This Row],[唯一识别码]],Store_History[类型],$D$83)</f>
        <v>0</v>
      </c>
      <c r="M34" s="19">
        <f>SUMIFS(Store_History[数量],Store_History[唯一识别码],Store_Setting[[#This Row],[唯一识别码]],Store_History[类型],$E$83)</f>
        <v>0</v>
      </c>
      <c r="N34" s="17" t="s">
        <v>123</v>
      </c>
      <c r="O34" s="17" t="s">
        <v>123</v>
      </c>
      <c r="P34" s="16" t="s">
        <v>334</v>
      </c>
      <c r="Q34" s="16" t="s">
        <v>371</v>
      </c>
      <c r="R34" s="16" t="s">
        <v>372</v>
      </c>
      <c r="S34" s="16" t="s">
        <v>310</v>
      </c>
      <c r="BD34" s="7" t="s">
        <v>452</v>
      </c>
    </row>
    <row r="35" spans="2:56" ht="40" customHeight="1" x14ac:dyDescent="0.4">
      <c r="B35" s="9"/>
      <c r="C35" s="10"/>
      <c r="D35" s="15" t="str">
        <f>CONCATENATE(Store_Setting[[#This Row],[商品序号]], IF(Store_Setting[[#This Row],[商品名称]]="","", _xlfn.CONCAT(" | ",Store_Setting[[#This Row],[商品名称]])))</f>
        <v>25</v>
      </c>
      <c r="E35" s="16">
        <v>25</v>
      </c>
      <c r="F35" s="17"/>
      <c r="G35" s="18">
        <f>Store_Setting[[#This Row],[库存负差]]-SUM(Store_Setting[[#This Row],[已存入]]-Store_Setting[[#This Row],[已支取]])</f>
        <v>0</v>
      </c>
      <c r="H35" s="19">
        <f>SUM(UserInfo[25 - 剩余])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Row],[入库小计]]-Store_Setting[[#This Row],[取货小计]]</f>
        <v>0</v>
      </c>
      <c r="L35" s="19">
        <f>SUMIFS(Store_History[数量],Store_History[唯一识别码],Store_Setting[[#This Row],[唯一识别码]],Store_History[类型],$D$83)</f>
        <v>0</v>
      </c>
      <c r="M35" s="19">
        <f>SUMIFS(Store_History[数量],Store_History[唯一识别码],Store_Setting[[#This Row],[唯一识别码]],Store_History[类型],$E$83)</f>
        <v>0</v>
      </c>
      <c r="N35" s="17" t="s">
        <v>123</v>
      </c>
      <c r="O35" s="17" t="s">
        <v>123</v>
      </c>
      <c r="P35" s="16" t="s">
        <v>335</v>
      </c>
      <c r="Q35" s="16" t="s">
        <v>373</v>
      </c>
      <c r="R35" s="16" t="s">
        <v>374</v>
      </c>
      <c r="S35" s="16" t="s">
        <v>311</v>
      </c>
      <c r="BD35" s="7" t="s">
        <v>483</v>
      </c>
    </row>
    <row r="36" spans="2:56" ht="40" customHeight="1" x14ac:dyDescent="0.4">
      <c r="B36" s="9"/>
      <c r="C36" s="10"/>
      <c r="D36" s="15" t="str">
        <f>CONCATENATE(Store_Setting[[#This Row],[商品序号]], IF(Store_Setting[[#This Row],[商品名称]]="","", _xlfn.CONCAT(" | ",Store_Setting[[#This Row],[商品名称]])))</f>
        <v>26</v>
      </c>
      <c r="E36" s="16">
        <v>26</v>
      </c>
      <c r="F36" s="17"/>
      <c r="G36" s="18">
        <f>Store_Setting[[#This Row],[库存负差]]-SUM(Store_Setting[[#This Row],[已存入]]-Store_Setting[[#This Row],[已支取]])</f>
        <v>0</v>
      </c>
      <c r="H36" s="19">
        <f>SUM(UserInfo[26 - 剩余])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Row],[入库小计]]-Store_Setting[[#This Row],[取货小计]]</f>
        <v>0</v>
      </c>
      <c r="L36" s="19">
        <f>SUMIFS(Store_History[数量],Store_History[唯一识别码],Store_Setting[[#This Row],[唯一识别码]],Store_History[类型],$D$83)</f>
        <v>0</v>
      </c>
      <c r="M36" s="19">
        <f>SUMIFS(Store_History[数量],Store_History[唯一识别码],Store_Setting[[#This Row],[唯一识别码]],Store_History[类型],$E$83)</f>
        <v>0</v>
      </c>
      <c r="N36" s="17" t="s">
        <v>123</v>
      </c>
      <c r="O36" s="17" t="s">
        <v>123</v>
      </c>
      <c r="P36" s="16" t="s">
        <v>336</v>
      </c>
      <c r="Q36" s="16" t="s">
        <v>375</v>
      </c>
      <c r="R36" s="16" t="s">
        <v>376</v>
      </c>
      <c r="S36" s="16" t="s">
        <v>296</v>
      </c>
      <c r="BB36" s="7" t="s">
        <v>128</v>
      </c>
      <c r="BD36" s="7" t="s">
        <v>432</v>
      </c>
    </row>
    <row r="37" spans="2:56" ht="40" customHeight="1" x14ac:dyDescent="0.4">
      <c r="B37" s="9"/>
      <c r="C37" s="10"/>
      <c r="D37" s="15" t="str">
        <f>CONCATENATE(Store_Setting[[#This Row],[商品序号]], IF(Store_Setting[[#This Row],[商品名称]]="","", _xlfn.CONCAT(" | ",Store_Setting[[#This Row],[商品名称]])))</f>
        <v>27</v>
      </c>
      <c r="E37" s="16">
        <v>27</v>
      </c>
      <c r="F37" s="17"/>
      <c r="G37" s="18">
        <f>Store_Setting[[#This Row],[库存负差]]-SUM(Store_Setting[[#This Row],[已存入]]-Store_Setting[[#This Row],[已支取]])</f>
        <v>0</v>
      </c>
      <c r="H37" s="19">
        <f>SUM(UserInfo[27 - 剩余])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Row],[入库小计]]-Store_Setting[[#This Row],[取货小计]]</f>
        <v>0</v>
      </c>
      <c r="L37" s="19">
        <f>SUMIFS(Store_History[数量],Store_History[唯一识别码],Store_Setting[[#This Row],[唯一识别码]],Store_History[类型],$D$83)</f>
        <v>0</v>
      </c>
      <c r="M37" s="19">
        <f>SUMIFS(Store_History[数量],Store_History[唯一识别码],Store_Setting[[#This Row],[唯一识别码]],Store_History[类型],$E$83)</f>
        <v>0</v>
      </c>
      <c r="N37" s="17" t="s">
        <v>123</v>
      </c>
      <c r="O37" s="17" t="s">
        <v>123</v>
      </c>
      <c r="P37" s="16" t="s">
        <v>337</v>
      </c>
      <c r="Q37" s="16" t="s">
        <v>377</v>
      </c>
      <c r="R37" s="16" t="s">
        <v>378</v>
      </c>
      <c r="S37" s="16" t="s">
        <v>297</v>
      </c>
      <c r="BD37" s="7" t="s">
        <v>435</v>
      </c>
    </row>
    <row r="38" spans="2:56" ht="40" customHeight="1" x14ac:dyDescent="0.4">
      <c r="B38" s="9"/>
      <c r="C38" s="10"/>
      <c r="D38" s="15" t="str">
        <f>CONCATENATE(Store_Setting[[#This Row],[商品序号]], IF(Store_Setting[[#This Row],[商品名称]]="","", _xlfn.CONCAT(" | ",Store_Setting[[#This Row],[商品名称]])))</f>
        <v>28</v>
      </c>
      <c r="E38" s="16">
        <v>28</v>
      </c>
      <c r="F38" s="17"/>
      <c r="G38" s="18">
        <f>Store_Setting[[#This Row],[库存负差]]-SUM(Store_Setting[[#This Row],[已存入]]-Store_Setting[[#This Row],[已支取]])</f>
        <v>0</v>
      </c>
      <c r="H38" s="19">
        <f>SUM(UserInfo[28 - 剩余])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Row],[入库小计]]-Store_Setting[[#This Row],[取货小计]]</f>
        <v>0</v>
      </c>
      <c r="L38" s="19">
        <f>SUMIFS(Store_History[数量],Store_History[唯一识别码],Store_Setting[[#This Row],[唯一识别码]],Store_History[类型],$D$83)</f>
        <v>0</v>
      </c>
      <c r="M38" s="19">
        <f>SUMIFS(Store_History[数量],Store_History[唯一识别码],Store_Setting[[#This Row],[唯一识别码]],Store_History[类型],$E$83)</f>
        <v>0</v>
      </c>
      <c r="N38" s="17" t="s">
        <v>123</v>
      </c>
      <c r="O38" s="17" t="s">
        <v>123</v>
      </c>
      <c r="P38" s="16" t="s">
        <v>338</v>
      </c>
      <c r="Q38" s="16" t="s">
        <v>379</v>
      </c>
      <c r="R38" s="16" t="s">
        <v>380</v>
      </c>
      <c r="S38" s="16" t="s">
        <v>298</v>
      </c>
      <c r="BD38" s="7" t="s">
        <v>467</v>
      </c>
    </row>
    <row r="39" spans="2:56" ht="40" customHeight="1" x14ac:dyDescent="0.4">
      <c r="B39" s="9"/>
      <c r="C39" s="10"/>
      <c r="D39" s="15" t="str">
        <f>CONCATENATE(Store_Setting[[#This Row],[商品序号]], IF(Store_Setting[[#This Row],[商品名称]]="","", _xlfn.CONCAT(" | ",Store_Setting[[#This Row],[商品名称]])))</f>
        <v>29</v>
      </c>
      <c r="E39" s="16">
        <v>29</v>
      </c>
      <c r="F39" s="17"/>
      <c r="G39" s="18">
        <f>Store_Setting[[#This Row],[库存负差]]-SUM(Store_Setting[[#This Row],[已存入]]-Store_Setting[[#This Row],[已支取]])</f>
        <v>0</v>
      </c>
      <c r="H39" s="19">
        <f>SUM(UserInfo[29 - 剩余])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Row],[入库小计]]-Store_Setting[[#This Row],[取货小计]]</f>
        <v>0</v>
      </c>
      <c r="L39" s="19">
        <f>SUMIFS(Store_History[数量],Store_History[唯一识别码],Store_Setting[[#This Row],[唯一识别码]],Store_History[类型],$D$83)</f>
        <v>0</v>
      </c>
      <c r="M39" s="19">
        <f>SUMIFS(Store_History[数量],Store_History[唯一识别码],Store_Setting[[#This Row],[唯一识别码]],Store_History[类型],$E$83)</f>
        <v>0</v>
      </c>
      <c r="N39" s="17" t="s">
        <v>123</v>
      </c>
      <c r="O39" s="17" t="s">
        <v>123</v>
      </c>
      <c r="P39" s="16" t="s">
        <v>339</v>
      </c>
      <c r="Q39" s="16" t="s">
        <v>381</v>
      </c>
      <c r="R39" s="16" t="s">
        <v>382</v>
      </c>
      <c r="S39" s="16" t="s">
        <v>299</v>
      </c>
      <c r="BD39" s="7" t="s">
        <v>468</v>
      </c>
    </row>
    <row r="40" spans="2:56" ht="40" customHeight="1" x14ac:dyDescent="0.4">
      <c r="B40" s="9"/>
      <c r="C40" s="10"/>
      <c r="D40" s="15" t="str">
        <f>CONCATENATE(Store_Setting[[#This Row],[商品序号]], IF(Store_Setting[[#This Row],[商品名称]]="","", _xlfn.CONCAT(" | ",Store_Setting[[#This Row],[商品名称]])))</f>
        <v>30</v>
      </c>
      <c r="E40" s="16">
        <v>30</v>
      </c>
      <c r="F40" s="17"/>
      <c r="G40" s="18">
        <f>Store_Setting[[#This Row],[库存负差]]-SUM(Store_Setting[[#This Row],[已存入]]-Store_Setting[[#This Row],[已支取]])</f>
        <v>0</v>
      </c>
      <c r="H40" s="19">
        <f>SUM(UserInfo[30 - 剩余])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Row],[入库小计]]-Store_Setting[[#This Row],[取货小计]]</f>
        <v>0</v>
      </c>
      <c r="L40" s="19">
        <f>SUMIFS(Store_History[数量],Store_History[唯一识别码],Store_Setting[[#This Row],[唯一识别码]],Store_History[类型],$D$83)</f>
        <v>0</v>
      </c>
      <c r="M40" s="19">
        <f>SUMIFS(Store_History[数量],Store_History[唯一识别码],Store_Setting[[#This Row],[唯一识别码]],Store_History[类型],$E$83)</f>
        <v>0</v>
      </c>
      <c r="N40" s="17" t="s">
        <v>123</v>
      </c>
      <c r="O40" s="17" t="s">
        <v>123</v>
      </c>
      <c r="P40" s="16" t="s">
        <v>340</v>
      </c>
      <c r="Q40" s="16" t="s">
        <v>383</v>
      </c>
      <c r="R40" s="16" t="s">
        <v>384</v>
      </c>
      <c r="S40" s="16" t="s">
        <v>300</v>
      </c>
      <c r="BD40" s="7" t="s">
        <v>469</v>
      </c>
    </row>
    <row r="41" spans="2:56" ht="40" customHeight="1" x14ac:dyDescent="0.4">
      <c r="B41" s="9"/>
      <c r="C41" s="10"/>
      <c r="D41" s="15" t="str">
        <f>CONCATENATE(Store_Setting[[#This Row],[商品序号]], IF(Store_Setting[[#This Row],[商品名称]]="","", _xlfn.CONCAT(" | ",Store_Setting[[#This Row],[商品名称]])))</f>
        <v>31</v>
      </c>
      <c r="E41" s="16">
        <v>31</v>
      </c>
      <c r="F41" s="17"/>
      <c r="G41" s="18">
        <f>Store_Setting[[#This Row],[库存负差]]-SUM(Store_Setting[[#This Row],[已存入]]-Store_Setting[[#This Row],[已支取]])</f>
        <v>0</v>
      </c>
      <c r="H41" s="19">
        <f>SUM(UserInfo[31 - 剩余])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Row],[入库小计]]-Store_Setting[[#This Row],[取货小计]]</f>
        <v>0</v>
      </c>
      <c r="L41" s="19">
        <f>SUMIFS(Store_History[数量],Store_History[唯一识别码],Store_Setting[[#This Row],[唯一识别码]],Store_History[类型],$D$83)</f>
        <v>0</v>
      </c>
      <c r="M41" s="19">
        <f>SUMIFS(Store_History[数量],Store_History[唯一识别码],Store_Setting[[#This Row],[唯一识别码]],Store_History[类型],$E$83)</f>
        <v>0</v>
      </c>
      <c r="N41" s="17" t="s">
        <v>123</v>
      </c>
      <c r="O41" s="17" t="s">
        <v>123</v>
      </c>
      <c r="P41" s="16" t="s">
        <v>341</v>
      </c>
      <c r="Q41" s="16" t="s">
        <v>385</v>
      </c>
      <c r="R41" s="16" t="s">
        <v>386</v>
      </c>
      <c r="S41" s="16" t="s">
        <v>301</v>
      </c>
      <c r="BD41" s="7" t="s">
        <v>471</v>
      </c>
    </row>
    <row r="42" spans="2:56" ht="40" customHeight="1" x14ac:dyDescent="0.4">
      <c r="B42" s="9"/>
      <c r="C42" s="10"/>
      <c r="D42" s="15" t="str">
        <f>CONCATENATE(Store_Setting[[#This Row],[商品序号]], IF(Store_Setting[[#This Row],[商品名称]]="","", _xlfn.CONCAT(" | ",Store_Setting[[#This Row],[商品名称]])))</f>
        <v>32</v>
      </c>
      <c r="E42" s="16">
        <v>32</v>
      </c>
      <c r="F42" s="17"/>
      <c r="G42" s="18">
        <f>Store_Setting[[#This Row],[库存负差]]-SUM(Store_Setting[[#This Row],[已存入]]-Store_Setting[[#This Row],[已支取]])</f>
        <v>0</v>
      </c>
      <c r="H42" s="19">
        <f>SUM(UserInfo[32 - 剩余])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Row],[入库小计]]-Store_Setting[[#This Row],[取货小计]]</f>
        <v>0</v>
      </c>
      <c r="L42" s="19">
        <f>SUMIFS(Store_History[数量],Store_History[唯一识别码],Store_Setting[[#This Row],[唯一识别码]],Store_History[类型],$D$83)</f>
        <v>0</v>
      </c>
      <c r="M42" s="19">
        <f>SUMIFS(Store_History[数量],Store_History[唯一识别码],Store_Setting[[#This Row],[唯一识别码]],Store_History[类型],$E$83)</f>
        <v>0</v>
      </c>
      <c r="N42" s="17" t="s">
        <v>123</v>
      </c>
      <c r="O42" s="17" t="s">
        <v>123</v>
      </c>
      <c r="P42" s="16" t="s">
        <v>342</v>
      </c>
      <c r="Q42" s="16" t="s">
        <v>387</v>
      </c>
      <c r="R42" s="16" t="s">
        <v>388</v>
      </c>
      <c r="S42" s="16" t="s">
        <v>302</v>
      </c>
    </row>
    <row r="43" spans="2:56" ht="40" customHeight="1" x14ac:dyDescent="0.4">
      <c r="B43" s="9"/>
      <c r="C43" s="10"/>
      <c r="D43" s="15" t="str">
        <f>CONCATENATE(Store_Setting[[#This Row],[商品序号]], IF(Store_Setting[[#This Row],[商品名称]]="","", _xlfn.CONCAT(" | ",Store_Setting[[#This Row],[商品名称]])))</f>
        <v>33</v>
      </c>
      <c r="E43" s="16">
        <v>33</v>
      </c>
      <c r="F43" s="17"/>
      <c r="G43" s="18">
        <f>Store_Setting[[#This Row],[库存负差]]-SUM(Store_Setting[[#This Row],[已存入]]-Store_Setting[[#This Row],[已支取]])</f>
        <v>0</v>
      </c>
      <c r="H43" s="19">
        <f>SUM(UserInfo[33 - 剩余])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Row],[入库小计]]-Store_Setting[[#This Row],[取货小计]]</f>
        <v>0</v>
      </c>
      <c r="L43" s="19">
        <f>SUMIFS(Store_History[数量],Store_History[唯一识别码],Store_Setting[[#This Row],[唯一识别码]],Store_History[类型],$D$83)</f>
        <v>0</v>
      </c>
      <c r="M43" s="19">
        <f>SUMIFS(Store_History[数量],Store_History[唯一识别码],Store_Setting[[#This Row],[唯一识别码]],Store_History[类型],$E$83)</f>
        <v>0</v>
      </c>
      <c r="N43" s="17" t="s">
        <v>123</v>
      </c>
      <c r="O43" s="17" t="s">
        <v>123</v>
      </c>
      <c r="P43" s="16" t="s">
        <v>343</v>
      </c>
      <c r="Q43" s="16" t="s">
        <v>389</v>
      </c>
      <c r="R43" s="16" t="s">
        <v>390</v>
      </c>
      <c r="S43" s="16" t="s">
        <v>303</v>
      </c>
    </row>
    <row r="44" spans="2:56" ht="40" customHeight="1" x14ac:dyDescent="0.4">
      <c r="B44" s="9"/>
      <c r="C44" s="10"/>
      <c r="D44" s="15" t="str">
        <f>CONCATENATE(Store_Setting[[#This Row],[商品序号]], IF(Store_Setting[[#This Row],[商品名称]]="","", _xlfn.CONCAT(" | ",Store_Setting[[#This Row],[商品名称]])))</f>
        <v>34</v>
      </c>
      <c r="E44" s="16">
        <v>34</v>
      </c>
      <c r="F44" s="17"/>
      <c r="G44" s="18">
        <f>Store_Setting[[#This Row],[库存负差]]-SUM(Store_Setting[[#This Row],[已存入]]-Store_Setting[[#This Row],[已支取]])</f>
        <v>0</v>
      </c>
      <c r="H44" s="19">
        <f>SUM(UserInfo[34 - 剩余])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Row],[入库小计]]-Store_Setting[[#This Row],[取货小计]]</f>
        <v>0</v>
      </c>
      <c r="L44" s="19">
        <f>SUMIFS(Store_History[数量],Store_History[唯一识别码],Store_Setting[[#This Row],[唯一识别码]],Store_History[类型],$D$83)</f>
        <v>0</v>
      </c>
      <c r="M44" s="19">
        <f>SUMIFS(Store_History[数量],Store_History[唯一识别码],Store_Setting[[#This Row],[唯一识别码]],Store_History[类型],$E$83)</f>
        <v>0</v>
      </c>
      <c r="N44" s="17" t="s">
        <v>123</v>
      </c>
      <c r="O44" s="17" t="s">
        <v>123</v>
      </c>
      <c r="P44" s="16" t="s">
        <v>344</v>
      </c>
      <c r="Q44" s="16" t="s">
        <v>391</v>
      </c>
      <c r="R44" s="16" t="s">
        <v>392</v>
      </c>
      <c r="S44" s="16" t="s">
        <v>304</v>
      </c>
    </row>
    <row r="45" spans="2:56" ht="40" customHeight="1" x14ac:dyDescent="0.4">
      <c r="B45" s="9"/>
      <c r="C45" s="10"/>
      <c r="D45" s="15" t="str">
        <f>CONCATENATE(Store_Setting[[#This Row],[商品序号]], IF(Store_Setting[[#This Row],[商品名称]]="","", _xlfn.CONCAT(" | ",Store_Setting[[#This Row],[商品名称]])))</f>
        <v>35</v>
      </c>
      <c r="E45" s="16">
        <v>35</v>
      </c>
      <c r="F45" s="17"/>
      <c r="G45" s="18">
        <f>Store_Setting[[#This Row],[库存负差]]-SUM(Store_Setting[[#This Row],[已存入]]-Store_Setting[[#This Row],[已支取]])</f>
        <v>0</v>
      </c>
      <c r="H45" s="19">
        <f>SUM(UserInfo[35 - 剩余])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Row],[入库小计]]-Store_Setting[[#This Row],[取货小计]]</f>
        <v>0</v>
      </c>
      <c r="L45" s="19">
        <f>SUMIFS(Store_History[数量],Store_History[唯一识别码],Store_Setting[[#This Row],[唯一识别码]],Store_History[类型],$D$83)</f>
        <v>0</v>
      </c>
      <c r="M45" s="19">
        <f>SUMIFS(Store_History[数量],Store_History[唯一识别码],Store_Setting[[#This Row],[唯一识别码]],Store_History[类型],$E$83)</f>
        <v>0</v>
      </c>
      <c r="N45" s="17" t="s">
        <v>123</v>
      </c>
      <c r="O45" s="17" t="s">
        <v>123</v>
      </c>
      <c r="P45" s="16" t="s">
        <v>345</v>
      </c>
      <c r="Q45" s="16" t="s">
        <v>393</v>
      </c>
      <c r="R45" s="16" t="s">
        <v>394</v>
      </c>
      <c r="S45" s="16" t="s">
        <v>305</v>
      </c>
    </row>
    <row r="46" spans="2:56" ht="40" customHeight="1" x14ac:dyDescent="0.4">
      <c r="B46" s="9"/>
      <c r="C46" s="10"/>
      <c r="D46" s="15" t="str">
        <f>CONCATENATE(Store_Setting[[#This Row],[商品序号]], IF(Store_Setting[[#This Row],[商品名称]]="","", _xlfn.CONCAT(" | ",Store_Setting[[#This Row],[商品名称]])))</f>
        <v>36</v>
      </c>
      <c r="E46" s="16">
        <v>36</v>
      </c>
      <c r="F46" s="17"/>
      <c r="G46" s="18">
        <f>Store_Setting[[#This Row],[库存负差]]-SUM(Store_Setting[[#This Row],[已存入]]-Store_Setting[[#This Row],[已支取]])</f>
        <v>0</v>
      </c>
      <c r="H46" s="19">
        <f>SUM(UserInfo[36 - 剩余])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Row],[入库小计]]-Store_Setting[[#This Row],[取货小计]]</f>
        <v>0</v>
      </c>
      <c r="L46" s="19">
        <f>SUMIFS(Store_History[数量],Store_History[唯一识别码],Store_Setting[[#This Row],[唯一识别码]],Store_History[类型],$D$83)</f>
        <v>0</v>
      </c>
      <c r="M46" s="19">
        <f>SUMIFS(Store_History[数量],Store_History[唯一识别码],Store_Setting[[#This Row],[唯一识别码]],Store_History[类型],$E$83)</f>
        <v>0</v>
      </c>
      <c r="N46" s="17" t="s">
        <v>123</v>
      </c>
      <c r="O46" s="17" t="s">
        <v>123</v>
      </c>
      <c r="P46" s="16" t="s">
        <v>346</v>
      </c>
      <c r="Q46" s="16" t="s">
        <v>395</v>
      </c>
      <c r="R46" s="16" t="s">
        <v>396</v>
      </c>
      <c r="S46" s="16" t="s">
        <v>306</v>
      </c>
    </row>
    <row r="47" spans="2:56" ht="40" customHeight="1" x14ac:dyDescent="0.4">
      <c r="B47" s="9"/>
      <c r="C47" s="10"/>
      <c r="D47" s="15" t="str">
        <f>CONCATENATE(Store_Setting[[#This Row],[商品序号]], IF(Store_Setting[[#This Row],[商品名称]]="","", _xlfn.CONCAT(" | ",Store_Setting[[#This Row],[商品名称]])))</f>
        <v>37</v>
      </c>
      <c r="E47" s="16">
        <v>37</v>
      </c>
      <c r="F47" s="17"/>
      <c r="G47" s="18">
        <f>Store_Setting[[#This Row],[库存负差]]-SUM(Store_Setting[[#This Row],[已存入]]-Store_Setting[[#This Row],[已支取]])</f>
        <v>0</v>
      </c>
      <c r="H47" s="19">
        <f>SUM(UserInfo[37 - 剩余])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Row],[入库小计]]-Store_Setting[[#This Row],[取货小计]]</f>
        <v>0</v>
      </c>
      <c r="L47" s="19">
        <f>SUMIFS(Store_History[数量],Store_History[唯一识别码],Store_Setting[[#This Row],[唯一识别码]],Store_History[类型],$D$83)</f>
        <v>0</v>
      </c>
      <c r="M47" s="19">
        <f>SUMIFS(Store_History[数量],Store_History[唯一识别码],Store_Setting[[#This Row],[唯一识别码]],Store_History[类型],$E$83)</f>
        <v>0</v>
      </c>
      <c r="N47" s="17" t="s">
        <v>123</v>
      </c>
      <c r="O47" s="17" t="s">
        <v>123</v>
      </c>
      <c r="P47" s="16" t="s">
        <v>347</v>
      </c>
      <c r="Q47" s="16" t="s">
        <v>397</v>
      </c>
      <c r="R47" s="16" t="s">
        <v>398</v>
      </c>
      <c r="S47" s="16" t="s">
        <v>307</v>
      </c>
    </row>
    <row r="48" spans="2:56" ht="40" customHeight="1" x14ac:dyDescent="0.4">
      <c r="B48" s="9"/>
      <c r="C48" s="10"/>
      <c r="D48" s="15" t="str">
        <f>CONCATENATE(Store_Setting[[#This Row],[商品序号]], IF(Store_Setting[[#This Row],[商品名称]]="","", _xlfn.CONCAT(" | ",Store_Setting[[#This Row],[商品名称]])))</f>
        <v>38</v>
      </c>
      <c r="E48" s="16">
        <v>38</v>
      </c>
      <c r="F48" s="17"/>
      <c r="G48" s="18">
        <f>Store_Setting[[#This Row],[库存负差]]-SUM(Store_Setting[[#This Row],[已存入]]-Store_Setting[[#This Row],[已支取]])</f>
        <v>0</v>
      </c>
      <c r="H48" s="19">
        <f>SUM(UserInfo[38 - 剩余])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Row],[入库小计]]-Store_Setting[[#This Row],[取货小计]]</f>
        <v>0</v>
      </c>
      <c r="L48" s="19">
        <f>SUMIFS(Store_History[数量],Store_History[唯一识别码],Store_Setting[[#This Row],[唯一识别码]],Store_History[类型],$D$83)</f>
        <v>0</v>
      </c>
      <c r="M48" s="19">
        <f>SUMIFS(Store_History[数量],Store_History[唯一识别码],Store_Setting[[#This Row],[唯一识别码]],Store_History[类型],$E$83)</f>
        <v>0</v>
      </c>
      <c r="N48" s="17" t="s">
        <v>123</v>
      </c>
      <c r="O48" s="17" t="s">
        <v>123</v>
      </c>
      <c r="P48" s="16" t="s">
        <v>348</v>
      </c>
      <c r="Q48" s="16" t="s">
        <v>399</v>
      </c>
      <c r="R48" s="16" t="s">
        <v>400</v>
      </c>
      <c r="S48" s="16" t="s">
        <v>308</v>
      </c>
    </row>
    <row r="49" spans="2:19" ht="40" customHeight="1" x14ac:dyDescent="0.4">
      <c r="B49" s="9"/>
      <c r="C49" s="10"/>
      <c r="D49" s="15" t="str">
        <f>CONCATENATE(Store_Setting[[#This Row],[商品序号]], IF(Store_Setting[[#This Row],[商品名称]]="","", _xlfn.CONCAT(" | ",Store_Setting[[#This Row],[商品名称]])))</f>
        <v>39</v>
      </c>
      <c r="E49" s="16">
        <v>39</v>
      </c>
      <c r="F49" s="17"/>
      <c r="G49" s="18">
        <f>Store_Setting[[#This Row],[库存负差]]-SUM(Store_Setting[[#This Row],[已存入]]-Store_Setting[[#This Row],[已支取]])</f>
        <v>0</v>
      </c>
      <c r="H49" s="19">
        <f>SUM(UserInfo[39 - 剩余])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Row],[入库小计]]-Store_Setting[[#This Row],[取货小计]]</f>
        <v>0</v>
      </c>
      <c r="L49" s="19">
        <f>SUMIFS(Store_History[数量],Store_History[唯一识别码],Store_Setting[[#This Row],[唯一识别码]],Store_History[类型],$D$83)</f>
        <v>0</v>
      </c>
      <c r="M49" s="19">
        <f>SUMIFS(Store_History[数量],Store_History[唯一识别码],Store_Setting[[#This Row],[唯一识别码]],Store_History[类型],$E$83)</f>
        <v>0</v>
      </c>
      <c r="N49" s="17" t="s">
        <v>123</v>
      </c>
      <c r="O49" s="17" t="s">
        <v>123</v>
      </c>
      <c r="P49" s="16" t="s">
        <v>349</v>
      </c>
      <c r="Q49" s="16" t="s">
        <v>401</v>
      </c>
      <c r="R49" s="16" t="s">
        <v>402</v>
      </c>
      <c r="S49" s="16" t="s">
        <v>309</v>
      </c>
    </row>
    <row r="50" spans="2:19" ht="40" customHeight="1" x14ac:dyDescent="0.4">
      <c r="B50" s="9"/>
      <c r="C50" s="10"/>
      <c r="D50" s="15" t="str">
        <f>CONCATENATE(Store_Setting[[#This Row],[商品序号]], IF(Store_Setting[[#This Row],[商品名称]]="","", _xlfn.CONCAT(" | ",Store_Setting[[#This Row],[商品名称]])))</f>
        <v>40</v>
      </c>
      <c r="E50" s="16">
        <v>40</v>
      </c>
      <c r="F50" s="17"/>
      <c r="G50" s="18">
        <f>Store_Setting[[#This Row],[库存负差]]-SUM(Store_Setting[[#This Row],[已存入]]-Store_Setting[[#This Row],[已支取]])</f>
        <v>0</v>
      </c>
      <c r="H50" s="19">
        <f>SUM(UserInfo[40 - 剩余])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Row],[入库小计]]-Store_Setting[[#This Row],[取货小计]]</f>
        <v>0</v>
      </c>
      <c r="L50" s="19">
        <f>SUMIFS(Store_History[数量],Store_History[唯一识别码],Store_Setting[[#This Row],[唯一识别码]],Store_History[类型],$D$83)</f>
        <v>0</v>
      </c>
      <c r="M50" s="19">
        <f>SUMIFS(Store_History[数量],Store_History[唯一识别码],Store_Setting[[#This Row],[唯一识别码]],Store_History[类型],$E$83)</f>
        <v>0</v>
      </c>
      <c r="N50" s="17" t="s">
        <v>123</v>
      </c>
      <c r="O50" s="17" t="s">
        <v>123</v>
      </c>
      <c r="P50" s="16" t="s">
        <v>350</v>
      </c>
      <c r="Q50" s="16" t="s">
        <v>403</v>
      </c>
      <c r="R50" s="16" t="s">
        <v>404</v>
      </c>
      <c r="S50" s="16" t="s">
        <v>295</v>
      </c>
    </row>
    <row r="51" spans="2:19" ht="8.25" customHeight="1" x14ac:dyDescent="0.4"/>
    <row r="52" spans="2:19" ht="40" customHeight="1" x14ac:dyDescent="0.4">
      <c r="B52" s="9" t="s">
        <v>15</v>
      </c>
      <c r="C52" s="10" t="s">
        <v>122</v>
      </c>
      <c r="D52" s="20" t="s">
        <v>247</v>
      </c>
      <c r="E52" s="56" t="s">
        <v>482</v>
      </c>
      <c r="F52" s="21"/>
      <c r="G52" s="21"/>
      <c r="H52" s="21"/>
      <c r="I52" s="21"/>
      <c r="J52" s="21"/>
      <c r="K52" s="21"/>
      <c r="L52" s="21"/>
      <c r="M52" s="21"/>
      <c r="N52" s="21"/>
      <c r="O52" s="21"/>
    </row>
    <row r="53" spans="2:19" ht="40" customHeight="1" x14ac:dyDescent="0.4">
      <c r="B53" s="9"/>
      <c r="C53" s="10" t="s">
        <v>29</v>
      </c>
      <c r="D53" s="22" t="s">
        <v>246</v>
      </c>
      <c r="E53" s="22" t="s">
        <v>247</v>
      </c>
      <c r="F53" s="22"/>
      <c r="G53" s="22"/>
      <c r="H53" s="22"/>
      <c r="I53" s="23"/>
      <c r="J53" s="23"/>
      <c r="K53" s="23"/>
      <c r="L53" s="23"/>
      <c r="M53" s="23"/>
      <c r="N53" s="23"/>
      <c r="O53" s="23"/>
    </row>
    <row r="54" spans="2:19" ht="40" customHeight="1" x14ac:dyDescent="0.4">
      <c r="B54" s="9"/>
      <c r="C54" s="10" t="s">
        <v>30</v>
      </c>
      <c r="D54" s="22"/>
      <c r="E54" s="22"/>
      <c r="F54" s="22"/>
      <c r="G54" s="22"/>
      <c r="H54" s="22"/>
      <c r="I54" s="23"/>
      <c r="J54" s="23"/>
      <c r="K54" s="23"/>
      <c r="L54" s="23"/>
      <c r="M54" s="23"/>
      <c r="N54" s="23"/>
      <c r="O54" s="23"/>
    </row>
    <row r="55" spans="2:19" ht="8.25" customHeight="1" x14ac:dyDescent="0.4">
      <c r="B55" s="24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</row>
    <row r="56" spans="2:19" ht="40" customHeight="1" x14ac:dyDescent="0.4">
      <c r="B56" s="9" t="s">
        <v>16</v>
      </c>
      <c r="C56" s="10" t="s">
        <v>473</v>
      </c>
      <c r="D56" s="22" t="s">
        <v>474</v>
      </c>
      <c r="E56" s="30" t="s">
        <v>475</v>
      </c>
      <c r="F56" s="30"/>
      <c r="G56" s="30"/>
      <c r="H56" s="30"/>
      <c r="I56" s="30"/>
      <c r="J56" s="30"/>
      <c r="K56" s="30"/>
      <c r="L56" s="30"/>
      <c r="M56" s="30"/>
      <c r="N56" s="30"/>
      <c r="O56" s="30"/>
    </row>
    <row r="57" spans="2:19" ht="40" customHeight="1" x14ac:dyDescent="0.4">
      <c r="B57" s="9"/>
      <c r="C57" s="10" t="s">
        <v>476</v>
      </c>
      <c r="D57" s="22" t="s">
        <v>474</v>
      </c>
      <c r="E57" s="22" t="s">
        <v>477</v>
      </c>
      <c r="F57" s="22" t="s">
        <v>478</v>
      </c>
      <c r="G57" s="22" t="s">
        <v>479</v>
      </c>
      <c r="H57" s="22" t="s">
        <v>480</v>
      </c>
      <c r="I57" s="22" t="s">
        <v>481</v>
      </c>
      <c r="J57" s="22"/>
      <c r="K57" s="22"/>
      <c r="L57" s="22"/>
      <c r="M57" s="22"/>
      <c r="N57" s="22"/>
      <c r="O57" s="22"/>
    </row>
    <row r="58" spans="2:19" ht="40" customHeight="1" x14ac:dyDescent="0.4">
      <c r="B58" s="9"/>
      <c r="C58" s="10" t="s">
        <v>254</v>
      </c>
      <c r="D58" s="21" t="s">
        <v>476</v>
      </c>
      <c r="E58" s="21" t="s">
        <v>28</v>
      </c>
      <c r="F58" s="10" t="s">
        <v>1</v>
      </c>
      <c r="G58" s="10" t="s">
        <v>22</v>
      </c>
      <c r="H58" s="27" t="s">
        <v>21</v>
      </c>
      <c r="I58" s="27" t="s">
        <v>23</v>
      </c>
      <c r="J58" s="27" t="s">
        <v>24</v>
      </c>
      <c r="K58" s="27" t="s">
        <v>73</v>
      </c>
      <c r="L58" s="27" t="s">
        <v>411</v>
      </c>
      <c r="M58" s="27" t="s">
        <v>7</v>
      </c>
      <c r="N58" s="27" t="s">
        <v>264</v>
      </c>
      <c r="O58" s="27" t="s">
        <v>462</v>
      </c>
    </row>
    <row r="59" spans="2:19" ht="40" customHeight="1" x14ac:dyDescent="0.4">
      <c r="B59" s="9"/>
      <c r="C59" s="10"/>
      <c r="D59" s="28" t="s">
        <v>123</v>
      </c>
      <c r="E59" s="28" t="s">
        <v>123</v>
      </c>
      <c r="F59" s="28" t="s">
        <v>124</v>
      </c>
      <c r="G59" s="28" t="s">
        <v>124</v>
      </c>
      <c r="H59" s="28" t="s">
        <v>124</v>
      </c>
      <c r="I59" s="28" t="s">
        <v>124</v>
      </c>
      <c r="J59" s="28" t="s">
        <v>124</v>
      </c>
      <c r="K59" s="29" t="s">
        <v>413</v>
      </c>
      <c r="L59" s="27"/>
      <c r="M59" s="27"/>
      <c r="N59" s="27"/>
      <c r="O59" s="27"/>
    </row>
    <row r="60" spans="2:19" ht="50.05" customHeight="1" x14ac:dyDescent="0.4">
      <c r="B60" s="9"/>
      <c r="C60" s="21" t="s">
        <v>414</v>
      </c>
      <c r="D60" s="28" t="s">
        <v>412</v>
      </c>
      <c r="E60" s="28" t="s">
        <v>412</v>
      </c>
      <c r="F60" s="28" t="s">
        <v>412</v>
      </c>
      <c r="G60" s="28" t="s">
        <v>436</v>
      </c>
      <c r="H60" s="28" t="s">
        <v>436</v>
      </c>
      <c r="I60" s="28" t="s">
        <v>436</v>
      </c>
      <c r="J60" s="28" t="s">
        <v>436</v>
      </c>
      <c r="K60" s="28" t="s">
        <v>412</v>
      </c>
      <c r="L60" s="28" t="s">
        <v>412</v>
      </c>
      <c r="M60" s="28" t="s">
        <v>412</v>
      </c>
      <c r="N60" s="28" t="s">
        <v>412</v>
      </c>
      <c r="O60" s="28" t="s">
        <v>412</v>
      </c>
    </row>
    <row r="61" spans="2:19" ht="50.05" customHeight="1" x14ac:dyDescent="0.4">
      <c r="B61" s="9"/>
      <c r="C61" s="21" t="s">
        <v>415</v>
      </c>
      <c r="D61" s="28" t="s">
        <v>412</v>
      </c>
      <c r="E61" s="28" t="s">
        <v>412</v>
      </c>
      <c r="F61" s="28" t="s">
        <v>412</v>
      </c>
      <c r="G61" s="28" t="s">
        <v>412</v>
      </c>
      <c r="H61" s="28" t="s">
        <v>412</v>
      </c>
      <c r="I61" s="28" t="s">
        <v>412</v>
      </c>
      <c r="J61" s="28" t="s">
        <v>412</v>
      </c>
      <c r="K61" s="29"/>
      <c r="L61" s="28" t="s">
        <v>412</v>
      </c>
      <c r="M61" s="28" t="s">
        <v>412</v>
      </c>
      <c r="N61" s="29"/>
      <c r="O61" s="27"/>
    </row>
    <row r="62" spans="2:19" ht="50.05" customHeight="1" x14ac:dyDescent="0.4">
      <c r="B62" s="9"/>
      <c r="C62" s="21" t="s">
        <v>251</v>
      </c>
      <c r="D62" s="28" t="s">
        <v>124</v>
      </c>
      <c r="E62" s="30" t="s">
        <v>236</v>
      </c>
      <c r="F62" s="27"/>
      <c r="G62" s="27"/>
      <c r="H62" s="27"/>
      <c r="I62" s="27"/>
      <c r="J62" s="27"/>
      <c r="K62" s="27"/>
      <c r="L62" s="27"/>
      <c r="M62" s="27"/>
      <c r="N62" s="27"/>
      <c r="O62" s="27"/>
    </row>
    <row r="63" spans="2:19" ht="50.05" customHeight="1" x14ac:dyDescent="0.4">
      <c r="B63" s="9"/>
      <c r="C63" s="21" t="s">
        <v>257</v>
      </c>
      <c r="D63" s="28" t="s">
        <v>123</v>
      </c>
      <c r="E63" s="30" t="s">
        <v>261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</row>
    <row r="64" spans="2:19" ht="40" customHeight="1" x14ac:dyDescent="0.4">
      <c r="B64" s="9"/>
      <c r="C64" s="21" t="s">
        <v>417</v>
      </c>
      <c r="D64" s="28" t="s">
        <v>123</v>
      </c>
      <c r="E64" s="30" t="s">
        <v>418</v>
      </c>
      <c r="F64" s="27"/>
      <c r="G64" s="27"/>
      <c r="H64" s="27"/>
      <c r="I64" s="27"/>
      <c r="J64" s="27"/>
      <c r="K64" s="27"/>
      <c r="L64" s="27"/>
      <c r="M64" s="27"/>
      <c r="N64" s="27"/>
      <c r="O64" s="27"/>
    </row>
    <row r="65" spans="2:15" ht="50.05" customHeight="1" x14ac:dyDescent="0.4">
      <c r="B65" s="9"/>
      <c r="C65" s="21" t="s">
        <v>256</v>
      </c>
      <c r="D65" s="28" t="s">
        <v>123</v>
      </c>
      <c r="E65" s="30" t="s">
        <v>262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2:15" ht="8.25" customHeight="1" x14ac:dyDescent="0.4">
      <c r="B66" s="24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9" t="s">
        <v>25</v>
      </c>
      <c r="C67" s="10" t="s">
        <v>217</v>
      </c>
      <c r="D67" s="20" t="s">
        <v>218</v>
      </c>
      <c r="E67" s="20" t="s">
        <v>219</v>
      </c>
      <c r="F67" s="20" t="s">
        <v>220</v>
      </c>
      <c r="G67" s="20" t="s">
        <v>232</v>
      </c>
      <c r="H67" s="20" t="s">
        <v>233</v>
      </c>
      <c r="I67" s="20" t="s">
        <v>234</v>
      </c>
      <c r="J67" s="20" t="s">
        <v>235</v>
      </c>
      <c r="K67" s="20"/>
      <c r="L67" s="20"/>
      <c r="M67" s="20"/>
      <c r="N67" s="20"/>
      <c r="O67" s="20"/>
    </row>
    <row r="68" spans="2:15" ht="50.05" customHeight="1" x14ac:dyDescent="0.4">
      <c r="B68" s="9"/>
      <c r="C68" s="21" t="s">
        <v>253</v>
      </c>
      <c r="D68" s="28" t="s">
        <v>123</v>
      </c>
      <c r="E68" s="30" t="s">
        <v>239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50.05" customHeight="1" x14ac:dyDescent="0.4">
      <c r="B69" s="9"/>
      <c r="C69" s="21" t="s">
        <v>259</v>
      </c>
      <c r="D69" s="28" t="s">
        <v>123</v>
      </c>
      <c r="E69" s="30" t="s">
        <v>260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50.05" customHeight="1" x14ac:dyDescent="0.4">
      <c r="B70" s="9"/>
      <c r="C70" s="21" t="s">
        <v>258</v>
      </c>
      <c r="D70" s="28" t="s">
        <v>123</v>
      </c>
      <c r="E70" s="30" t="s">
        <v>263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25" customHeight="1" x14ac:dyDescent="0.4">
      <c r="B71" s="24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</row>
    <row r="72" spans="2:15" ht="40" customHeight="1" x14ac:dyDescent="0.4">
      <c r="B72" s="9" t="s">
        <v>210</v>
      </c>
      <c r="C72" s="10" t="s">
        <v>420</v>
      </c>
      <c r="D72" s="31" t="s">
        <v>459</v>
      </c>
      <c r="E72" s="28">
        <v>1</v>
      </c>
      <c r="F72" s="29" t="s">
        <v>460</v>
      </c>
      <c r="G72" s="27"/>
      <c r="H72" s="27"/>
      <c r="I72" s="27"/>
      <c r="J72" s="27"/>
      <c r="K72" s="27"/>
      <c r="L72" s="27"/>
      <c r="M72" s="27"/>
      <c r="N72" s="27"/>
      <c r="O72" s="27"/>
    </row>
    <row r="73" spans="2:15" ht="40" customHeight="1" x14ac:dyDescent="0.4">
      <c r="B73" s="9"/>
      <c r="C73" s="10" t="s">
        <v>461</v>
      </c>
      <c r="D73" s="26" t="s">
        <v>255</v>
      </c>
      <c r="E73" s="28" t="s">
        <v>123</v>
      </c>
      <c r="F73" s="29"/>
      <c r="G73" s="27"/>
      <c r="H73" s="27"/>
      <c r="I73" s="27"/>
      <c r="J73" s="27"/>
      <c r="K73" s="27"/>
      <c r="L73" s="27"/>
      <c r="M73" s="27"/>
      <c r="N73" s="27"/>
      <c r="O73" s="27"/>
    </row>
    <row r="74" spans="2:15" ht="40" customHeight="1" x14ac:dyDescent="0.4">
      <c r="B74" s="9"/>
      <c r="C74" s="10"/>
      <c r="D74" s="26" t="s">
        <v>454</v>
      </c>
      <c r="E74" s="28" t="s">
        <v>123</v>
      </c>
      <c r="F74" s="29"/>
      <c r="G74" s="27"/>
      <c r="H74" s="27"/>
      <c r="I74" s="27"/>
      <c r="J74" s="27"/>
      <c r="K74" s="27"/>
      <c r="L74" s="27"/>
      <c r="M74" s="27"/>
      <c r="N74" s="27"/>
      <c r="O74" s="27"/>
    </row>
    <row r="75" spans="2:15" ht="40" customHeight="1" x14ac:dyDescent="0.4">
      <c r="B75" s="9"/>
      <c r="C75" s="10"/>
      <c r="D75" s="26" t="s">
        <v>128</v>
      </c>
      <c r="E75" s="28" t="s">
        <v>123</v>
      </c>
      <c r="F75" s="29"/>
      <c r="G75" s="27"/>
      <c r="H75" s="27"/>
      <c r="I75" s="27"/>
      <c r="J75" s="27"/>
      <c r="K75" s="27"/>
      <c r="L75" s="27"/>
      <c r="M75" s="27"/>
      <c r="N75" s="27"/>
      <c r="O75" s="27"/>
    </row>
    <row r="76" spans="2:15" ht="8.25" customHeight="1" x14ac:dyDescent="0.4">
      <c r="B76" s="24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</row>
    <row r="77" spans="2:15" ht="50.05" customHeight="1" x14ac:dyDescent="0.4">
      <c r="B77" s="9" t="s">
        <v>231</v>
      </c>
      <c r="C77" s="10" t="s">
        <v>455</v>
      </c>
      <c r="D77" s="26" t="s">
        <v>456</v>
      </c>
      <c r="E77" s="26" t="s">
        <v>464</v>
      </c>
      <c r="F77" s="26" t="s">
        <v>465</v>
      </c>
      <c r="G77" s="26" t="s">
        <v>463</v>
      </c>
      <c r="H77" s="29" t="s">
        <v>466</v>
      </c>
      <c r="I77" s="27"/>
      <c r="J77" s="27"/>
      <c r="K77" s="27"/>
      <c r="L77" s="27"/>
      <c r="M77" s="27"/>
      <c r="N77" s="27"/>
      <c r="O77" s="27"/>
    </row>
    <row r="78" spans="2:15" ht="40" customHeight="1" x14ac:dyDescent="0.4">
      <c r="B78" s="9"/>
      <c r="C78" s="10"/>
      <c r="D78" s="28" t="s">
        <v>124</v>
      </c>
      <c r="E78" s="28" t="s">
        <v>124</v>
      </c>
      <c r="F78" s="28" t="s">
        <v>124</v>
      </c>
      <c r="G78" s="28" t="s">
        <v>123</v>
      </c>
      <c r="H78" s="27"/>
      <c r="I78" s="27"/>
      <c r="J78" s="27"/>
      <c r="K78" s="27"/>
      <c r="L78" s="27"/>
      <c r="M78" s="27"/>
      <c r="N78" s="27"/>
      <c r="O78" s="27"/>
    </row>
    <row r="79" spans="2:15" ht="40" customHeight="1" x14ac:dyDescent="0.4">
      <c r="B79" s="9"/>
      <c r="C79" s="10"/>
      <c r="D79" s="26" t="s">
        <v>458</v>
      </c>
      <c r="E79" s="32"/>
      <c r="F79" s="33"/>
      <c r="G79" s="33"/>
      <c r="H79" s="33"/>
      <c r="I79" s="33"/>
      <c r="J79" s="33"/>
      <c r="K79" s="33"/>
      <c r="L79" s="33"/>
      <c r="M79" s="33"/>
      <c r="N79" s="33"/>
      <c r="O79" s="12"/>
    </row>
    <row r="80" spans="2:15" ht="8.15" customHeight="1" x14ac:dyDescent="0.4"/>
    <row r="81" spans="2:15" ht="40" hidden="1" customHeight="1" x14ac:dyDescent="0.4">
      <c r="B81" s="34" t="s">
        <v>238</v>
      </c>
      <c r="C81" s="10" t="s">
        <v>5</v>
      </c>
      <c r="D81" s="35" t="s">
        <v>8</v>
      </c>
      <c r="E81" s="35" t="s">
        <v>9</v>
      </c>
      <c r="F81" s="36"/>
      <c r="G81" s="36"/>
      <c r="H81" s="36"/>
      <c r="I81" s="36"/>
      <c r="J81" s="36"/>
      <c r="K81" s="36"/>
      <c r="L81" s="36"/>
      <c r="M81" s="36"/>
      <c r="N81" s="36"/>
      <c r="O81" s="36"/>
    </row>
    <row r="82" spans="2:15" ht="8.25" hidden="1" customHeight="1" x14ac:dyDescent="0.4">
      <c r="B82" s="24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40" hidden="1" customHeight="1" x14ac:dyDescent="0.4">
      <c r="B83" s="34" t="s">
        <v>419</v>
      </c>
      <c r="C83" s="10" t="s">
        <v>252</v>
      </c>
      <c r="D83" s="35" t="s">
        <v>225</v>
      </c>
      <c r="E83" s="35" t="s">
        <v>211</v>
      </c>
      <c r="F83" s="36"/>
      <c r="G83" s="36"/>
      <c r="H83" s="36"/>
      <c r="I83" s="36"/>
      <c r="J83" s="36"/>
      <c r="K83" s="36"/>
      <c r="L83" s="36"/>
      <c r="M83" s="36"/>
      <c r="N83" s="36"/>
      <c r="O83" s="36"/>
    </row>
    <row r="84" spans="2:15" ht="8.25" hidden="1" customHeight="1" x14ac:dyDescent="0.4">
      <c r="B84" s="24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</row>
    <row r="85" spans="2:15" ht="40" hidden="1" customHeight="1" x14ac:dyDescent="0.4">
      <c r="B85" s="34" t="s">
        <v>457</v>
      </c>
      <c r="C85" s="10" t="s">
        <v>1</v>
      </c>
      <c r="D85" s="35" t="s">
        <v>10</v>
      </c>
      <c r="E85" s="35" t="s">
        <v>11</v>
      </c>
      <c r="F85" s="36"/>
      <c r="G85" s="36"/>
      <c r="H85" s="36"/>
      <c r="I85" s="36"/>
      <c r="J85" s="36"/>
      <c r="K85" s="36"/>
      <c r="L85" s="36"/>
      <c r="M85" s="36"/>
      <c r="N85" s="36"/>
      <c r="O85" s="36"/>
    </row>
    <row r="86" spans="2:15" ht="8.25" hidden="1" customHeight="1" x14ac:dyDescent="0.4">
      <c r="B86" s="24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</row>
    <row r="87" spans="2:15" ht="40" customHeight="1" x14ac:dyDescent="0.4">
      <c r="B87" s="34" t="s">
        <v>243</v>
      </c>
      <c r="C87" s="37" t="s">
        <v>119</v>
      </c>
      <c r="D87" s="29" t="str">
        <f>_xlfn.CONCAT("共有 ", COUNT(UserInfo[序号]), " 人", "，男占 ", COUNTIF(UserInfo[性别],D85)," 人", "，女占 ", COUNTIF(UserInfo[性别],E85)," 人")</f>
        <v>共有 2 人，男占 1 人，女占 1 人</v>
      </c>
      <c r="E87" s="27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 x14ac:dyDescent="0.4">
      <c r="B88" s="34"/>
      <c r="C88" s="37" t="s">
        <v>255</v>
      </c>
      <c r="D88" s="29" t="str">
        <f>_xlfn.CONCAT("共有 ", COUNT(Store_History[序号])," 条记录", "，已入库  ", COUNTIF(Store_History[类型],D83)," 条", "，已取货 ", COUNTIF(Store_History[类型],E83)," 条")</f>
        <v>共有 1 条记录，已入库  1 条，已取货 0 条</v>
      </c>
      <c r="E88" s="27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 x14ac:dyDescent="0.4">
      <c r="B89" s="34"/>
      <c r="C89" s="37" t="s">
        <v>128</v>
      </c>
      <c r="D89" s="29" t="str">
        <f>_xlfn.CONCAT("共有 ",COUNT(History[序号])," 条记录","，共存入 ",COUNTIF(History[类型],D81)," 条","，共支取 ",COUNTIF(History[类型],E81)," 条")</f>
        <v>共有 2 条记录，共存入 2 条，共支取 0 条</v>
      </c>
      <c r="E89" s="27"/>
      <c r="F89" s="10"/>
      <c r="G89" s="10"/>
      <c r="H89" s="10"/>
      <c r="I89" s="38"/>
      <c r="J89" s="10"/>
      <c r="K89" s="10"/>
      <c r="L89" s="10"/>
      <c r="M89" s="10"/>
      <c r="N89" s="10"/>
      <c r="O89" s="10"/>
    </row>
    <row r="90" spans="2:15" ht="40" customHeight="1" x14ac:dyDescent="0.4">
      <c r="B90" s="34"/>
      <c r="C90" s="37" t="s">
        <v>26</v>
      </c>
      <c r="D90" s="29" t="str">
        <f>_xlfn.CONCAT("共有 ", COUNTA(Get_Staff_Member)," 位员工")</f>
        <v>共有 2 位员工</v>
      </c>
      <c r="E90" s="27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 x14ac:dyDescent="0.4">
      <c r="B91" s="34"/>
      <c r="C91" s="37" t="s">
        <v>217</v>
      </c>
      <c r="D91" s="29" t="str">
        <f>_xlfn.CONCAT("已设置 ", COUNTA(Get_Work_Unit)," 个单位")</f>
        <v>已设置 7 个单位</v>
      </c>
      <c r="E91" s="27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.100000000000001" customHeight="1" x14ac:dyDescent="0.4"/>
    <row r="93" spans="2:15" ht="40" customHeight="1" x14ac:dyDescent="0.4">
      <c r="B93" s="39" t="s">
        <v>17</v>
      </c>
      <c r="C93" s="39"/>
      <c r="D93" s="39"/>
      <c r="E93" s="39"/>
    </row>
    <row r="94" spans="2:15" ht="40" customHeight="1" x14ac:dyDescent="0.4">
      <c r="B94" s="40" t="s">
        <v>19</v>
      </c>
      <c r="C94" s="41" t="s">
        <v>127</v>
      </c>
      <c r="D94" s="42"/>
      <c r="E94" s="42"/>
    </row>
    <row r="95" spans="2:15" ht="40" customHeight="1" x14ac:dyDescent="0.4">
      <c r="B95" s="40" t="s">
        <v>20</v>
      </c>
      <c r="C95" s="43" t="s">
        <v>18</v>
      </c>
      <c r="D95" s="44"/>
      <c r="E95" s="44"/>
    </row>
    <row r="96" spans="2:15" ht="40" customHeight="1" x14ac:dyDescent="0.4">
      <c r="B96" s="40" t="s">
        <v>125</v>
      </c>
      <c r="C96" s="41" t="s">
        <v>126</v>
      </c>
      <c r="D96" s="42"/>
      <c r="E96" s="42"/>
    </row>
    <row r="97" spans="2:5" ht="40" customHeight="1" x14ac:dyDescent="0.4">
      <c r="B97" s="40" t="s">
        <v>120</v>
      </c>
      <c r="C97" s="41" t="s">
        <v>472</v>
      </c>
      <c r="D97" s="41"/>
      <c r="E97" s="41"/>
    </row>
    <row r="98" spans="2: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1" type="noConversion"/>
  <conditionalFormatting sqref="F11:F50 N11:O50">
    <cfRule type="expression" dxfId="404" priority="4">
      <formula>MOD(ROW(),2)=1</formula>
    </cfRule>
    <cfRule type="expression" dxfId="403" priority="5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D59:J59 E73:E76 D78:G78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60:J61 L60:M61 K60 N60:O60" xr:uid="{C5CED565-6E51-496E-A8F0-EB3F1C052D2D}">
      <formula1>"显示, 不显示"</formula1>
    </dataValidation>
    <dataValidation type="list" allowBlank="1" showInputMessage="1" showErrorMessage="1" sqref="E72" xr:uid="{B19AFF40-BA56-4D05-A67D-B61D1D54930B}">
      <formula1>"1,2,3,4,5,6,7,8,9,10,11,12,13,14,15,16,17,18,19,20,21,22,23,24,36,48"</formula1>
    </dataValidation>
    <dataValidation type="list" allowBlank="1" showInputMessage="1" showErrorMessage="1" sqref="D56" xr:uid="{7BF32ECB-D7EC-45BA-9333-B92B41336BA2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48" customWidth="1"/>
    <col min="3" max="3" width="14.69140625" style="48" customWidth="1"/>
    <col min="4" max="4" width="15.69140625" style="48" customWidth="1"/>
    <col min="5" max="5" width="44.69140625" style="48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s="45" customFormat="1" ht="6" customHeight="1" x14ac:dyDescent="0.4"/>
    <row r="2" spans="1:8" ht="55.1" customHeight="1" x14ac:dyDescent="0.4">
      <c r="A2" s="46"/>
      <c r="B2" s="47" t="str">
        <f>CONCATENATE(IF(设置!D7="","",_xlfn.CONCAT(设置!D7," - ")),"新增入库取货")</f>
        <v>Yi - 新增入库取货</v>
      </c>
      <c r="C2" s="47"/>
      <c r="D2" s="47"/>
      <c r="E2" s="46"/>
      <c r="F2" s="46"/>
      <c r="G2" s="46"/>
      <c r="H2" s="46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3" t="s">
        <v>84</v>
      </c>
      <c r="D5" s="49"/>
      <c r="E5" s="50"/>
      <c r="F5" s="51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78" t="s">
        <v>209</v>
      </c>
      <c r="D7" s="52" t="s">
        <v>3</v>
      </c>
      <c r="E7" s="53"/>
      <c r="F7" s="54">
        <v>-1</v>
      </c>
      <c r="G7" s="7"/>
    </row>
    <row r="8" spans="1:8" ht="35.25" customHeight="1" x14ac:dyDescent="0.4">
      <c r="B8" s="7"/>
      <c r="C8" s="7"/>
      <c r="D8" s="55" t="s">
        <v>0</v>
      </c>
      <c r="E8" s="56" t="str">
        <f>IFERROR(VLOOKUP(E7,Store_Setting[[唯一识别码]:[取货小计]],2,0)&amp;"","")</f>
        <v/>
      </c>
      <c r="F8" s="7"/>
      <c r="G8" s="7"/>
    </row>
    <row r="9" spans="1:8" ht="35.25" customHeight="1" x14ac:dyDescent="0.4">
      <c r="B9" s="7"/>
      <c r="C9" s="7"/>
      <c r="D9" s="55" t="s">
        <v>41</v>
      </c>
      <c r="E9" s="56" t="str">
        <f>IFERROR(VLOOKUP(E7,Store_Setting[[唯一识别码]:[取货小计]],3,0)&amp;"","")</f>
        <v/>
      </c>
      <c r="F9" s="7"/>
      <c r="G9" s="7"/>
    </row>
    <row r="10" spans="1:8" ht="15" customHeight="1" x14ac:dyDescent="0.4">
      <c r="B10" s="7"/>
      <c r="C10" s="7"/>
      <c r="D10" s="7"/>
      <c r="E10" s="7"/>
      <c r="F10" s="7"/>
      <c r="G10" s="7"/>
    </row>
    <row r="11" spans="1:8" ht="35.25" customHeight="1" x14ac:dyDescent="0.4">
      <c r="B11" s="7"/>
      <c r="C11" s="78" t="s">
        <v>223</v>
      </c>
      <c r="D11" s="52" t="s">
        <v>5</v>
      </c>
      <c r="E11" s="57"/>
      <c r="F11" s="58">
        <v>-1</v>
      </c>
      <c r="G11" s="7"/>
    </row>
    <row r="12" spans="1:8" ht="35.25" customHeight="1" x14ac:dyDescent="0.4">
      <c r="B12" s="7"/>
      <c r="C12" s="7"/>
      <c r="D12" s="52" t="s">
        <v>212</v>
      </c>
      <c r="E12" s="59"/>
      <c r="F12" s="58">
        <v>-1</v>
      </c>
      <c r="G12" s="7"/>
    </row>
    <row r="13" spans="1:8" ht="35.25" customHeight="1" x14ac:dyDescent="0.4">
      <c r="B13" s="7"/>
      <c r="C13" s="7"/>
      <c r="D13" s="52" t="s">
        <v>217</v>
      </c>
      <c r="E13" s="53"/>
      <c r="F13" s="54">
        <v>-1</v>
      </c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"/>
      <c r="D15" s="52" t="s">
        <v>7</v>
      </c>
      <c r="E15" s="60"/>
      <c r="F15" s="54"/>
      <c r="G15" s="7"/>
    </row>
    <row r="16" spans="1:8" ht="15" customHeight="1" x14ac:dyDescent="0.4">
      <c r="B16" s="7"/>
      <c r="C16" s="7"/>
      <c r="D16" s="7"/>
      <c r="E16" s="7"/>
      <c r="F16" s="7"/>
      <c r="G16" s="7"/>
    </row>
    <row r="17" spans="2:12" ht="35.25" customHeight="1" x14ac:dyDescent="0.4">
      <c r="B17" s="7"/>
      <c r="C17" s="78" t="s">
        <v>240</v>
      </c>
      <c r="D17" s="52" t="s">
        <v>6</v>
      </c>
      <c r="E17" s="57" t="s">
        <v>247</v>
      </c>
      <c r="F17" s="58">
        <v>1</v>
      </c>
      <c r="G17" s="7"/>
    </row>
    <row r="18" spans="2:12" ht="14.25" customHeight="1" x14ac:dyDescent="0.4">
      <c r="B18" s="7"/>
      <c r="C18" s="7"/>
      <c r="D18" s="7"/>
      <c r="E18" s="7"/>
      <c r="F18" s="7"/>
      <c r="G18" s="7"/>
    </row>
    <row r="19" spans="2:12" ht="14.25" customHeight="1" x14ac:dyDescent="0.4"/>
    <row r="20" spans="2:12" ht="40.1" hidden="1" customHeight="1" x14ac:dyDescent="0.4">
      <c r="L20" s="48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68" customWidth="1"/>
    <col min="4" max="4" width="12.69140625" style="69" customWidth="1"/>
    <col min="5" max="5" width="12.69140625" style="70" customWidth="1"/>
    <col min="6" max="6" width="12.69140625" style="69" customWidth="1"/>
    <col min="7" max="7" width="22.69140625" style="71" customWidth="1"/>
    <col min="8" max="8" width="12.69140625" style="69" customWidth="1"/>
    <col min="9" max="9" width="22.69140625" style="72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5" customFormat="1" ht="6" customHeight="1" x14ac:dyDescent="0.4"/>
    <row r="2" spans="2:10" s="46" customFormat="1" ht="55.1" customHeight="1" x14ac:dyDescent="0.4">
      <c r="B2" s="47" t="str">
        <f>CONCATENATE(IF(设置!D7="","",_xlfn.CONCAT(设置!D7," - ")),"入库取货")</f>
        <v>Yi - 入库取货</v>
      </c>
      <c r="D2" s="61"/>
    </row>
    <row r="3" spans="2:10" ht="8.25" customHeight="1" x14ac:dyDescent="0.4">
      <c r="C3" s="7"/>
      <c r="D3" s="7"/>
      <c r="E3" s="7"/>
      <c r="F3" s="7"/>
      <c r="G3" s="7"/>
      <c r="H3" s="7"/>
      <c r="I3" s="7"/>
    </row>
    <row r="4" spans="2:10" ht="40" customHeight="1" x14ac:dyDescent="0.4">
      <c r="B4" s="62" t="s">
        <v>0</v>
      </c>
      <c r="C4" s="62" t="s">
        <v>3</v>
      </c>
      <c r="D4" s="62" t="s">
        <v>5</v>
      </c>
      <c r="E4" s="62" t="s">
        <v>212</v>
      </c>
      <c r="F4" s="62" t="s">
        <v>217</v>
      </c>
      <c r="G4" s="62" t="s">
        <v>4</v>
      </c>
      <c r="H4" s="62" t="s">
        <v>6</v>
      </c>
      <c r="I4" s="62" t="s">
        <v>7</v>
      </c>
      <c r="J4" s="62" t="s">
        <v>422</v>
      </c>
    </row>
    <row r="5" spans="2:10" ht="40" customHeight="1" x14ac:dyDescent="0.4">
      <c r="B5" s="16" cm="1">
        <f t="array" ref="B5">SNGKI</f>
        <v>1</v>
      </c>
      <c r="C5" s="63" t="s">
        <v>248</v>
      </c>
      <c r="D5" s="64" t="s">
        <v>225</v>
      </c>
      <c r="E5" s="65"/>
      <c r="F5" s="64"/>
      <c r="G5" s="66"/>
      <c r="H5" s="64" t="s">
        <v>247</v>
      </c>
      <c r="I5" s="17" t="s">
        <v>425</v>
      </c>
      <c r="J5" s="67" t="s">
        <v>434</v>
      </c>
    </row>
  </sheetData>
  <conditionalFormatting sqref="C5:I5">
    <cfRule type="expression" dxfId="384" priority="21">
      <formula>MOD(ROW(),2)=0</formula>
    </cfRule>
    <cfRule type="expression" dxfId="383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3"/>
  <sheetViews>
    <sheetView showGridLines="0" zoomScaleNormal="100" workbookViewId="0">
      <selection activeCell="E9" sqref="E9"/>
    </sheetView>
  </sheetViews>
  <sheetFormatPr defaultColWidth="0" defaultRowHeight="40.1" customHeight="1" zeroHeight="1" x14ac:dyDescent="0.4"/>
  <cols>
    <col min="1" max="2" width="2.69140625" style="48" customWidth="1"/>
    <col min="3" max="3" width="14.69140625" style="48" customWidth="1"/>
    <col min="4" max="4" width="15.69140625" style="48" customWidth="1"/>
    <col min="5" max="5" width="44.69140625" style="48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ht="6" customHeight="1" x14ac:dyDescent="0.4">
      <c r="A1" s="73"/>
      <c r="B1" s="73"/>
      <c r="C1" s="73"/>
      <c r="D1" s="73"/>
      <c r="E1" s="73"/>
      <c r="F1" s="73"/>
      <c r="G1" s="73"/>
      <c r="H1" s="73"/>
    </row>
    <row r="2" spans="1:8" ht="55.1" customHeight="1" x14ac:dyDescent="0.4">
      <c r="A2" s="46"/>
      <c r="B2" s="47" t="str">
        <f>CONCATENATE(IF(设置!D7="","",_xlfn.CONCAT(设置!D7," - ")),"新增会员")</f>
        <v>Yi - 新增会员</v>
      </c>
      <c r="C2" s="47"/>
      <c r="D2" s="47"/>
      <c r="E2" s="46"/>
      <c r="F2" s="46"/>
      <c r="G2" s="46"/>
      <c r="H2" s="46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3" t="s">
        <v>84</v>
      </c>
      <c r="D5" s="49"/>
      <c r="E5" s="50"/>
      <c r="F5" s="51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78" t="s">
        <v>83</v>
      </c>
      <c r="D7" s="74" t="s">
        <v>3</v>
      </c>
      <c r="E7" s="75" t="str">
        <f>CONCATENATE(IF(E9="","", _xlfn.CONCAT(E9)), IF(E10="","", _xlfn.CONCAT(E10)), IF(E15="","", _xlfn.CONCAT(" | ",E15)))</f>
        <v/>
      </c>
      <c r="F7" s="7"/>
      <c r="G7" s="7"/>
    </row>
    <row r="8" spans="1:8" ht="35.25" customHeight="1" x14ac:dyDescent="0.4">
      <c r="B8" s="7"/>
      <c r="C8" s="78"/>
      <c r="D8" s="52" t="s">
        <v>476</v>
      </c>
      <c r="E8" s="60" t="s">
        <v>474</v>
      </c>
      <c r="F8" s="54">
        <v>1</v>
      </c>
      <c r="G8" s="7"/>
    </row>
    <row r="9" spans="1:8" ht="35.25" customHeight="1" x14ac:dyDescent="0.4">
      <c r="B9" s="7"/>
      <c r="C9" s="7"/>
      <c r="D9" s="52" t="s">
        <v>27</v>
      </c>
      <c r="E9" s="60"/>
      <c r="F9" s="54">
        <v>-1</v>
      </c>
      <c r="G9" s="7"/>
    </row>
    <row r="10" spans="1:8" ht="35.25" customHeight="1" x14ac:dyDescent="0.4">
      <c r="B10" s="7"/>
      <c r="C10" s="7"/>
      <c r="D10" s="52" t="s">
        <v>28</v>
      </c>
      <c r="E10" s="76"/>
      <c r="F10" s="58">
        <v>-1</v>
      </c>
      <c r="G10" s="7"/>
    </row>
    <row r="11" spans="1:8" ht="35.25" customHeight="1" x14ac:dyDescent="0.4">
      <c r="B11" s="7"/>
      <c r="C11" s="7"/>
      <c r="D11" s="52" t="s">
        <v>1</v>
      </c>
      <c r="E11" s="76"/>
      <c r="F11" s="58"/>
      <c r="G11" s="7"/>
    </row>
    <row r="12" spans="1:8" ht="35.25" customHeight="1" x14ac:dyDescent="0.4">
      <c r="B12" s="7"/>
      <c r="C12" s="7"/>
      <c r="D12" s="52" t="s">
        <v>22</v>
      </c>
      <c r="E12" s="11"/>
      <c r="F12" s="58"/>
      <c r="G12" s="7"/>
    </row>
    <row r="13" spans="1:8" ht="35.25" customHeight="1" x14ac:dyDescent="0.4">
      <c r="B13" s="7"/>
      <c r="C13" s="7"/>
      <c r="D13" s="52" t="s">
        <v>21</v>
      </c>
      <c r="E13" s="77"/>
      <c r="F13" s="58"/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8" t="s">
        <v>86</v>
      </c>
      <c r="D15" s="52" t="s">
        <v>2</v>
      </c>
      <c r="E15" s="76"/>
      <c r="F15" s="58">
        <v>-1</v>
      </c>
      <c r="G15" s="7"/>
    </row>
    <row r="16" spans="1:8" ht="35.25" customHeight="1" x14ac:dyDescent="0.4">
      <c r="B16" s="7"/>
      <c r="C16" s="7"/>
      <c r="D16" s="52" t="s">
        <v>23</v>
      </c>
      <c r="E16" s="76"/>
      <c r="F16" s="58"/>
      <c r="G16" s="7"/>
    </row>
    <row r="17" spans="2:7" ht="35.25" customHeight="1" x14ac:dyDescent="0.4">
      <c r="B17" s="7"/>
      <c r="C17" s="7"/>
      <c r="D17" s="52" t="s">
        <v>24</v>
      </c>
      <c r="E17" s="60"/>
      <c r="F17" s="54"/>
      <c r="G17" s="7"/>
    </row>
    <row r="18" spans="2:7" ht="15" customHeight="1" x14ac:dyDescent="0.4">
      <c r="B18" s="7"/>
      <c r="C18" s="7"/>
      <c r="D18" s="7"/>
      <c r="E18" s="7"/>
      <c r="F18" s="7"/>
      <c r="G18" s="7"/>
    </row>
    <row r="19" spans="2:7" ht="35.25" customHeight="1" x14ac:dyDescent="0.4">
      <c r="B19" s="7"/>
      <c r="C19" s="7"/>
      <c r="D19" s="52" t="s">
        <v>7</v>
      </c>
      <c r="E19" s="60"/>
      <c r="F19" s="54"/>
      <c r="G19" s="7"/>
    </row>
    <row r="20" spans="2:7" ht="15" customHeight="1" x14ac:dyDescent="0.4">
      <c r="B20" s="7"/>
      <c r="C20" s="7"/>
      <c r="D20" s="7"/>
      <c r="E20" s="7"/>
      <c r="F20" s="7"/>
      <c r="G20" s="7"/>
    </row>
    <row r="21" spans="2:7" ht="35.25" customHeight="1" x14ac:dyDescent="0.4">
      <c r="B21" s="7"/>
      <c r="C21" s="78" t="s">
        <v>240</v>
      </c>
      <c r="D21" s="52" t="s">
        <v>6</v>
      </c>
      <c r="E21" s="76" t="s">
        <v>247</v>
      </c>
      <c r="F21" s="58">
        <v>1</v>
      </c>
      <c r="G21" s="7"/>
    </row>
    <row r="22" spans="2:7" ht="14.25" customHeight="1" x14ac:dyDescent="0.4">
      <c r="B22" s="7"/>
      <c r="C22" s="7"/>
      <c r="D22" s="7"/>
      <c r="E22" s="7"/>
      <c r="F22" s="7"/>
      <c r="G22" s="7"/>
    </row>
    <row r="23" spans="2:7" ht="14.2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B25FD8F6-5C00-484C-8820-32DE4E9017B3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 F19 F21</xm:sqref>
        </x14:conditionalFormatting>
        <x14:conditionalFormatting xmlns:xm="http://schemas.microsoft.com/office/excel/2006/main">
          <x14:cfRule type="iconSet" priority="1" id="{B5ECAA7C-772D-49DD-8672-3AA9271343E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U7" sqref="DU7"/>
    </sheetView>
  </sheetViews>
  <sheetFormatPr defaultColWidth="0" defaultRowHeight="40" customHeight="1" x14ac:dyDescent="0.35"/>
  <cols>
    <col min="1" max="1" width="2.69140625" style="7" customWidth="1"/>
    <col min="2" max="2" width="8.69140625" style="7" customWidth="1"/>
    <col min="3" max="3" width="30.69140625" style="78" customWidth="1"/>
    <col min="4" max="4" width="12.69140625" style="87" customWidth="1"/>
    <col min="5" max="6" width="12.69140625" style="87" hidden="1" customWidth="1"/>
    <col min="7" max="7" width="12.69140625" style="87" customWidth="1"/>
    <col min="8" max="123" width="12.69140625" style="87" hidden="1" customWidth="1"/>
    <col min="124" max="124" width="12.69140625" style="69" customWidth="1"/>
    <col min="125" max="125" width="8.69140625" style="88" customWidth="1"/>
    <col min="126" max="126" width="14.69140625" style="89" customWidth="1"/>
    <col min="127" max="127" width="8.69140625" style="69" customWidth="1"/>
    <col min="128" max="128" width="24.69140625" style="90" hidden="1" customWidth="1"/>
    <col min="129" max="129" width="12.69140625" style="69" hidden="1" customWidth="1"/>
    <col min="130" max="130" width="20.69140625" style="90" customWidth="1"/>
    <col min="131" max="131" width="28.69140625" style="90" hidden="1" customWidth="1"/>
    <col min="132" max="132" width="44.69140625" style="90" hidden="1" customWidth="1"/>
    <col min="133" max="133" width="22.69140625" style="71" customWidth="1"/>
    <col min="134" max="134" width="12.69140625" style="69" customWidth="1"/>
    <col min="135" max="135" width="22.69140625" style="72" customWidth="1"/>
    <col min="136" max="136" width="12.69140625" style="87" customWidth="1"/>
    <col min="137" max="138" width="12.69140625" style="91" customWidth="1"/>
    <col min="139" max="139" width="14.69140625" style="86" customWidth="1"/>
    <col min="140" max="140" width="2.69140625" style="86" customWidth="1"/>
    <col min="141" max="16384" width="9.15234375" style="86" hidden="1"/>
  </cols>
  <sheetData>
    <row r="1" spans="2:140" s="73" customFormat="1" ht="6" customHeight="1" x14ac:dyDescent="0.4"/>
    <row r="2" spans="2:140" s="46" customFormat="1" ht="55.1" customHeight="1" x14ac:dyDescent="0.4">
      <c r="B2" s="47" t="str">
        <f>CONCATENATE(IF(设置!D7="","",_xlfn.CONCAT(设置!D7," - ")),"会员详细信息")</f>
        <v>Yi - 会员详细信息</v>
      </c>
      <c r="D2" s="61"/>
    </row>
    <row r="3" spans="2:140" s="7" customFormat="1" ht="8.25" customHeight="1" x14ac:dyDescent="0.4"/>
    <row r="4" spans="2:140" s="7" customFormat="1" ht="40.1" customHeight="1" x14ac:dyDescent="0.4">
      <c r="C4" s="79"/>
      <c r="D4" s="97" t="str">
        <f>_xlfn.CONCAT(设置!F11)</f>
        <v>1</v>
      </c>
      <c r="E4" s="105" t="str">
        <f>_xlfn.CONCAT(设置!F11," - 历史记录")</f>
        <v>1 - 历史记录</v>
      </c>
      <c r="F4" s="105"/>
      <c r="G4" s="98" t="str">
        <f>_xlfn.CONCAT(设置!F12)</f>
        <v>2</v>
      </c>
      <c r="H4" s="103" t="str">
        <f>_xlfn.CONCAT(设置!F12," - 历史记录")</f>
        <v>2 - 历史记录</v>
      </c>
      <c r="I4" s="103"/>
      <c r="J4" s="97" t="str">
        <f>_xlfn.CONCAT(设置!F13)</f>
        <v/>
      </c>
      <c r="K4" s="105" t="str">
        <f>_xlfn.CONCAT(设置!F13," - 历史记录")</f>
        <v xml:space="preserve"> - 历史记录</v>
      </c>
      <c r="L4" s="105"/>
      <c r="M4" s="98" t="str">
        <f>_xlfn.CONCAT(设置!F14)</f>
        <v/>
      </c>
      <c r="N4" s="103" t="str">
        <f>_xlfn.CONCAT(设置!F14," - 历史记录")</f>
        <v xml:space="preserve"> - 历史记录</v>
      </c>
      <c r="O4" s="103"/>
      <c r="P4" s="97" t="str">
        <f>_xlfn.CONCAT(设置!F15)</f>
        <v/>
      </c>
      <c r="Q4" s="105" t="str">
        <f>_xlfn.CONCAT(设置!F15," - 历史记录")</f>
        <v xml:space="preserve"> - 历史记录</v>
      </c>
      <c r="R4" s="105"/>
      <c r="S4" s="98" t="str">
        <f>_xlfn.CONCAT(设置!F16)</f>
        <v/>
      </c>
      <c r="T4" s="103" t="str">
        <f>_xlfn.CONCAT(设置!F16," - 历史记录")</f>
        <v xml:space="preserve"> - 历史记录</v>
      </c>
      <c r="U4" s="103"/>
      <c r="V4" s="97" t="str">
        <f>_xlfn.CONCAT(设置!F17)</f>
        <v/>
      </c>
      <c r="W4" s="105" t="str">
        <f>_xlfn.CONCAT(设置!F17," - 历史记录")</f>
        <v xml:space="preserve"> - 历史记录</v>
      </c>
      <c r="X4" s="105"/>
      <c r="Y4" s="98" t="str">
        <f>_xlfn.CONCAT(设置!F18)</f>
        <v/>
      </c>
      <c r="Z4" s="103" t="str">
        <f>_xlfn.CONCAT(设置!F18," - 历史记录")</f>
        <v xml:space="preserve"> - 历史记录</v>
      </c>
      <c r="AA4" s="103"/>
      <c r="AB4" s="97" t="str">
        <f>_xlfn.CONCAT(设置!F19)</f>
        <v/>
      </c>
      <c r="AC4" s="105" t="str">
        <f>_xlfn.CONCAT(设置!F19," - 历史记录")</f>
        <v xml:space="preserve"> - 历史记录</v>
      </c>
      <c r="AD4" s="105"/>
      <c r="AE4" s="98" t="str">
        <f>_xlfn.CONCAT(设置!F20)</f>
        <v/>
      </c>
      <c r="AF4" s="103" t="str">
        <f>_xlfn.CONCAT(设置!F20," - 历史记录")</f>
        <v xml:space="preserve"> - 历史记录</v>
      </c>
      <c r="AG4" s="103"/>
      <c r="AH4" s="97" t="str">
        <f>_xlfn.CONCAT(设置!F21)</f>
        <v/>
      </c>
      <c r="AI4" s="105" t="str">
        <f>_xlfn.CONCAT(设置!F21," - 历史记录")</f>
        <v xml:space="preserve"> - 历史记录</v>
      </c>
      <c r="AJ4" s="105"/>
      <c r="AK4" s="98" t="str">
        <f>_xlfn.CONCAT(设置!F22)</f>
        <v/>
      </c>
      <c r="AL4" s="103" t="str">
        <f>_xlfn.CONCAT(设置!F22," - 历史记录")</f>
        <v xml:space="preserve"> - 历史记录</v>
      </c>
      <c r="AM4" s="103"/>
      <c r="AN4" s="97" t="str">
        <f>_xlfn.CONCAT(设置!F23)</f>
        <v/>
      </c>
      <c r="AO4" s="105" t="str">
        <f>_xlfn.CONCAT(设置!F23, " - 历史记录")</f>
        <v xml:space="preserve"> - 历史记录</v>
      </c>
      <c r="AP4" s="105"/>
      <c r="AQ4" s="98" t="str">
        <f>_xlfn.CONCAT(设置!F24)</f>
        <v/>
      </c>
      <c r="AR4" s="103" t="str">
        <f>_xlfn.CONCAT(设置!F24, " - 历史记录")</f>
        <v xml:space="preserve"> - 历史记录</v>
      </c>
      <c r="AS4" s="103"/>
      <c r="AT4" s="97" t="str">
        <f>_xlfn.CONCAT(设置!F25)</f>
        <v/>
      </c>
      <c r="AU4" s="105" t="str">
        <f>_xlfn.CONCAT(设置!F25," - 历史记录")</f>
        <v xml:space="preserve"> - 历史记录</v>
      </c>
      <c r="AV4" s="105"/>
      <c r="AW4" s="98" t="str">
        <f>_xlfn.CONCAT(设置!F26)</f>
        <v/>
      </c>
      <c r="AX4" s="103" t="str">
        <f>_xlfn.CONCAT(设置!F26," - 历史记录")</f>
        <v xml:space="preserve"> - 历史记录</v>
      </c>
      <c r="AY4" s="103"/>
      <c r="AZ4" s="97" t="str">
        <f>_xlfn.CONCAT(设置!F27)</f>
        <v/>
      </c>
      <c r="BA4" s="105" t="str">
        <f>_xlfn.CONCAT(设置!F27," - 历史记录")</f>
        <v xml:space="preserve"> - 历史记录</v>
      </c>
      <c r="BB4" s="105"/>
      <c r="BC4" s="98" t="str">
        <f>_xlfn.CONCAT(设置!F28)</f>
        <v/>
      </c>
      <c r="BD4" s="103" t="str">
        <f>_xlfn.CONCAT(设置!F28," - 历史记录")</f>
        <v xml:space="preserve"> - 历史记录</v>
      </c>
      <c r="BE4" s="103"/>
      <c r="BF4" s="97" t="str">
        <f>_xlfn.CONCAT(设置!F29)</f>
        <v/>
      </c>
      <c r="BG4" s="105" t="str">
        <f>_xlfn.CONCAT(设置!F29," - 历史记录")</f>
        <v xml:space="preserve"> - 历史记录</v>
      </c>
      <c r="BH4" s="105"/>
      <c r="BI4" s="98" t="str">
        <f>_xlfn.CONCAT(设置!F30)</f>
        <v/>
      </c>
      <c r="BJ4" s="103" t="str">
        <f>_xlfn.CONCAT(设置!F30," - 历史记录")</f>
        <v xml:space="preserve"> - 历史记录</v>
      </c>
      <c r="BK4" s="103"/>
      <c r="BL4" s="99" t="str">
        <f>_xlfn.CONCAT(设置!F31)</f>
        <v/>
      </c>
      <c r="BM4" s="104" t="str">
        <f>_xlfn.CONCAT(设置!F31," - 历史记录")</f>
        <v xml:space="preserve"> - 历史记录</v>
      </c>
      <c r="BN4" s="104"/>
      <c r="BO4" s="98" t="str">
        <f>_xlfn.CONCAT(设置!F32)</f>
        <v/>
      </c>
      <c r="BP4" s="103" t="str">
        <f>_xlfn.CONCAT(设置!F32," - 历史记录")</f>
        <v xml:space="preserve"> - 历史记录</v>
      </c>
      <c r="BQ4" s="103"/>
      <c r="BR4" s="99" t="str">
        <f>_xlfn.CONCAT(设置!F33)</f>
        <v/>
      </c>
      <c r="BS4" s="104" t="str">
        <f>_xlfn.CONCAT(设置!F33," - 历史记录")</f>
        <v xml:space="preserve"> - 历史记录</v>
      </c>
      <c r="BT4" s="104"/>
      <c r="BU4" s="98" t="str">
        <f>_xlfn.CONCAT(设置!F34)</f>
        <v/>
      </c>
      <c r="BV4" s="103" t="str">
        <f>_xlfn.CONCAT(设置!F34," - 历史记录")</f>
        <v xml:space="preserve"> - 历史记录</v>
      </c>
      <c r="BW4" s="103"/>
      <c r="BX4" s="99" t="str">
        <f>_xlfn.CONCAT(设置!F35)</f>
        <v/>
      </c>
      <c r="BY4" s="104" t="str">
        <f>_xlfn.CONCAT(设置!F35," - 历史记录")</f>
        <v xml:space="preserve"> - 历史记录</v>
      </c>
      <c r="BZ4" s="104"/>
      <c r="CA4" s="98" t="str">
        <f>_xlfn.CONCAT(设置!F36)</f>
        <v/>
      </c>
      <c r="CB4" s="103" t="str">
        <f>_xlfn.CONCAT(设置!F36," - 历史记录")</f>
        <v xml:space="preserve"> - 历史记录</v>
      </c>
      <c r="CC4" s="103"/>
      <c r="CD4" s="99" t="str">
        <f>_xlfn.CONCAT(设置!F37)</f>
        <v/>
      </c>
      <c r="CE4" s="104" t="str">
        <f>_xlfn.CONCAT(设置!F37," - 历史记录")</f>
        <v xml:space="preserve"> - 历史记录</v>
      </c>
      <c r="CF4" s="104"/>
      <c r="CG4" s="98" t="str">
        <f>_xlfn.CONCAT(设置!F38)</f>
        <v/>
      </c>
      <c r="CH4" s="103" t="str">
        <f>_xlfn.CONCAT(设置!F38," - 历史记录")</f>
        <v xml:space="preserve"> - 历史记录</v>
      </c>
      <c r="CI4" s="103"/>
      <c r="CJ4" s="99" t="str">
        <f>_xlfn.CONCAT(设置!F39)</f>
        <v/>
      </c>
      <c r="CK4" s="104" t="str">
        <f>_xlfn.CONCAT(设置!F39," - 历史记录")</f>
        <v xml:space="preserve"> - 历史记录</v>
      </c>
      <c r="CL4" s="104"/>
      <c r="CM4" s="98" t="str">
        <f>_xlfn.CONCAT(设置!F40)</f>
        <v/>
      </c>
      <c r="CN4" s="103" t="str">
        <f>_xlfn.CONCAT(设置!F40," - 历史记录")</f>
        <v xml:space="preserve"> - 历史记录</v>
      </c>
      <c r="CO4" s="103"/>
      <c r="CP4" s="99" t="str">
        <f>_xlfn.CONCAT(设置!F41)</f>
        <v/>
      </c>
      <c r="CQ4" s="104" t="str">
        <f>_xlfn.CONCAT(设置!F41," - 历史记录")</f>
        <v xml:space="preserve"> - 历史记录</v>
      </c>
      <c r="CR4" s="104"/>
      <c r="CS4" s="98" t="str">
        <f>_xlfn.CONCAT(设置!F42)</f>
        <v/>
      </c>
      <c r="CT4" s="103" t="str">
        <f>_xlfn.CONCAT(设置!F42," - 历史记录")</f>
        <v xml:space="preserve"> - 历史记录</v>
      </c>
      <c r="CU4" s="103"/>
      <c r="CV4" s="99" t="str">
        <f>_xlfn.CONCAT(设置!F43)</f>
        <v/>
      </c>
      <c r="CW4" s="104" t="str">
        <f>_xlfn.CONCAT(设置!F43," - 历史记录")</f>
        <v xml:space="preserve"> - 历史记录</v>
      </c>
      <c r="CX4" s="104"/>
      <c r="CY4" s="98" t="str">
        <f>_xlfn.CONCAT(设置!F44)</f>
        <v/>
      </c>
      <c r="CZ4" s="103" t="str">
        <f>_xlfn.CONCAT(设置!F44," - 历史记录")</f>
        <v xml:space="preserve"> - 历史记录</v>
      </c>
      <c r="DA4" s="103"/>
      <c r="DB4" s="99" t="str">
        <f>_xlfn.CONCAT(设置!F45)</f>
        <v/>
      </c>
      <c r="DC4" s="104" t="str">
        <f>_xlfn.CONCAT(设置!F45," - 历史记录")</f>
        <v xml:space="preserve"> - 历史记录</v>
      </c>
      <c r="DD4" s="104"/>
      <c r="DE4" s="98" t="str">
        <f>_xlfn.CONCAT(设置!F46)</f>
        <v/>
      </c>
      <c r="DF4" s="103" t="str">
        <f>_xlfn.CONCAT(设置!F46," - 历史记录")</f>
        <v xml:space="preserve"> - 历史记录</v>
      </c>
      <c r="DG4" s="103"/>
      <c r="DH4" s="99" t="str">
        <f>_xlfn.CONCAT(设置!F47)</f>
        <v/>
      </c>
      <c r="DI4" s="104" t="str">
        <f>_xlfn.CONCAT(设置!F47," - 历史记录")</f>
        <v xml:space="preserve"> - 历史记录</v>
      </c>
      <c r="DJ4" s="104"/>
      <c r="DK4" s="98" t="str">
        <f>_xlfn.CONCAT(设置!F48)</f>
        <v/>
      </c>
      <c r="DL4" s="103" t="str">
        <f>_xlfn.CONCAT(设置!F48," - 历史记录")</f>
        <v xml:space="preserve"> - 历史记录</v>
      </c>
      <c r="DM4" s="103"/>
      <c r="DN4" s="99" t="str">
        <f>_xlfn.CONCAT(设置!F49)</f>
        <v/>
      </c>
      <c r="DO4" s="104" t="str">
        <f>_xlfn.CONCAT(设置!F49," - 历史记录")</f>
        <v xml:space="preserve"> - 历史记录</v>
      </c>
      <c r="DP4" s="104"/>
      <c r="DQ4" s="98" t="str">
        <f>_xlfn.CONCAT(设置!F50)</f>
        <v/>
      </c>
      <c r="DR4" s="103" t="str">
        <f>_xlfn.CONCAT(设置!F50," - 历史记录")</f>
        <v xml:space="preserve"> - 历史记录</v>
      </c>
      <c r="DS4" s="103"/>
      <c r="DT4" s="105" t="s">
        <v>72</v>
      </c>
      <c r="DU4" s="105"/>
      <c r="DV4" s="105"/>
      <c r="DW4" s="100"/>
      <c r="DX4" s="100"/>
      <c r="DY4" s="100"/>
      <c r="DZ4" s="105" t="s">
        <v>85</v>
      </c>
      <c r="EA4" s="105"/>
      <c r="EB4" s="105"/>
      <c r="EC4" s="105" t="s">
        <v>241</v>
      </c>
      <c r="ED4" s="105"/>
      <c r="EE4" s="26" t="s">
        <v>416</v>
      </c>
      <c r="EF4" s="106" t="s">
        <v>264</v>
      </c>
      <c r="EG4" s="106"/>
      <c r="EH4" s="106"/>
      <c r="EI4" s="98" t="s">
        <v>424</v>
      </c>
    </row>
    <row r="5" spans="2:140" s="7" customFormat="1" ht="8.25" customHeight="1" x14ac:dyDescent="0.4"/>
    <row r="6" spans="2:140" s="7" customFormat="1" ht="40" customHeight="1" x14ac:dyDescent="0.4">
      <c r="B6" s="62" t="s">
        <v>0</v>
      </c>
      <c r="C6" s="62" t="s">
        <v>3</v>
      </c>
      <c r="D6" s="62" t="s">
        <v>121</v>
      </c>
      <c r="E6" s="62" t="s">
        <v>80</v>
      </c>
      <c r="F6" s="62" t="s">
        <v>79</v>
      </c>
      <c r="G6" s="62" t="s">
        <v>71</v>
      </c>
      <c r="H6" s="62" t="s">
        <v>78</v>
      </c>
      <c r="I6" s="62" t="s">
        <v>77</v>
      </c>
      <c r="J6" s="62" t="s">
        <v>58</v>
      </c>
      <c r="K6" s="62" t="s">
        <v>42</v>
      </c>
      <c r="L6" s="62" t="s">
        <v>76</v>
      </c>
      <c r="M6" s="62" t="s">
        <v>59</v>
      </c>
      <c r="N6" s="62" t="s">
        <v>43</v>
      </c>
      <c r="O6" s="62" t="s">
        <v>75</v>
      </c>
      <c r="P6" s="62" t="s">
        <v>60</v>
      </c>
      <c r="Q6" s="62" t="s">
        <v>44</v>
      </c>
      <c r="R6" s="62" t="s">
        <v>74</v>
      </c>
      <c r="S6" s="62" t="s">
        <v>61</v>
      </c>
      <c r="T6" s="62" t="s">
        <v>45</v>
      </c>
      <c r="U6" s="62" t="s">
        <v>68</v>
      </c>
      <c r="V6" s="62" t="s">
        <v>62</v>
      </c>
      <c r="W6" s="62" t="s">
        <v>46</v>
      </c>
      <c r="X6" s="62" t="s">
        <v>51</v>
      </c>
      <c r="Y6" s="62" t="s">
        <v>63</v>
      </c>
      <c r="Z6" s="62" t="s">
        <v>47</v>
      </c>
      <c r="AA6" s="62" t="s">
        <v>52</v>
      </c>
      <c r="AB6" s="62" t="s">
        <v>64</v>
      </c>
      <c r="AC6" s="62" t="s">
        <v>48</v>
      </c>
      <c r="AD6" s="62" t="s">
        <v>53</v>
      </c>
      <c r="AE6" s="62" t="s">
        <v>65</v>
      </c>
      <c r="AF6" s="62" t="s">
        <v>49</v>
      </c>
      <c r="AG6" s="62" t="s">
        <v>54</v>
      </c>
      <c r="AH6" s="62" t="s">
        <v>66</v>
      </c>
      <c r="AI6" s="62" t="s">
        <v>50</v>
      </c>
      <c r="AJ6" s="62" t="s">
        <v>55</v>
      </c>
      <c r="AK6" s="62" t="s">
        <v>67</v>
      </c>
      <c r="AL6" s="62" t="s">
        <v>56</v>
      </c>
      <c r="AM6" s="62" t="s">
        <v>57</v>
      </c>
      <c r="AN6" s="62" t="s">
        <v>96</v>
      </c>
      <c r="AO6" s="62" t="s">
        <v>97</v>
      </c>
      <c r="AP6" s="62" t="s">
        <v>95</v>
      </c>
      <c r="AQ6" s="62" t="s">
        <v>100</v>
      </c>
      <c r="AR6" s="62" t="s">
        <v>99</v>
      </c>
      <c r="AS6" s="62" t="s">
        <v>98</v>
      </c>
      <c r="AT6" s="62" t="s">
        <v>106</v>
      </c>
      <c r="AU6" s="62" t="s">
        <v>105</v>
      </c>
      <c r="AV6" s="62" t="s">
        <v>103</v>
      </c>
      <c r="AW6" s="62" t="s">
        <v>102</v>
      </c>
      <c r="AX6" s="62" t="s">
        <v>101</v>
      </c>
      <c r="AY6" s="62" t="s">
        <v>104</v>
      </c>
      <c r="AZ6" s="62" t="s">
        <v>109</v>
      </c>
      <c r="BA6" s="62" t="s">
        <v>108</v>
      </c>
      <c r="BB6" s="62" t="s">
        <v>107</v>
      </c>
      <c r="BC6" s="62" t="s">
        <v>110</v>
      </c>
      <c r="BD6" s="62" t="s">
        <v>111</v>
      </c>
      <c r="BE6" s="62" t="s">
        <v>112</v>
      </c>
      <c r="BF6" s="62" t="s">
        <v>113</v>
      </c>
      <c r="BG6" s="62" t="s">
        <v>114</v>
      </c>
      <c r="BH6" s="62" t="s">
        <v>115</v>
      </c>
      <c r="BI6" s="62" t="s">
        <v>116</v>
      </c>
      <c r="BJ6" s="62" t="s">
        <v>117</v>
      </c>
      <c r="BK6" s="62" t="s">
        <v>118</v>
      </c>
      <c r="BL6" s="62" t="s">
        <v>150</v>
      </c>
      <c r="BM6" s="62" t="s">
        <v>151</v>
      </c>
      <c r="BN6" s="62" t="s">
        <v>149</v>
      </c>
      <c r="BO6" s="62" t="s">
        <v>152</v>
      </c>
      <c r="BP6" s="62" t="s">
        <v>153</v>
      </c>
      <c r="BQ6" s="62" t="s">
        <v>154</v>
      </c>
      <c r="BR6" s="62" t="s">
        <v>155</v>
      </c>
      <c r="BS6" s="62" t="s">
        <v>156</v>
      </c>
      <c r="BT6" s="62" t="s">
        <v>157</v>
      </c>
      <c r="BU6" s="62" t="s">
        <v>158</v>
      </c>
      <c r="BV6" s="62" t="s">
        <v>159</v>
      </c>
      <c r="BW6" s="62" t="s">
        <v>160</v>
      </c>
      <c r="BX6" s="62" t="s">
        <v>161</v>
      </c>
      <c r="BY6" s="62" t="s">
        <v>162</v>
      </c>
      <c r="BZ6" s="62" t="s">
        <v>163</v>
      </c>
      <c r="CA6" s="62" t="s">
        <v>164</v>
      </c>
      <c r="CB6" s="62" t="s">
        <v>165</v>
      </c>
      <c r="CC6" s="62" t="s">
        <v>166</v>
      </c>
      <c r="CD6" s="62" t="s">
        <v>167</v>
      </c>
      <c r="CE6" s="62" t="s">
        <v>168</v>
      </c>
      <c r="CF6" s="62" t="s">
        <v>169</v>
      </c>
      <c r="CG6" s="62" t="s">
        <v>170</v>
      </c>
      <c r="CH6" s="62" t="s">
        <v>171</v>
      </c>
      <c r="CI6" s="62" t="s">
        <v>172</v>
      </c>
      <c r="CJ6" s="62" t="s">
        <v>173</v>
      </c>
      <c r="CK6" s="62" t="s">
        <v>174</v>
      </c>
      <c r="CL6" s="62" t="s">
        <v>175</v>
      </c>
      <c r="CM6" s="62" t="s">
        <v>176</v>
      </c>
      <c r="CN6" s="62" t="s">
        <v>177</v>
      </c>
      <c r="CO6" s="62" t="s">
        <v>178</v>
      </c>
      <c r="CP6" s="62" t="s">
        <v>179</v>
      </c>
      <c r="CQ6" s="62" t="s">
        <v>180</v>
      </c>
      <c r="CR6" s="62" t="s">
        <v>181</v>
      </c>
      <c r="CS6" s="62" t="s">
        <v>182</v>
      </c>
      <c r="CT6" s="62" t="s">
        <v>183</v>
      </c>
      <c r="CU6" s="62" t="s">
        <v>184</v>
      </c>
      <c r="CV6" s="62" t="s">
        <v>185</v>
      </c>
      <c r="CW6" s="62" t="s">
        <v>186</v>
      </c>
      <c r="CX6" s="62" t="s">
        <v>187</v>
      </c>
      <c r="CY6" s="62" t="s">
        <v>188</v>
      </c>
      <c r="CZ6" s="62" t="s">
        <v>189</v>
      </c>
      <c r="DA6" s="62" t="s">
        <v>190</v>
      </c>
      <c r="DB6" s="62" t="s">
        <v>191</v>
      </c>
      <c r="DC6" s="62" t="s">
        <v>192</v>
      </c>
      <c r="DD6" s="62" t="s">
        <v>193</v>
      </c>
      <c r="DE6" s="62" t="s">
        <v>194</v>
      </c>
      <c r="DF6" s="62" t="s">
        <v>195</v>
      </c>
      <c r="DG6" s="62" t="s">
        <v>196</v>
      </c>
      <c r="DH6" s="62" t="s">
        <v>198</v>
      </c>
      <c r="DI6" s="62" t="s">
        <v>199</v>
      </c>
      <c r="DJ6" s="62" t="s">
        <v>197</v>
      </c>
      <c r="DK6" s="62" t="s">
        <v>200</v>
      </c>
      <c r="DL6" s="62" t="s">
        <v>201</v>
      </c>
      <c r="DM6" s="62" t="s">
        <v>202</v>
      </c>
      <c r="DN6" s="62" t="s">
        <v>203</v>
      </c>
      <c r="DO6" s="62" t="s">
        <v>204</v>
      </c>
      <c r="DP6" s="62" t="s">
        <v>205</v>
      </c>
      <c r="DQ6" s="62" t="s">
        <v>206</v>
      </c>
      <c r="DR6" s="62" t="s">
        <v>207</v>
      </c>
      <c r="DS6" s="62" t="s">
        <v>208</v>
      </c>
      <c r="DT6" s="62" t="s">
        <v>476</v>
      </c>
      <c r="DU6" s="62" t="s">
        <v>27</v>
      </c>
      <c r="DV6" s="62" t="s">
        <v>28</v>
      </c>
      <c r="DW6" s="62" t="s">
        <v>1</v>
      </c>
      <c r="DX6" s="62" t="s">
        <v>22</v>
      </c>
      <c r="DY6" s="62" t="s">
        <v>21</v>
      </c>
      <c r="DZ6" s="62" t="s">
        <v>2</v>
      </c>
      <c r="EA6" s="62" t="s">
        <v>23</v>
      </c>
      <c r="EB6" s="62" t="s">
        <v>24</v>
      </c>
      <c r="EC6" s="81" t="s">
        <v>73</v>
      </c>
      <c r="ED6" s="62" t="s">
        <v>6</v>
      </c>
      <c r="EE6" s="62" t="s">
        <v>7</v>
      </c>
      <c r="EF6" s="62" t="s">
        <v>267</v>
      </c>
      <c r="EG6" s="62" t="s">
        <v>265</v>
      </c>
      <c r="EH6" s="62" t="s">
        <v>266</v>
      </c>
      <c r="EI6" s="62" t="s">
        <v>422</v>
      </c>
    </row>
    <row r="7" spans="2:140" ht="40" customHeight="1" x14ac:dyDescent="0.35">
      <c r="B7" s="16" cm="1">
        <f t="array" ref="B7">SN</f>
        <v>1</v>
      </c>
      <c r="C7" s="82" t="str" cm="1">
        <f t="array" ref="C7">GUID</f>
        <v>冯毅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64" t="s">
        <v>481</v>
      </c>
      <c r="DU7" s="83" t="s">
        <v>221</v>
      </c>
      <c r="DV7" s="84" t="s">
        <v>222</v>
      </c>
      <c r="DW7" s="85" t="s">
        <v>10</v>
      </c>
      <c r="DX7" s="85"/>
      <c r="DY7" s="64"/>
      <c r="DZ7" s="85" t="s">
        <v>249</v>
      </c>
      <c r="EA7" s="85" t="s">
        <v>237</v>
      </c>
      <c r="EB7" s="85"/>
      <c r="EC7" s="66"/>
      <c r="ED7" s="64" t="s">
        <v>247</v>
      </c>
      <c r="EE7" s="17" t="s">
        <v>425</v>
      </c>
      <c r="EF7" s="19" cm="1">
        <f t="array" ref="EF7">History_Total</f>
        <v>1</v>
      </c>
      <c r="EG7" s="19" cm="1">
        <f t="array" ref="EG7">History_Saved</f>
        <v>1</v>
      </c>
      <c r="EH7" s="19" cm="1">
        <f t="array" ref="EH7">History_Withdraw</f>
        <v>0</v>
      </c>
      <c r="EI7" s="16" t="s">
        <v>434</v>
      </c>
    </row>
    <row r="8" spans="2:140" ht="40" customHeight="1" x14ac:dyDescent="0.35">
      <c r="B8" s="16" cm="1">
        <f t="array" ref="B8">SN</f>
        <v>2</v>
      </c>
      <c r="C8" s="82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64" t="s">
        <v>481</v>
      </c>
      <c r="DU8" s="83" t="s">
        <v>244</v>
      </c>
      <c r="DV8" s="84" t="s">
        <v>245</v>
      </c>
      <c r="DW8" s="85" t="s">
        <v>11</v>
      </c>
      <c r="DX8" s="85"/>
      <c r="DY8" s="64"/>
      <c r="DZ8" s="85" t="s">
        <v>250</v>
      </c>
      <c r="EA8" s="85"/>
      <c r="EB8" s="85"/>
      <c r="EC8" s="66"/>
      <c r="ED8" s="64" t="s">
        <v>247</v>
      </c>
      <c r="EE8" s="17" t="s">
        <v>425</v>
      </c>
      <c r="EF8" s="19" cm="1">
        <f t="array" ref="EF8">History_Total</f>
        <v>1</v>
      </c>
      <c r="EG8" s="19" cm="1">
        <f t="array" ref="EG8">History_Saved</f>
        <v>1</v>
      </c>
      <c r="EH8" s="19" cm="1">
        <f t="array" ref="EH8">History_Withdraw</f>
        <v>0</v>
      </c>
      <c r="EI8" s="16" t="s">
        <v>434</v>
      </c>
      <c r="EJ8" s="7"/>
    </row>
  </sheetData>
  <mergeCells count="44">
    <mergeCell ref="DT4:DV4"/>
    <mergeCell ref="DZ4:EB4"/>
    <mergeCell ref="EC4:ED4"/>
    <mergeCell ref="EF4:EH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1" type="noConversion"/>
  <conditionalFormatting sqref="DT7:EE8">
    <cfRule type="expression" dxfId="380" priority="27">
      <formula>MOD(ROW(),2)=0</formula>
    </cfRule>
    <cfRule type="expression" dxfId="379" priority="28">
      <formula>MOD(ROW(),2)=1</formula>
    </cfRule>
  </conditionalFormatting>
  <dataValidations count="5">
    <dataValidation operator="greaterThanOrEqual" allowBlank="1" showInputMessage="1" showErrorMessage="1" sqref="EF7:EI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list" allowBlank="1" showInputMessage="1" showErrorMessage="1" sqref="DT7:DT1048576" xr:uid="{14AEA921-1742-4F91-9DA4-749F186E18D3}">
      <formula1>Get_Levels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9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68" customWidth="1"/>
    <col min="4" max="5" width="12.69140625" style="70" customWidth="1"/>
    <col min="6" max="43" width="12.69140625" style="70" hidden="1" customWidth="1"/>
    <col min="44" max="44" width="12.69140625" style="69" customWidth="1"/>
    <col min="45" max="45" width="22.69140625" style="71" customWidth="1"/>
    <col min="46" max="46" width="12.69140625" style="69" customWidth="1"/>
    <col min="47" max="47" width="22.69140625" style="96" customWidth="1"/>
    <col min="48" max="48" width="14.69140625" style="7" customWidth="1"/>
    <col min="49" max="49" width="2.69140625" style="7" customWidth="1"/>
    <col min="50" max="50" width="0" style="7" hidden="1" customWidth="1"/>
    <col min="51" max="16384" width="9.15234375" style="7" hidden="1"/>
  </cols>
  <sheetData>
    <row r="1" spans="2:48" s="92" customFormat="1" ht="6" customHeight="1" x14ac:dyDescent="0.4"/>
    <row r="2" spans="2:48" s="46" customFormat="1" ht="55.1" customHeight="1" x14ac:dyDescent="0.4">
      <c r="B2" s="47" t="str">
        <f>CONCATENATE(IF(设置!D7="","",_xlfn.CONCAT(设置!D7," - ")),"历史记录")</f>
        <v>Yi - 历史记录</v>
      </c>
      <c r="D2" s="61"/>
    </row>
    <row r="3" spans="2:48" ht="8.25" customHeight="1" x14ac:dyDescent="0.4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6" customFormat="1" ht="40.1" customHeight="1" x14ac:dyDescent="0.35">
      <c r="B4" s="7"/>
      <c r="C4" s="93"/>
      <c r="D4" s="45" t="str">
        <f>_xlfn.CONCAT(设置!F11)</f>
        <v>1</v>
      </c>
      <c r="E4" s="80" t="str">
        <f>_xlfn.CONCAT(设置!F12)</f>
        <v>2</v>
      </c>
      <c r="F4" s="45" t="str">
        <f>_xlfn.CONCAT(设置!F13)</f>
        <v/>
      </c>
      <c r="G4" s="80" t="str">
        <f>_xlfn.CONCAT(设置!F14)</f>
        <v/>
      </c>
      <c r="H4" s="45" t="str">
        <f>_xlfn.CONCAT(设置!F15)</f>
        <v/>
      </c>
      <c r="I4" s="80" t="str">
        <f>_xlfn.CONCAT(设置!F16)</f>
        <v/>
      </c>
      <c r="J4" s="45" t="str">
        <f>_xlfn.CONCAT(设置!F17)</f>
        <v/>
      </c>
      <c r="K4" s="80" t="str">
        <f>_xlfn.CONCAT(设置!F18)</f>
        <v/>
      </c>
      <c r="L4" s="45" t="str">
        <f>_xlfn.CONCAT(设置!F19)</f>
        <v/>
      </c>
      <c r="M4" s="80" t="str">
        <f>_xlfn.CONCAT(设置!F20)</f>
        <v/>
      </c>
      <c r="N4" s="45" t="str">
        <f>_xlfn.CONCAT(设置!F21)</f>
        <v/>
      </c>
      <c r="O4" s="80" t="str">
        <f>_xlfn.CONCAT(设置!F22)</f>
        <v/>
      </c>
      <c r="P4" s="45" t="str">
        <f>_xlfn.CONCAT(设置!F23)</f>
        <v/>
      </c>
      <c r="Q4" s="80" t="str">
        <f>_xlfn.CONCAT(设置!F24)</f>
        <v/>
      </c>
      <c r="R4" s="45" t="str">
        <f>_xlfn.CONCAT(设置!F25)</f>
        <v/>
      </c>
      <c r="S4" s="80" t="str">
        <f>_xlfn.CONCAT(设置!F26)</f>
        <v/>
      </c>
      <c r="T4" s="45" t="str">
        <f>_xlfn.CONCAT(设置!F27)</f>
        <v/>
      </c>
      <c r="U4" s="80" t="str">
        <f>_xlfn.CONCAT(设置!F28)</f>
        <v/>
      </c>
      <c r="V4" s="45" t="str">
        <f>_xlfn.CONCAT(设置!F29)</f>
        <v/>
      </c>
      <c r="W4" s="80" t="str">
        <f>_xlfn.CONCAT(设置!F30)</f>
        <v/>
      </c>
      <c r="X4" s="45" t="str">
        <f>_xlfn.CONCAT(设置!F31)</f>
        <v/>
      </c>
      <c r="Y4" s="80" t="str">
        <f>_xlfn.CONCAT(设置!F32)</f>
        <v/>
      </c>
      <c r="Z4" s="45" t="str">
        <f>_xlfn.CONCAT(设置!F33)</f>
        <v/>
      </c>
      <c r="AA4" s="80" t="str">
        <f>_xlfn.CONCAT(设置!F34)</f>
        <v/>
      </c>
      <c r="AB4" s="45" t="str">
        <f>_xlfn.CONCAT(设置!F35)</f>
        <v/>
      </c>
      <c r="AC4" s="80" t="str">
        <f>_xlfn.CONCAT(设置!F36)</f>
        <v/>
      </c>
      <c r="AD4" s="45" t="str">
        <f>_xlfn.CONCAT(设置!F37)</f>
        <v/>
      </c>
      <c r="AE4" s="80" t="str">
        <f>_xlfn.CONCAT(设置!F38)</f>
        <v/>
      </c>
      <c r="AF4" s="45" t="str">
        <f>_xlfn.CONCAT(设置!F39)</f>
        <v/>
      </c>
      <c r="AG4" s="80" t="str">
        <f>_xlfn.CONCAT(设置!F40)</f>
        <v/>
      </c>
      <c r="AH4" s="45" t="str">
        <f>_xlfn.CONCAT(设置!F41)</f>
        <v/>
      </c>
      <c r="AI4" s="80" t="str">
        <f>_xlfn.CONCAT(设置!F42)</f>
        <v/>
      </c>
      <c r="AJ4" s="45" t="str">
        <f>_xlfn.CONCAT(设置!F43)</f>
        <v/>
      </c>
      <c r="AK4" s="80" t="str">
        <f>_xlfn.CONCAT(设置!F44)</f>
        <v/>
      </c>
      <c r="AL4" s="45" t="str">
        <f>_xlfn.CONCAT(设置!F45)</f>
        <v/>
      </c>
      <c r="AM4" s="80" t="str">
        <f>_xlfn.CONCAT(设置!F46)</f>
        <v/>
      </c>
      <c r="AN4" s="45" t="str">
        <f>_xlfn.CONCAT(设置!F47)</f>
        <v/>
      </c>
      <c r="AO4" s="80" t="str">
        <f>_xlfn.CONCAT(设置!F48)</f>
        <v/>
      </c>
      <c r="AP4" s="45" t="str">
        <f>_xlfn.CONCAT(设置!F49)</f>
        <v/>
      </c>
      <c r="AQ4" s="80" t="str">
        <f>_xlfn.CONCAT(设置!F50)</f>
        <v/>
      </c>
      <c r="AR4" s="107" t="s">
        <v>82</v>
      </c>
      <c r="AS4" s="107"/>
      <c r="AT4" s="107"/>
      <c r="AU4" s="107"/>
      <c r="AV4" s="80" t="s">
        <v>424</v>
      </c>
    </row>
    <row r="5" spans="2:48" ht="8.25" customHeight="1" x14ac:dyDescent="0.4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 x14ac:dyDescent="0.4">
      <c r="B6" s="62" t="s">
        <v>0</v>
      </c>
      <c r="C6" s="62" t="s">
        <v>3</v>
      </c>
      <c r="D6" s="62" t="s">
        <v>69</v>
      </c>
      <c r="E6" s="62" t="s">
        <v>70</v>
      </c>
      <c r="F6" s="62" t="s">
        <v>31</v>
      </c>
      <c r="G6" s="62" t="s">
        <v>32</v>
      </c>
      <c r="H6" s="62" t="s">
        <v>33</v>
      </c>
      <c r="I6" s="62" t="s">
        <v>34</v>
      </c>
      <c r="J6" s="62" t="s">
        <v>35</v>
      </c>
      <c r="K6" s="62" t="s">
        <v>36</v>
      </c>
      <c r="L6" s="62" t="s">
        <v>37</v>
      </c>
      <c r="M6" s="62" t="s">
        <v>39</v>
      </c>
      <c r="N6" s="62" t="s">
        <v>38</v>
      </c>
      <c r="O6" s="62" t="s">
        <v>40</v>
      </c>
      <c r="P6" s="62" t="s">
        <v>87</v>
      </c>
      <c r="Q6" s="62" t="s">
        <v>88</v>
      </c>
      <c r="R6" s="62" t="s">
        <v>89</v>
      </c>
      <c r="S6" s="62" t="s">
        <v>90</v>
      </c>
      <c r="T6" s="62" t="s">
        <v>91</v>
      </c>
      <c r="U6" s="62" t="s">
        <v>92</v>
      </c>
      <c r="V6" s="62" t="s">
        <v>93</v>
      </c>
      <c r="W6" s="62" t="s">
        <v>94</v>
      </c>
      <c r="X6" s="62" t="s">
        <v>130</v>
      </c>
      <c r="Y6" s="62" t="s">
        <v>131</v>
      </c>
      <c r="Z6" s="62" t="s">
        <v>132</v>
      </c>
      <c r="AA6" s="62" t="s">
        <v>133</v>
      </c>
      <c r="AB6" s="62" t="s">
        <v>134</v>
      </c>
      <c r="AC6" s="62" t="s">
        <v>135</v>
      </c>
      <c r="AD6" s="62" t="s">
        <v>136</v>
      </c>
      <c r="AE6" s="62" t="s">
        <v>137</v>
      </c>
      <c r="AF6" s="62" t="s">
        <v>138</v>
      </c>
      <c r="AG6" s="62" t="s">
        <v>139</v>
      </c>
      <c r="AH6" s="62" t="s">
        <v>129</v>
      </c>
      <c r="AI6" s="62" t="s">
        <v>140</v>
      </c>
      <c r="AJ6" s="62" t="s">
        <v>141</v>
      </c>
      <c r="AK6" s="62" t="s">
        <v>142</v>
      </c>
      <c r="AL6" s="62" t="s">
        <v>143</v>
      </c>
      <c r="AM6" s="62" t="s">
        <v>144</v>
      </c>
      <c r="AN6" s="62" t="s">
        <v>145</v>
      </c>
      <c r="AO6" s="62" t="s">
        <v>146</v>
      </c>
      <c r="AP6" s="62" t="s">
        <v>147</v>
      </c>
      <c r="AQ6" s="62" t="s">
        <v>148</v>
      </c>
      <c r="AR6" s="62" t="s">
        <v>5</v>
      </c>
      <c r="AS6" s="62" t="s">
        <v>4</v>
      </c>
      <c r="AT6" s="62" t="s">
        <v>6</v>
      </c>
      <c r="AU6" s="62" t="s">
        <v>7</v>
      </c>
      <c r="AV6" s="62" t="s">
        <v>422</v>
      </c>
    </row>
    <row r="7" spans="2:48" ht="40" customHeight="1" x14ac:dyDescent="0.4">
      <c r="B7" s="16" cm="1">
        <f t="array" ref="B7">SN</f>
        <v>1</v>
      </c>
      <c r="C7" s="63" t="s">
        <v>268</v>
      </c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64" t="s">
        <v>8</v>
      </c>
      <c r="AS7" s="66"/>
      <c r="AT7" s="64" t="s">
        <v>247</v>
      </c>
      <c r="AU7" s="95" t="s">
        <v>425</v>
      </c>
      <c r="AV7" s="16" t="s">
        <v>434</v>
      </c>
    </row>
    <row r="8" spans="2:48" ht="40" customHeight="1" x14ac:dyDescent="0.4">
      <c r="B8" s="16" cm="1">
        <f t="array" ref="B8">SN</f>
        <v>2</v>
      </c>
      <c r="C8" s="63" t="s">
        <v>421</v>
      </c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64" t="s">
        <v>8</v>
      </c>
      <c r="AS8" s="66"/>
      <c r="AT8" s="64" t="s">
        <v>247</v>
      </c>
      <c r="AU8" s="95" t="s">
        <v>425</v>
      </c>
      <c r="AV8" s="16" t="s">
        <v>434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8 C9:C1048576" xr:uid="{BAEA8DF3-DB1E-4CF5-83D3-C3222F25DDAB}">
      <formula1>Get_GUID</formula1>
    </dataValidation>
    <dataValidation type="list" allowBlank="1" showInputMessage="1" showErrorMessage="1" sqref="AT7:AT8 AT9:AT1048576" xr:uid="{3C31741D-D10D-4C41-AC71-A5DCFCAD7476}">
      <formula1>Get_Staff_Member</formula1>
    </dataValidation>
    <dataValidation type="list" allowBlank="1" showInputMessage="1" showErrorMessage="1" sqref="AR7:AR8 AR9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会员详细信息!Print_Titles</vt:lpstr>
      <vt:lpstr>入库取货!Print_Titles</vt:lpstr>
      <vt:lpstr>历史记录!Print_Titles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2024-03-06T03:35:24Z</cp:lastPrinted>
  <dcterms:created xsi:type="dcterms:W3CDTF">2023-11-27T09:49:08Z</dcterms:created>
  <dcterms:modified xsi:type="dcterms:W3CDTF">2024-07-21T13:30:38Z</dcterms:modified>
</cp:coreProperties>
</file>