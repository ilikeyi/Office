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4A631467-0CF8-4DED-89FE-685D90E3266D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设置" sheetId="1" r:id="rId1"/>
    <sheet name="新增入库取货" sheetId="9" r:id="rId2"/>
    <sheet name="入库取货" sheetId="8" r:id="rId3"/>
    <sheet name="新增会员" sheetId="4" r:id="rId4"/>
    <sheet name="会员详细信息" sheetId="6" r:id="rId5"/>
    <sheet name="历史记录" sheetId="5" r:id="rId6"/>
  </sheets>
  <functionGroups builtInGroupCount="19"/>
  <definedNames>
    <definedName name="Get_1_Add">SUMIFS(History[1],History[唯一识别码],UserInfo[[#This Row],[唯一识别码]],History[类型],"存入")</definedName>
    <definedName name="Get_1_Calc">UserInfo[[#This Row],[1 - 存入]]-UserInfo[[#This Row],[1 - 支取]]</definedName>
    <definedName name="Get_1_Del">SUMIFS(History[1],History[唯一识别码],UserInfo[[#This Row],[唯一识别码]],History[类型],"支取")</definedName>
    <definedName name="Get_10_Add">SUMIFS(History[10],History[唯一识别码],UserInfo[[#This Row],[唯一识别码]],History[类型],"存入")</definedName>
    <definedName name="Get_10_Calc">UserInfo[[#This Row],[10 - 存入]]-UserInfo[[#This Row],[10 - 支取]]</definedName>
    <definedName name="Get_10_Del">SUMIFS(History[10],History[唯一识别码],UserInfo[[#This Row],[唯一识别码]],History[类型],"支取")</definedName>
    <definedName name="Get_11_Add">SUMIFS(History[11],History[唯一识别码],UserInfo[[#This Row],[唯一识别码]],History[类型],"存入")</definedName>
    <definedName name="Get_11_Calc">UserInfo[[#This Row],[11 - 存入]]-UserInfo[[#This Row],[11 - 支取]]</definedName>
    <definedName name="Get_11_Del">SUMIFS(History[11],History[唯一识别码],UserInfo[[#This Row],[唯一识别码]],History[类型],"支取")</definedName>
    <definedName name="Get_12_Add">SUMIFS(History[12],History[唯一识别码],UserInfo[[#This Row],[唯一识别码]],History[类型],"存入")</definedName>
    <definedName name="Get_12_Calc">UserInfo[[#This Row],[12 - 存入]]-UserInfo[[#This Row],[12 - 支取]]</definedName>
    <definedName name="Get_12_Del">SUMIFS(History[12],History[唯一识别码],UserInfo[[#This Row],[唯一识别码]],History[类型],"支取")</definedName>
    <definedName name="Get_13_Add">SUMIFS(History[13],History[唯一识别码],UserInfo[[#This Row],[唯一识别码]],History[类型],"存入")</definedName>
    <definedName name="Get_13_Calc">UserInfo[[#This Row],[13 - 存入]]-UserInfo[[#This Row],[13 - 支取]]</definedName>
    <definedName name="Get_13_Del">SUMIFS(History[13],History[唯一识别码],UserInfo[[#This Row],[唯一识别码]],History[类型],"支取")</definedName>
    <definedName name="Get_14_Add">SUMIFS(History[14],History[唯一识别码],UserInfo[[#This Row],[唯一识别码]],History[类型],"存入")</definedName>
    <definedName name="Get_14_Calc">UserInfo[[#This Row],[14 - 存入]]-UserInfo[[#This Row],[14 - 支取]]</definedName>
    <definedName name="Get_14_Del">SUMIFS(History[14],History[唯一识别码],UserInfo[[#This Row],[唯一识别码]],History[类型],"支取")</definedName>
    <definedName name="Get_15_Add">SUMIFS(History[15],History[唯一识别码],UserInfo[[#This Row],[唯一识别码]],History[类型],"存入")</definedName>
    <definedName name="Get_15_Calc">UserInfo[[#This Row],[15 - 存入]]-UserInfo[[#This Row],[15 - 支取]]</definedName>
    <definedName name="Get_15_Del">SUMIFS(History[15],History[唯一识别码],UserInfo[[#This Row],[唯一识别码]],History[类型],"支取")</definedName>
    <definedName name="Get_16_Add">SUMIFS(History[16],History[唯一识别码],UserInfo[[#This Row],[唯一识别码]],History[类型],"存入")</definedName>
    <definedName name="Get_16_Calc">UserInfo[[#This Row],[16 - 存入]]-UserInfo[[#This Row],[16 - 支取]]</definedName>
    <definedName name="Get_16_Del">SUMIFS(History[16],History[唯一识别码],UserInfo[[#This Row],[唯一识别码]],History[类型],"支取")</definedName>
    <definedName name="Get_17_Add">SUMIFS(History[17],History[唯一识别码],UserInfo[[#This Row],[唯一识别码]],History[类型],"存入")</definedName>
    <definedName name="Get_17_Calc">UserInfo[[#This Row],[17 - 存入]]-UserInfo[[#This Row],[17 - 支取]]</definedName>
    <definedName name="Get_17_Del">SUMIFS(History[17],History[唯一识别码],UserInfo[[#This Row],[唯一识别码]],History[类型],"支取")</definedName>
    <definedName name="Get_18_Add">SUMIFS(History[18],History[唯一识别码],UserInfo[[#This Row],[唯一识别码]],History[类型],"存入")</definedName>
    <definedName name="Get_18_Calc">UserInfo[[#This Row],[18 - 存入]]-UserInfo[[#This Row],[18 - 支取]]</definedName>
    <definedName name="Get_18_Del">SUMIFS(History[18],History[唯一识别码],UserInfo[[#This Row],[唯一识别码]],History[类型],"支取")</definedName>
    <definedName name="Get_19_Add">SUMIFS(History[19],History[唯一识别码],UserInfo[[#This Row],[唯一识别码]],History[类型],"存入")</definedName>
    <definedName name="Get_19_Calc">UserInfo[[#This Row],[19 - 存入]]-UserInfo[[#This Row],[19 - 支取]]</definedName>
    <definedName name="Get_19_Del">SUMIFS(History[19],History[唯一识别码],UserInfo[[#This Row],[唯一识别码]],History[类型],"支取")</definedName>
    <definedName name="Get_2_Add">SUMIFS(History[2],History[唯一识别码],UserInfo[[#This Row],[唯一识别码]],History[类型],"存入")</definedName>
    <definedName name="Get_2_Calc">UserInfo[[#This Row],[2 - 存入]]-UserInfo[[#This Row],[2 - 支取]]</definedName>
    <definedName name="Get_2_Del">SUMIFS(History[2],History[唯一识别码],UserInfo[[#This Row],[唯一识别码]],History[类型],"支取")</definedName>
    <definedName name="Get_20_Add">SUMIFS(History[20],History[唯一识别码],UserInfo[[#This Row],[唯一识别码]],History[类型],"存入")</definedName>
    <definedName name="Get_20_Calc">UserInfo[[#This Row],[20 - 存入]]-UserInfo[[#This Row],[20 - 支取]]</definedName>
    <definedName name="Get_20_Del">SUMIFS(History[20],History[唯一识别码],UserInfo[[#This Row],[唯一识别码]],History[类型],"支取")</definedName>
    <definedName name="Get_21_Add">SUMIFS(History[21],History[唯一识别码],UserInfo[[#This Row],[唯一识别码]],History[类型],"存入")</definedName>
    <definedName name="Get_21_Calc">UserInfo[[#This Row],[21 - 存入]]-UserInfo[[#This Row],[21 - 支取]]</definedName>
    <definedName name="Get_21_Del">SUMIFS(History[21],History[唯一识别码],UserInfo[[#This Row],[唯一识别码]],History[类型],"支取")</definedName>
    <definedName name="Get_22_Add">SUMIFS(History[22],History[唯一识别码],UserInfo[[#This Row],[唯一识别码]],History[类型],"存入")</definedName>
    <definedName name="Get_22_Calc">UserInfo[[#This Row],[22 - 存入]]-UserInfo[[#This Row],[22 - 支取]]</definedName>
    <definedName name="Get_22_Del">SUMIFS(History[22],History[唯一识别码],UserInfo[[#This Row],[唯一识别码]],History[类型],"支取")</definedName>
    <definedName name="Get_23_Add">SUMIFS(History[23],History[唯一识别码],UserInfo[[#This Row],[唯一识别码]],History[类型],"存入")</definedName>
    <definedName name="Get_23_Calc">UserInfo[[#This Row],[23 - 存入]]-UserInfo[[#This Row],[23 - 支取]]</definedName>
    <definedName name="Get_23_Del">SUMIFS(History[23],History[唯一识别码],UserInfo[[#This Row],[唯一识别码]],History[类型],"支取")</definedName>
    <definedName name="Get_24_Add">SUMIFS(History[24],History[唯一识别码],UserInfo[[#This Row],[唯一识别码]],History[类型],"存入")</definedName>
    <definedName name="Get_24_Calc">UserInfo[[#This Row],[24 - 存入]]-UserInfo[[#This Row],[24 - 支取]]</definedName>
    <definedName name="Get_24_Del">SUMIFS(History[24],History[唯一识别码],UserInfo[[#This Row],[唯一识别码]],History[类型],"支取")</definedName>
    <definedName name="Get_25_Add">SUMIFS(History[25],History[唯一识别码],UserInfo[[#This Row],[唯一识别码]],History[类型],"存入")</definedName>
    <definedName name="Get_25_Calc">UserInfo[[#This Row],[25 - 存入]]-UserInfo[[#This Row],[25 - 支取]]</definedName>
    <definedName name="Get_25_Del">SUMIFS(History[25],History[唯一识别码],UserInfo[[#This Row],[唯一识别码]],History[类型],"支取")</definedName>
    <definedName name="Get_26_Add">SUMIFS(History[26],History[唯一识别码],UserInfo[[#This Row],[唯一识别码]],History[类型],"存入")</definedName>
    <definedName name="Get_26_Calc">UserInfo[[#This Row],[26 - 存入]]-UserInfo[[#This Row],[26 - 支取]]</definedName>
    <definedName name="Get_26_Del">SUMIFS(History[26],History[唯一识别码],UserInfo[[#This Row],[唯一识别码]],History[类型],"支取")</definedName>
    <definedName name="Get_27_Add">SUMIFS(History[27],History[唯一识别码],UserInfo[[#This Row],[唯一识别码]],History[类型],"存入")</definedName>
    <definedName name="Get_27_Calc">UserInfo[[#This Row],[27 - 存入]]-UserInfo[[#This Row],[27 - 支取]]</definedName>
    <definedName name="Get_27_Del">SUMIFS(History[27],History[唯一识别码],UserInfo[[#This Row],[唯一识别码]],History[类型],"支取")</definedName>
    <definedName name="Get_28_Add">SUMIFS(History[28],History[唯一识别码],UserInfo[[#This Row],[唯一识别码]],History[类型],"存入")</definedName>
    <definedName name="Get_28_Calc">UserInfo[[#This Row],[28 - 存入]]-UserInfo[[#This Row],[28 - 支取]]</definedName>
    <definedName name="Get_28_Del">SUMIFS(History[28],History[唯一识别码],UserInfo[[#This Row],[唯一识别码]],History[类型],"支取")</definedName>
    <definedName name="Get_29_Add">SUMIFS(History[29],History[唯一识别码],UserInfo[[#This Row],[唯一识别码]],History[类型],"存入")</definedName>
    <definedName name="Get_29_Calc">UserInfo[[#This Row],[29 - 存入]]-UserInfo[[#This Row],[29 - 支取]]</definedName>
    <definedName name="Get_29_Del">SUMIFS(History[29],History[唯一识别码],UserInfo[[#This Row],[唯一识别码]],History[类型],"支取")</definedName>
    <definedName name="Get_3_Add">SUMIFS(History[3],History[唯一识别码],UserInfo[[#This Row],[唯一识别码]],History[类型],"存入")</definedName>
    <definedName name="Get_3_Calc">UserInfo[[#This Row],[3 - 存入]]-UserInfo[[#This Row],[3 - 支取]]</definedName>
    <definedName name="Get_3_Del">SUMIFS(History[3],History[唯一识别码],UserInfo[[#This Row],[唯一识别码]],History[类型],"支取")</definedName>
    <definedName name="Get_30_Add">SUMIFS(History[30],History[唯一识别码],UserInfo[[#This Row],[唯一识别码]],History[类型],"存入")</definedName>
    <definedName name="Get_30_Calc">UserInfo[[#This Row],[30 - 存入]]-UserInfo[[#This Row],[30 - 支取]]</definedName>
    <definedName name="Get_30_Del">SUMIFS(History[30],History[唯一识别码],UserInfo[[#This Row],[唯一识别码]],History[类型],"支取")</definedName>
    <definedName name="Get_31_Add">SUMIFS(History[31],History[唯一识别码],UserInfo[[#This Row],[唯一识别码]],History[类型],"存入")</definedName>
    <definedName name="Get_31_Calc">UserInfo[[#This Row],[31 - 存入]]-UserInfo[[#This Row],[31 - 支取]]</definedName>
    <definedName name="Get_31_Del">SUMIFS(History[31],History[唯一识别码],UserInfo[[#This Row],[唯一识别码]],History[类型],"支取")</definedName>
    <definedName name="Get_32_Add">SUMIFS(History[32],History[唯一识别码],UserInfo[[#This Row],[唯一识别码]],History[类型],"存入")</definedName>
    <definedName name="Get_32_Calc">UserInfo[[#This Row],[32 - 存入]]-UserInfo[[#This Row],[32 - 支取]]</definedName>
    <definedName name="Get_32_Del">SUMIFS(History[32],History[唯一识别码],UserInfo[[#This Row],[唯一识别码]],History[类型],"支取")</definedName>
    <definedName name="Get_33_Add">SUMIFS(History[33],History[唯一识别码],UserInfo[[#This Row],[唯一识别码]],History[类型],"存入")</definedName>
    <definedName name="Get_33_Calc">UserInfo[[#This Row],[33 - 存入]]-UserInfo[[#This Row],[33 - 支取]]</definedName>
    <definedName name="Get_33_Del">SUMIFS(History[33],History[唯一识别码],UserInfo[[#This Row],[唯一识别码]],History[类型],"支取")</definedName>
    <definedName name="Get_34_Add">SUMIFS(History[34],History[唯一识别码],UserInfo[[#This Row],[唯一识别码]],History[类型],"存入")</definedName>
    <definedName name="Get_34_Calc">UserInfo[[#This Row],[34 - 存入]]-UserInfo[[#This Row],[34 - 支取]]</definedName>
    <definedName name="Get_34_Del">SUMIFS(History[34],History[唯一识别码],UserInfo[[#This Row],[唯一识别码]],History[类型],"支取")</definedName>
    <definedName name="Get_35_Add">SUMIFS(History[35],History[唯一识别码],UserInfo[[#This Row],[唯一识别码]],History[类型],"存入")</definedName>
    <definedName name="Get_35_Calc">UserInfo[[#This Row],[35 - 存入]]-UserInfo[[#This Row],[35 - 支取]]</definedName>
    <definedName name="Get_35_Del">SUMIFS(History[35],History[唯一识别码],UserInfo[[#This Row],[唯一识别码]],History[类型],"支取")</definedName>
    <definedName name="Get_36_Add">SUMIFS(History[36],History[唯一识别码],UserInfo[[#This Row],[唯一识别码]],History[类型],"存入")</definedName>
    <definedName name="Get_36_Calc">UserInfo[[#This Row],[36 - 存入]]-UserInfo[[#This Row],[36 - 支取]]</definedName>
    <definedName name="Get_36_Del">SUMIFS(History[36],History[唯一识别码],UserInfo[[#This Row],[唯一识别码]],History[类型],"支取")</definedName>
    <definedName name="Get_37_Add">SUMIFS(History[37],History[唯一识别码],UserInfo[[#This Row],[唯一识别码]],History[类型],"存入")</definedName>
    <definedName name="Get_37_Calc">UserInfo[[#This Row],[37 - 存入]]-UserInfo[[#This Row],[37 - 支取]]</definedName>
    <definedName name="Get_37_Del">SUMIFS(History[37],History[唯一识别码],UserInfo[[#This Row],[唯一识别码]],History[类型],"支取")</definedName>
    <definedName name="Get_38_Add">SUMIFS(History[38],History[唯一识别码],UserInfo[[#This Row],[唯一识别码]],History[类型],"存入")</definedName>
    <definedName name="Get_38_Calc">UserInfo[[#This Row],[38 - 存入]]-UserInfo[[#This Row],[38 - 支取]]</definedName>
    <definedName name="Get_38_Del">SUMIFS(History[38],History[唯一识别码],UserInfo[[#This Row],[唯一识别码]],History[类型],"支取")</definedName>
    <definedName name="Get_39_Add">SUMIFS(History[39],History[唯一识别码],UserInfo[[#This Row],[唯一识别码]],History[类型],"存入")</definedName>
    <definedName name="Get_39_Calc">UserInfo[[#This Row],[39 - 存入]]-UserInfo[[#This Row],[39 - 支取]]</definedName>
    <definedName name="Get_39_Del">SUMIFS(History[39],History[唯一识别码],UserInfo[[#This Row],[唯一识别码]],History[类型],"支取")</definedName>
    <definedName name="Get_4_Add">SUMIFS(History[4],History[唯一识别码],UserInfo[[#This Row],[唯一识别码]],History[类型],"存入")</definedName>
    <definedName name="Get_4_Calc">UserInfo[[#This Row],[4 - 存入]]-UserInfo[[#This Row],[4 - 支取]]</definedName>
    <definedName name="Get_4_Del">SUMIFS(History[4],History[唯一识别码],UserInfo[[#This Row],[唯一识别码]],History[类型],"支取")</definedName>
    <definedName name="Get_40_Add">SUMIFS(History[40],History[唯一识别码],UserInfo[[#This Row],[唯一识别码]],History[类型],"存入")</definedName>
    <definedName name="Get_40_Calc">UserInfo[[#This Row],[40 - 存入]]-UserInfo[[#This Row],[40 - 支取]]</definedName>
    <definedName name="Get_40_Del">SUMIFS(History[40],History[唯一识别码],UserInfo[[#This Row],[唯一识别码]],History[类型],"支取")</definedName>
    <definedName name="Get_5_Add">SUMIFS(History[5],History[唯一识别码],UserInfo[[#This Row],[唯一识别码]],History[类型],"存入")</definedName>
    <definedName name="Get_5_Calc">UserInfo[[#This Row],[5 - 存入]]-UserInfo[[#This Row],[5 - 支取]]</definedName>
    <definedName name="Get_5_Del">SUMIFS(History[5],History[唯一识别码],UserInfo[[#This Row],[唯一识别码]],History[类型],"支取")</definedName>
    <definedName name="Get_6_Add">SUMIFS(History[6],History[唯一识别码],UserInfo[[#This Row],[唯一识别码]],History[类型],"存入")</definedName>
    <definedName name="Get_6_Calc">UserInfo[[#This Row],[6 - 存入]]-UserInfo[[#This Row],[6 - 支取]]</definedName>
    <definedName name="Get_6_Del">SUMIFS(History[6],History[唯一识别码],UserInfo[[#This Row],[唯一识别码]],History[类型],"支取")</definedName>
    <definedName name="Get_7_Add">SUMIFS(History[7],History[唯一识别码],UserInfo[[#This Row],[唯一识别码]],History[类型],"存入")</definedName>
    <definedName name="Get_7_Calc">UserInfo[[#This Row],[7 - 存入]]-UserInfo[[#This Row],[7 - 支取]]</definedName>
    <definedName name="Get_7_Del">SUMIFS(History[7],History[唯一识别码],UserInfo[[#This Row],[唯一识别码]],History[类型],"支取")</definedName>
    <definedName name="Get_8_Add">SUMIFS(History[8],History[唯一识别码],UserInfo[[#This Row],[唯一识别码]],History[类型],"存入")</definedName>
    <definedName name="Get_8_Calc">UserInfo[[#This Row],[8 - 存入]]-UserInfo[[#This Row],[8 - 支取]]</definedName>
    <definedName name="Get_8_Del">SUMIFS(History[8],History[唯一识别码],UserInfo[[#This Row],[唯一识别码]],History[类型],"支取")</definedName>
    <definedName name="Get_9_Add">SUMIFS(History[9],History[唯一识别码],UserInfo[[#This Row],[唯一识别码]],History[类型],"存入")</definedName>
    <definedName name="Get_9_Calc">UserInfo[[#This Row],[9 - 存入]]-UserInfo[[#This Row],[9 - 支取]]</definedName>
    <definedName name="Get_9_Del">SUMIFS(History[9],History[唯一识别码],UserInfo[[#This Row],[唯一识别码]],History[类型],"支取")</definedName>
    <definedName name="Get_Gender">设置!$D$83:$E$83</definedName>
    <definedName name="Get_GUID">UserInfo[唯一识别码]</definedName>
    <definedName name="Get_Keep_inventory">设置!$D$81:$E$81</definedName>
    <definedName name="Get_Staff_Member">设置!$D$53:$O$53</definedName>
    <definedName name="Get_Store_Uid">Store_Setting[唯一识别码]</definedName>
    <definedName name="Get_Type_of_Access">设置!$D$79:$E$79</definedName>
    <definedName name="Get_Work_Unit">设置!$D$65:$O$65</definedName>
    <definedName name="GetName">UserInfo[唯一识别码]</definedName>
    <definedName name="GUID">CONCATENATE(IF(UserInfo[[#This Row],[姓氏]]="","", _xlfn.CONCAT(UserInfo[[#This Row],[姓氏]])), IF(UserInfo[[#This Row],[名字]]="","", _xlfn.CONCAT(UserInfo[[#This Row],[名字]])), IF(UserInfo[[#This Row],[电话]]="","", _xlfn.CONCAT(" | ",UserInfo[[#This Row],[电话]])))</definedName>
    <definedName name="History_Saved">COUNTIFS(History[唯一识别码], UserInfo[[#This Row],[唯一识别码]], History[类型],"存入")</definedName>
    <definedName name="History_Total">COUNTIF(History[唯一识别码], UserInfo[[#This Row],[唯一识别码]])</definedName>
    <definedName name="History_Withdraw">COUNTIFS(History[唯一识别码], UserInfo[[#This Row],[唯一识别码]], History[类型],"支取")</definedName>
    <definedName name="_xlnm.Print_Area" localSheetId="3">新增会员!$A:$H</definedName>
    <definedName name="_xlnm.Print_Area" localSheetId="0">设置!$A:$O</definedName>
    <definedName name="_xlnm.Print_Titles" localSheetId="0">设置!$1:$6</definedName>
    <definedName name="SN">ROW()-6</definedName>
    <definedName name="SNGKI">ROW()-4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1" i="1" l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B8" i="5" a="1"/>
  <c r="B8" i="5" s="1"/>
  <c r="AQ4" i="5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AL4" i="6"/>
  <c r="AI4" i="6"/>
  <c r="AF4" i="6"/>
  <c r="AC4" i="6"/>
  <c r="Z4" i="6"/>
  <c r="W4" i="6"/>
  <c r="T4" i="6"/>
  <c r="Q4" i="6"/>
  <c r="N4" i="6"/>
  <c r="K4" i="6"/>
  <c r="H4" i="6"/>
  <c r="E4" i="6"/>
  <c r="CA4" i="6"/>
  <c r="CB4" i="6"/>
  <c r="CE4" i="6"/>
  <c r="CJ4" i="6"/>
  <c r="CK4" i="6"/>
  <c r="CQ4" i="6"/>
  <c r="CN4" i="6"/>
  <c r="CH4" i="6"/>
  <c r="CD4" i="6"/>
  <c r="CG4" i="6"/>
  <c r="CM4" i="6"/>
  <c r="CP4" i="6"/>
  <c r="CS4" i="6"/>
  <c r="CT4" i="6"/>
  <c r="CW4" i="6"/>
  <c r="CV4" i="6"/>
  <c r="CY4" i="6"/>
  <c r="CZ4" i="6"/>
  <c r="DC4" i="6"/>
  <c r="DI4" i="6"/>
  <c r="DL4" i="6"/>
  <c r="DK4" i="6"/>
  <c r="DF4" i="6"/>
  <c r="DH4" i="6"/>
  <c r="DB4" i="6"/>
  <c r="DE4" i="6"/>
  <c r="DO4" i="6"/>
  <c r="DN4" i="6"/>
  <c r="DQ4" i="6"/>
  <c r="DR4" i="6"/>
  <c r="BY4" i="6"/>
  <c r="BX4" i="6"/>
  <c r="BV4" i="6"/>
  <c r="BU4" i="6"/>
  <c r="BS4" i="6"/>
  <c r="BR4" i="6"/>
  <c r="BP4" i="6"/>
  <c r="BO4" i="6"/>
  <c r="BM4" i="6"/>
  <c r="BL4" i="6"/>
  <c r="BJ4" i="6"/>
  <c r="BI4" i="6"/>
  <c r="BG4" i="6"/>
  <c r="BF4" i="6"/>
  <c r="BD4" i="6"/>
  <c r="BC4" i="6"/>
  <c r="AZ4" i="6"/>
  <c r="BA4" i="6"/>
  <c r="AX4" i="6"/>
  <c r="AW4" i="6"/>
  <c r="AU4" i="6"/>
  <c r="AT4" i="6"/>
  <c r="AR4" i="6"/>
  <c r="AQ4" i="6"/>
  <c r="AO4" i="6"/>
  <c r="AN4" i="6"/>
  <c r="AK4" i="6"/>
  <c r="AH4" i="6"/>
  <c r="AE4" i="6"/>
  <c r="AB4" i="6"/>
  <c r="Y4" i="6"/>
  <c r="V4" i="6"/>
  <c r="S4" i="6"/>
  <c r="P4" i="6"/>
  <c r="M4" i="6"/>
  <c r="D4" i="6"/>
  <c r="J4" i="6"/>
  <c r="G4" i="6"/>
  <c r="E7" i="4"/>
  <c r="D89" i="1" l="1"/>
  <c r="D88" i="1"/>
  <c r="B5" i="8" l="1" a="1"/>
  <c r="B5" i="8" s="1"/>
  <c r="D86" i="1" s="1"/>
  <c r="B8" i="6" l="1" a="1"/>
  <c r="B8" i="6" s="1"/>
  <c r="C8" i="6" a="1"/>
  <c r="C8" i="6" s="1"/>
  <c r="EF8" i="6" l="1" a="1"/>
  <c r="EF8" i="6" s="1"/>
  <c r="EE8" i="6" a="1"/>
  <c r="EE8" i="6" s="1"/>
  <c r="EG8" i="6" a="1"/>
  <c r="EG8" i="6" s="1"/>
  <c r="DS8" i="6" a="1"/>
  <c r="DS8" i="6" s="1"/>
  <c r="E8" i="6" a="1"/>
  <c r="E8" i="6" s="1"/>
  <c r="BM8" i="6" a="1"/>
  <c r="BM8" i="6" s="1"/>
  <c r="F8" i="6" a="1"/>
  <c r="F8" i="6" s="1"/>
  <c r="R8" i="6" a="1"/>
  <c r="R8" i="6" s="1"/>
  <c r="AD8" i="6" a="1"/>
  <c r="AD8" i="6" s="1"/>
  <c r="AP8" i="6" a="1"/>
  <c r="AP8" i="6" s="1"/>
  <c r="BB8" i="6" a="1"/>
  <c r="BB8" i="6" s="1"/>
  <c r="BN8" i="6" a="1"/>
  <c r="BN8" i="6" s="1"/>
  <c r="BZ8" i="6" a="1"/>
  <c r="BZ8" i="6" s="1"/>
  <c r="CL8" i="6" a="1"/>
  <c r="CL8" i="6" s="1"/>
  <c r="CX8" i="6" a="1"/>
  <c r="CX8" i="6" s="1"/>
  <c r="DJ8" i="6" a="1"/>
  <c r="DJ8" i="6" s="1"/>
  <c r="AC8" i="6" a="1"/>
  <c r="AC8" i="6" s="1"/>
  <c r="BY8" i="6" a="1"/>
  <c r="BY8" i="6" s="1"/>
  <c r="T8" i="6" a="1"/>
  <c r="T8" i="6" s="1"/>
  <c r="BP8" i="6" a="1"/>
  <c r="BP8" i="6" s="1"/>
  <c r="CN8" i="6" a="1"/>
  <c r="CN8" i="6" s="1"/>
  <c r="U8" i="6" a="1"/>
  <c r="U8" i="6" s="1"/>
  <c r="AG8" i="6" a="1"/>
  <c r="AG8" i="6" s="1"/>
  <c r="AS8" i="6" a="1"/>
  <c r="AS8" i="6" s="1"/>
  <c r="BE8" i="6" a="1"/>
  <c r="BE8" i="6" s="1"/>
  <c r="BQ8" i="6" a="1"/>
  <c r="BQ8" i="6" s="1"/>
  <c r="CC8" i="6" a="1"/>
  <c r="CC8" i="6" s="1"/>
  <c r="CO8" i="6" a="1"/>
  <c r="CO8" i="6" s="1"/>
  <c r="DA8" i="6" a="1"/>
  <c r="DA8" i="6" s="1"/>
  <c r="DM8" i="6" a="1"/>
  <c r="DM8" i="6" s="1"/>
  <c r="Q8" i="6" a="1"/>
  <c r="Q8" i="6" s="1"/>
  <c r="CK8" i="6" a="1"/>
  <c r="CK8" i="6" s="1"/>
  <c r="H8" i="6" a="1"/>
  <c r="H8" i="6" s="1"/>
  <c r="AR8" i="6" a="1"/>
  <c r="AR8" i="6" s="1"/>
  <c r="CZ8" i="6" a="1"/>
  <c r="CZ8" i="6" s="1"/>
  <c r="K8" i="6" a="1"/>
  <c r="K8" i="6" s="1"/>
  <c r="W8" i="6" a="1"/>
  <c r="W8" i="6" s="1"/>
  <c r="AI8" i="6" a="1"/>
  <c r="AI8" i="6" s="1"/>
  <c r="AU8" i="6" a="1"/>
  <c r="AU8" i="6" s="1"/>
  <c r="BG8" i="6" a="1"/>
  <c r="BG8" i="6" s="1"/>
  <c r="BS8" i="6" a="1"/>
  <c r="BS8" i="6" s="1"/>
  <c r="CE8" i="6" a="1"/>
  <c r="CE8" i="6" s="1"/>
  <c r="CQ8" i="6" a="1"/>
  <c r="CQ8" i="6" s="1"/>
  <c r="DC8" i="6" a="1"/>
  <c r="DC8" i="6" s="1"/>
  <c r="DO8" i="6" a="1"/>
  <c r="DO8" i="6" s="1"/>
  <c r="AO8" i="6" a="1"/>
  <c r="AO8" i="6" s="1"/>
  <c r="DI8" i="6" a="1"/>
  <c r="DI8" i="6" s="1"/>
  <c r="BD8" i="6" a="1"/>
  <c r="BD8" i="6" s="1"/>
  <c r="DL8" i="6" a="1"/>
  <c r="DL8" i="6" s="1"/>
  <c r="L8" i="6" a="1"/>
  <c r="L8" i="6" s="1"/>
  <c r="X8" i="6" a="1"/>
  <c r="X8" i="6" s="1"/>
  <c r="AJ8" i="6" a="1"/>
  <c r="AJ8" i="6" s="1"/>
  <c r="AV8" i="6" a="1"/>
  <c r="AV8" i="6" s="1"/>
  <c r="BH8" i="6" a="1"/>
  <c r="BH8" i="6" s="1"/>
  <c r="BT8" i="6" a="1"/>
  <c r="BT8" i="6" s="1"/>
  <c r="CF8" i="6" a="1"/>
  <c r="CF8" i="6" s="1"/>
  <c r="CR8" i="6" a="1"/>
  <c r="CR8" i="6" s="1"/>
  <c r="DD8" i="6" a="1"/>
  <c r="DD8" i="6" s="1"/>
  <c r="DP8" i="6" a="1"/>
  <c r="DP8" i="6" s="1"/>
  <c r="N8" i="6" a="1"/>
  <c r="N8" i="6" s="1"/>
  <c r="Z8" i="6" a="1"/>
  <c r="Z8" i="6" s="1"/>
  <c r="AL8" i="6" a="1"/>
  <c r="AL8" i="6" s="1"/>
  <c r="AX8" i="6" a="1"/>
  <c r="AX8" i="6" s="1"/>
  <c r="BJ8" i="6" a="1"/>
  <c r="BJ8" i="6" s="1"/>
  <c r="BV8" i="6" a="1"/>
  <c r="BV8" i="6" s="1"/>
  <c r="CH8" i="6" a="1"/>
  <c r="CH8" i="6" s="1"/>
  <c r="CT8" i="6" a="1"/>
  <c r="CT8" i="6" s="1"/>
  <c r="DF8" i="6" a="1"/>
  <c r="DF8" i="6" s="1"/>
  <c r="DR8" i="6" a="1"/>
  <c r="DR8" i="6" s="1"/>
  <c r="BA8" i="6" a="1"/>
  <c r="BA8" i="6" s="1"/>
  <c r="CW8" i="6" a="1"/>
  <c r="CW8" i="6" s="1"/>
  <c r="CV8" i="6" s="1" a="1"/>
  <c r="CV8" i="6" s="1"/>
  <c r="AF8" i="6" a="1"/>
  <c r="AF8" i="6" s="1"/>
  <c r="CB8" i="6" a="1"/>
  <c r="CB8" i="6" s="1"/>
  <c r="I8" i="6" a="1"/>
  <c r="I8" i="6" s="1"/>
  <c r="O8" i="6" a="1"/>
  <c r="O8" i="6" s="1"/>
  <c r="AA8" i="6" a="1"/>
  <c r="AA8" i="6" s="1"/>
  <c r="AM8" i="6" a="1"/>
  <c r="AM8" i="6" s="1"/>
  <c r="AY8" i="6" a="1"/>
  <c r="AY8" i="6" s="1"/>
  <c r="BK8" i="6" a="1"/>
  <c r="BK8" i="6" s="1"/>
  <c r="BW8" i="6" a="1"/>
  <c r="BW8" i="6" s="1"/>
  <c r="CI8" i="6" a="1"/>
  <c r="CI8" i="6" s="1"/>
  <c r="CU8" i="6" a="1"/>
  <c r="CU8" i="6" s="1"/>
  <c r="DG8" i="6" a="1"/>
  <c r="DG8" i="6" s="1"/>
  <c r="B2" i="9"/>
  <c r="B2" i="8"/>
  <c r="AB8" i="6" l="1" a="1"/>
  <c r="AB8" i="6" s="1"/>
  <c r="DQ8" i="6" a="1"/>
  <c r="DQ8" i="6" s="1"/>
  <c r="BC8" i="6" a="1"/>
  <c r="BC8" i="6" s="1"/>
  <c r="DH8" i="6" a="1"/>
  <c r="DH8" i="6" s="1"/>
  <c r="P8" i="6" a="1"/>
  <c r="P8" i="6" s="1"/>
  <c r="S8" i="6" a="1"/>
  <c r="S8" i="6" s="1"/>
  <c r="D8" i="6" a="1"/>
  <c r="D8" i="6" s="1"/>
  <c r="AN8" i="6" a="1"/>
  <c r="AN8" i="6" s="1"/>
  <c r="AK8" i="6" a="1"/>
  <c r="AK8" i="6" s="1"/>
  <c r="BX8" i="6" a="1"/>
  <c r="BX8" i="6" s="1"/>
  <c r="DK8" i="6" a="1"/>
  <c r="DK8" i="6" s="1"/>
  <c r="AE8" i="6" a="1"/>
  <c r="AE8" i="6" s="1"/>
  <c r="AT8" i="6" a="1"/>
  <c r="AT8" i="6" s="1"/>
  <c r="CG8" i="6" a="1"/>
  <c r="CG8" i="6" s="1"/>
  <c r="CY8" i="6" a="1"/>
  <c r="CY8" i="6" s="1"/>
  <c r="CJ8" i="6" a="1"/>
  <c r="CJ8" i="6" s="1"/>
  <c r="AQ8" i="6" a="1"/>
  <c r="AQ8" i="6" s="1"/>
  <c r="BI8" i="6" a="1"/>
  <c r="BI8" i="6" s="1"/>
  <c r="BF8" i="6" a="1"/>
  <c r="BF8" i="6" s="1"/>
  <c r="CA8" i="6" a="1"/>
  <c r="CA8" i="6" s="1"/>
  <c r="CP8" i="6" a="1"/>
  <c r="CP8" i="6" s="1"/>
  <c r="AZ8" i="6" a="1"/>
  <c r="AZ8" i="6" s="1"/>
  <c r="CD8" i="6" a="1"/>
  <c r="CD8" i="6" s="1"/>
  <c r="BR8" i="6" a="1"/>
  <c r="BR8" i="6" s="1"/>
  <c r="Y8" i="6" a="1"/>
  <c r="Y8" i="6" s="1"/>
  <c r="DE8" i="6" a="1"/>
  <c r="DE8" i="6" s="1"/>
  <c r="M8" i="6" a="1"/>
  <c r="M8" i="6" s="1"/>
  <c r="AH8" i="6" a="1"/>
  <c r="AH8" i="6" s="1"/>
  <c r="CM8" i="6" a="1"/>
  <c r="CM8" i="6" s="1"/>
  <c r="G8" i="6" a="1"/>
  <c r="G8" i="6" s="1"/>
  <c r="DN8" i="6" a="1"/>
  <c r="DN8" i="6" s="1"/>
  <c r="BL8" i="6" a="1"/>
  <c r="BL8" i="6" s="1"/>
  <c r="V8" i="6" a="1"/>
  <c r="V8" i="6" s="1"/>
  <c r="AW8" i="6" a="1"/>
  <c r="AW8" i="6" s="1"/>
  <c r="CS8" i="6" a="1"/>
  <c r="CS8" i="6" s="1"/>
  <c r="BU8" i="6" a="1"/>
  <c r="BU8" i="6" s="1"/>
  <c r="DB8" i="6" a="1"/>
  <c r="DB8" i="6" s="1"/>
  <c r="J8" i="6" a="1"/>
  <c r="J8" i="6" s="1"/>
  <c r="BO8" i="6" a="1"/>
  <c r="BO8" i="6" s="1"/>
  <c r="B2" i="4"/>
  <c r="B7" i="5" a="1"/>
  <c r="B7" i="5" s="1"/>
  <c r="D87" i="1" s="1"/>
  <c r="B7" i="6" a="1"/>
  <c r="B7" i="6" s="1"/>
  <c r="D85" i="1" s="1"/>
  <c r="C7" i="6" a="1"/>
  <c r="C7" i="6" s="1"/>
  <c r="L47" i="1" l="1"/>
  <c r="M47" i="1"/>
  <c r="M30" i="1"/>
  <c r="L30" i="1"/>
  <c r="M45" i="1"/>
  <c r="L45" i="1"/>
  <c r="M13" i="1"/>
  <c r="L13" i="1"/>
  <c r="M28" i="1"/>
  <c r="L28" i="1"/>
  <c r="M43" i="1"/>
  <c r="L43" i="1"/>
  <c r="M11" i="1"/>
  <c r="L11" i="1"/>
  <c r="M50" i="1"/>
  <c r="L50" i="1"/>
  <c r="L42" i="1"/>
  <c r="M42" i="1"/>
  <c r="M34" i="1"/>
  <c r="L34" i="1"/>
  <c r="M26" i="1"/>
  <c r="L26" i="1"/>
  <c r="L18" i="1"/>
  <c r="M18" i="1"/>
  <c r="M39" i="1"/>
  <c r="L39" i="1"/>
  <c r="L23" i="1"/>
  <c r="M23" i="1"/>
  <c r="L46" i="1"/>
  <c r="M46" i="1"/>
  <c r="M14" i="1"/>
  <c r="L14" i="1"/>
  <c r="M21" i="1"/>
  <c r="L21" i="1"/>
  <c r="M36" i="1"/>
  <c r="L36" i="1"/>
  <c r="M12" i="1"/>
  <c r="L12" i="1"/>
  <c r="M19" i="1"/>
  <c r="L19" i="1"/>
  <c r="M41" i="1"/>
  <c r="L41" i="1"/>
  <c r="M17" i="1"/>
  <c r="L17" i="1"/>
  <c r="L31" i="1"/>
  <c r="M31" i="1"/>
  <c r="M15" i="1"/>
  <c r="L15" i="1"/>
  <c r="L38" i="1"/>
  <c r="M38" i="1"/>
  <c r="L22" i="1"/>
  <c r="M22" i="1"/>
  <c r="M37" i="1"/>
  <c r="L37" i="1"/>
  <c r="M29" i="1"/>
  <c r="L29" i="1"/>
  <c r="M44" i="1"/>
  <c r="L44" i="1"/>
  <c r="M20" i="1"/>
  <c r="L20" i="1"/>
  <c r="M35" i="1"/>
  <c r="L35" i="1"/>
  <c r="M27" i="1"/>
  <c r="L27" i="1"/>
  <c r="M49" i="1"/>
  <c r="L49" i="1"/>
  <c r="M33" i="1"/>
  <c r="L33" i="1"/>
  <c r="M25" i="1"/>
  <c r="L25" i="1"/>
  <c r="M48" i="1"/>
  <c r="L48" i="1"/>
  <c r="M40" i="1"/>
  <c r="L40" i="1"/>
  <c r="M32" i="1"/>
  <c r="L32" i="1"/>
  <c r="L24" i="1"/>
  <c r="M24" i="1"/>
  <c r="L16" i="1"/>
  <c r="M16" i="1"/>
  <c r="EE7" i="6" a="1"/>
  <c r="EE7" i="6" s="1"/>
  <c r="EF7" i="6" a="1"/>
  <c r="EF7" i="6" s="1"/>
  <c r="EG7" i="6" a="1"/>
  <c r="EG7" i="6" s="1"/>
  <c r="E9" i="9"/>
  <c r="E8" i="9"/>
  <c r="DC7" i="6" a="1"/>
  <c r="DC7" i="6" s="1"/>
  <c r="I45" i="1" s="1"/>
  <c r="E7" i="6" a="1"/>
  <c r="E7" i="6" s="1"/>
  <c r="I11" i="1" s="1"/>
  <c r="Z7" i="6" a="1"/>
  <c r="Z7" i="6" s="1"/>
  <c r="I18" i="1" s="1"/>
  <c r="AU7" i="6" a="1"/>
  <c r="AU7" i="6" s="1"/>
  <c r="I25" i="1" s="1"/>
  <c r="CH7" i="6" a="1"/>
  <c r="CH7" i="6" s="1"/>
  <c r="I38" i="1" s="1"/>
  <c r="CW7" i="6" a="1"/>
  <c r="CW7" i="6" s="1"/>
  <c r="I43" i="1" s="1"/>
  <c r="DG7" i="6" a="1"/>
  <c r="DG7" i="6" s="1"/>
  <c r="J46" i="1" s="1"/>
  <c r="DO7" i="6" a="1"/>
  <c r="DO7" i="6" s="1"/>
  <c r="I49" i="1" s="1"/>
  <c r="R7" i="6" a="1"/>
  <c r="R7" i="6" s="1"/>
  <c r="J15" i="1" s="1"/>
  <c r="AL7" i="6" a="1"/>
  <c r="AL7" i="6" s="1"/>
  <c r="I22" i="1" s="1"/>
  <c r="AV7" i="6" a="1"/>
  <c r="AV7" i="6" s="1"/>
  <c r="J25" i="1" s="1"/>
  <c r="BP7" i="6" a="1"/>
  <c r="BP7" i="6" s="1"/>
  <c r="I32" i="1" s="1"/>
  <c r="CB7" i="6" a="1"/>
  <c r="CB7" i="6" s="1"/>
  <c r="I36" i="1" s="1"/>
  <c r="T7" i="6" a="1"/>
  <c r="T7" i="6" s="1"/>
  <c r="I16" i="1" s="1"/>
  <c r="AX7" i="6" a="1"/>
  <c r="AX7" i="6" s="1"/>
  <c r="I26" i="1" s="1"/>
  <c r="I7" i="6" a="1"/>
  <c r="I7" i="6" s="1"/>
  <c r="J12" i="1" s="1"/>
  <c r="AO7" i="6" a="1"/>
  <c r="AO7" i="6" s="1"/>
  <c r="I23" i="1" s="1"/>
  <c r="BJ7" i="6" a="1"/>
  <c r="BJ7" i="6" s="1"/>
  <c r="I30" i="1" s="1"/>
  <c r="BV7" i="6" a="1"/>
  <c r="BV7" i="6" s="1"/>
  <c r="I34" i="1" s="1"/>
  <c r="DI7" i="6" a="1"/>
  <c r="DI7" i="6" s="1"/>
  <c r="I47" i="1" s="1"/>
  <c r="K7" i="6" a="1"/>
  <c r="K7" i="6" s="1"/>
  <c r="I13" i="1" s="1"/>
  <c r="AD7" i="6" a="1"/>
  <c r="AD7" i="6" s="1"/>
  <c r="J19" i="1" s="1"/>
  <c r="BQ7" i="6" a="1"/>
  <c r="BQ7" i="6" s="1"/>
  <c r="J32" i="1" s="1"/>
  <c r="CF7" i="6" a="1"/>
  <c r="CF7" i="6" s="1"/>
  <c r="J37" i="1" s="1"/>
  <c r="CQ7" i="6" a="1"/>
  <c r="CQ7" i="6" s="1"/>
  <c r="I41" i="1" s="1"/>
  <c r="CX7" i="6" a="1"/>
  <c r="CX7" i="6" s="1"/>
  <c r="J43" i="1" s="1"/>
  <c r="DA7" i="6" a="1"/>
  <c r="DA7" i="6" s="1"/>
  <c r="J44" i="1" s="1"/>
  <c r="DM7" i="6" a="1"/>
  <c r="DM7" i="6" s="1"/>
  <c r="J48" i="1" s="1"/>
  <c r="DR7" i="6" a="1"/>
  <c r="DR7" i="6" s="1"/>
  <c r="I50" i="1" s="1"/>
  <c r="L7" i="6" a="1"/>
  <c r="L7" i="6" s="1"/>
  <c r="J13" i="1" s="1"/>
  <c r="AF7" i="6" a="1"/>
  <c r="AF7" i="6" s="1"/>
  <c r="I20" i="1" s="1"/>
  <c r="AP7" i="6" a="1"/>
  <c r="AP7" i="6" s="1"/>
  <c r="J23" i="1" s="1"/>
  <c r="BA7" i="6" a="1"/>
  <c r="BA7" i="6" s="1"/>
  <c r="I27" i="1" s="1"/>
  <c r="BM7" i="6" a="1"/>
  <c r="BM7" i="6" s="1"/>
  <c r="I31" i="1" s="1"/>
  <c r="CC7" i="6" a="1"/>
  <c r="CC7" i="6" s="1"/>
  <c r="J36" i="1" s="1"/>
  <c r="CU7" i="6" a="1"/>
  <c r="CU7" i="6" s="1"/>
  <c r="J42" i="1" s="1"/>
  <c r="DF7" i="6" a="1"/>
  <c r="DF7" i="6" s="1"/>
  <c r="I46" i="1" s="1"/>
  <c r="DJ7" i="6" a="1"/>
  <c r="DJ7" i="6" s="1"/>
  <c r="J47" i="1" s="1"/>
  <c r="N7" i="6" a="1"/>
  <c r="N7" i="6" s="1"/>
  <c r="I14" i="1" s="1"/>
  <c r="X7" i="6" a="1"/>
  <c r="X7" i="6" s="1"/>
  <c r="J17" i="1" s="1"/>
  <c r="AG7" i="6" a="1"/>
  <c r="AG7" i="6" s="1"/>
  <c r="J20" i="1" s="1"/>
  <c r="AR7" i="6" a="1"/>
  <c r="AR7" i="6" s="1"/>
  <c r="I24" i="1" s="1"/>
  <c r="BB7" i="6" a="1"/>
  <c r="BB7" i="6" s="1"/>
  <c r="J27" i="1" s="1"/>
  <c r="BN7" i="6" a="1"/>
  <c r="BN7" i="6" s="1"/>
  <c r="J31" i="1" s="1"/>
  <c r="BS7" i="6" a="1"/>
  <c r="BS7" i="6" s="1"/>
  <c r="I33" i="1" s="1"/>
  <c r="BZ7" i="6" a="1"/>
  <c r="BZ7" i="6" s="1"/>
  <c r="J35" i="1" s="1"/>
  <c r="CN7" i="6" a="1"/>
  <c r="CN7" i="6" s="1"/>
  <c r="I40" i="1" s="1"/>
  <c r="CR7" i="6" a="1"/>
  <c r="CR7" i="6" s="1"/>
  <c r="J41" i="1" s="1"/>
  <c r="DS7" i="6" a="1"/>
  <c r="DS7" i="6" s="1"/>
  <c r="J50" i="1" s="1"/>
  <c r="Q7" i="6" a="1"/>
  <c r="Q7" i="6" s="1"/>
  <c r="I15" i="1" s="1"/>
  <c r="AJ7" i="6" a="1"/>
  <c r="AJ7" i="6" s="1"/>
  <c r="J21" i="1" s="1"/>
  <c r="BE7" i="6" a="1"/>
  <c r="BE7" i="6" s="1"/>
  <c r="J28" i="1" s="1"/>
  <c r="F7" i="6" a="1"/>
  <c r="F7" i="6" s="1"/>
  <c r="J11" i="1" s="1"/>
  <c r="AA7" i="6" a="1"/>
  <c r="AA7" i="6" s="1"/>
  <c r="J18" i="1" s="1"/>
  <c r="BG7" i="6" a="1"/>
  <c r="BG7" i="6" s="1"/>
  <c r="I29" i="1" s="1"/>
  <c r="BT7" i="6" a="1"/>
  <c r="BT7" i="6" s="1"/>
  <c r="J33" i="1" s="1"/>
  <c r="CE7" i="6" a="1"/>
  <c r="CE7" i="6" s="1"/>
  <c r="I37" i="1" s="1"/>
  <c r="CO7" i="6" a="1"/>
  <c r="CO7" i="6" s="1"/>
  <c r="J40" i="1" s="1"/>
  <c r="CZ7" i="6" a="1"/>
  <c r="CZ7" i="6" s="1"/>
  <c r="DD7" i="6" a="1"/>
  <c r="DD7" i="6" s="1"/>
  <c r="J45" i="1" s="1"/>
  <c r="DL7" i="6" a="1"/>
  <c r="DL7" i="6" s="1"/>
  <c r="I48" i="1" s="1"/>
  <c r="H7" i="6" a="1"/>
  <c r="H7" i="6" s="1"/>
  <c r="I12" i="1" s="1"/>
  <c r="AC7" i="6" a="1"/>
  <c r="AC7" i="6" s="1"/>
  <c r="I19" i="1" s="1"/>
  <c r="AM7" i="6" a="1"/>
  <c r="AM7" i="6" s="1"/>
  <c r="J22" i="1" s="1"/>
  <c r="BH7" i="6" a="1"/>
  <c r="BH7" i="6" s="1"/>
  <c r="J29" i="1" s="1"/>
  <c r="CL7" i="6" a="1"/>
  <c r="CL7" i="6" s="1"/>
  <c r="J39" i="1" s="1"/>
  <c r="CT7" i="6" a="1"/>
  <c r="CT7" i="6" s="1"/>
  <c r="I42" i="1" s="1"/>
  <c r="DP7" i="6" a="1"/>
  <c r="DP7" i="6" s="1"/>
  <c r="J49" i="1" s="1"/>
  <c r="U7" i="6" a="1"/>
  <c r="U7" i="6" s="1"/>
  <c r="J16" i="1" s="1"/>
  <c r="AY7" i="6" a="1"/>
  <c r="AY7" i="6" s="1"/>
  <c r="J26" i="1" s="1"/>
  <c r="BY7" i="6" a="1"/>
  <c r="BY7" i="6" s="1"/>
  <c r="I35" i="1" s="1"/>
  <c r="CI7" i="6" a="1"/>
  <c r="CI7" i="6" s="1"/>
  <c r="J38" i="1" s="1"/>
  <c r="W7" i="6" a="1"/>
  <c r="W7" i="6" s="1"/>
  <c r="I17" i="1" s="1"/>
  <c r="BK7" i="6" a="1"/>
  <c r="BK7" i="6" s="1"/>
  <c r="J30" i="1" s="1"/>
  <c r="O7" i="6" a="1"/>
  <c r="O7" i="6" s="1"/>
  <c r="J14" i="1" s="1"/>
  <c r="AI7" i="6" a="1"/>
  <c r="AI7" i="6" s="1"/>
  <c r="I21" i="1" s="1"/>
  <c r="AS7" i="6" a="1"/>
  <c r="AS7" i="6" s="1"/>
  <c r="J24" i="1" s="1"/>
  <c r="BD7" i="6" a="1"/>
  <c r="BD7" i="6" s="1"/>
  <c r="I28" i="1" s="1"/>
  <c r="BW7" i="6" a="1"/>
  <c r="BW7" i="6" s="1"/>
  <c r="J34" i="1" s="1"/>
  <c r="CK7" i="6" a="1"/>
  <c r="CK7" i="6" s="1"/>
  <c r="I39" i="1" s="1"/>
  <c r="K48" i="1" l="1"/>
  <c r="G48" i="1" s="1"/>
  <c r="K27" i="1"/>
  <c r="G27" i="1" s="1"/>
  <c r="K29" i="1"/>
  <c r="G29" i="1" s="1"/>
  <c r="K15" i="1"/>
  <c r="K19" i="1"/>
  <c r="G19" i="1" s="1"/>
  <c r="K14" i="1"/>
  <c r="G14" i="1" s="1"/>
  <c r="K50" i="1"/>
  <c r="G50" i="1" s="1"/>
  <c r="K13" i="1"/>
  <c r="G13" i="1" s="1"/>
  <c r="K20" i="1"/>
  <c r="G20" i="1" s="1"/>
  <c r="K34" i="1"/>
  <c r="G34" i="1" s="1"/>
  <c r="K28" i="1"/>
  <c r="G28" i="1" s="1"/>
  <c r="K32" i="1"/>
  <c r="G32" i="1" s="1"/>
  <c r="K33" i="1"/>
  <c r="G33" i="1" s="1"/>
  <c r="K22" i="1"/>
  <c r="G22" i="1" s="1"/>
  <c r="K17" i="1"/>
  <c r="G17" i="1" s="1"/>
  <c r="K36" i="1"/>
  <c r="G36" i="1" s="1"/>
  <c r="K23" i="1"/>
  <c r="G23" i="1" s="1"/>
  <c r="K47" i="1"/>
  <c r="G47" i="1" s="1"/>
  <c r="K31" i="1"/>
  <c r="G31" i="1" s="1"/>
  <c r="K43" i="1"/>
  <c r="G43" i="1" s="1"/>
  <c r="K30" i="1"/>
  <c r="G30" i="1" s="1"/>
  <c r="K40" i="1"/>
  <c r="G40" i="1" s="1"/>
  <c r="K49" i="1"/>
  <c r="G49" i="1" s="1"/>
  <c r="K44" i="1"/>
  <c r="K38" i="1"/>
  <c r="G38" i="1" s="1"/>
  <c r="K41" i="1"/>
  <c r="G41" i="1" s="1"/>
  <c r="K21" i="1"/>
  <c r="G21" i="1" s="1"/>
  <c r="K39" i="1"/>
  <c r="G39" i="1" s="1"/>
  <c r="K42" i="1"/>
  <c r="G42" i="1" s="1"/>
  <c r="K46" i="1"/>
  <c r="G46" i="1" s="1"/>
  <c r="K25" i="1"/>
  <c r="G25" i="1" s="1"/>
  <c r="K35" i="1"/>
  <c r="G35" i="1" s="1"/>
  <c r="K37" i="1"/>
  <c r="G37" i="1" s="1"/>
  <c r="K12" i="1"/>
  <c r="G12" i="1" s="1"/>
  <c r="K26" i="1"/>
  <c r="G26" i="1" s="1"/>
  <c r="K45" i="1"/>
  <c r="G45" i="1" s="1"/>
  <c r="K16" i="1"/>
  <c r="G16" i="1" s="1"/>
  <c r="K18" i="1"/>
  <c r="G18" i="1" s="1"/>
  <c r="K24" i="1"/>
  <c r="G24" i="1" s="1"/>
  <c r="G15" i="1"/>
  <c r="K11" i="1"/>
  <c r="G11" i="1" s="1"/>
  <c r="CY7" i="6" a="1"/>
  <c r="CY7" i="6" s="1"/>
  <c r="I44" i="1"/>
  <c r="DB7" i="6" a="1"/>
  <c r="DB7" i="6" s="1"/>
  <c r="BI7" i="6" a="1"/>
  <c r="BI7" i="6" s="1"/>
  <c r="D7" i="6" a="1"/>
  <c r="D7" i="6" s="1"/>
  <c r="DK7" i="6" a="1"/>
  <c r="DK7" i="6" s="1"/>
  <c r="Y7" i="6" a="1"/>
  <c r="Y7" i="6" s="1"/>
  <c r="BC7" i="6" a="1"/>
  <c r="BC7" i="6" s="1"/>
  <c r="DQ7" i="6" a="1"/>
  <c r="DQ7" i="6" s="1"/>
  <c r="DH7" i="6" a="1"/>
  <c r="DH7" i="6" s="1"/>
  <c r="V7" i="6" a="1"/>
  <c r="V7" i="6" s="1"/>
  <c r="CD7" i="6" a="1"/>
  <c r="CD7" i="6" s="1"/>
  <c r="AN7" i="6" a="1"/>
  <c r="AN7" i="6" s="1"/>
  <c r="AT7" i="6" a="1"/>
  <c r="AT7" i="6" s="1"/>
  <c r="BL7" i="6" a="1"/>
  <c r="BL7" i="6" s="1"/>
  <c r="AZ7" i="6" a="1"/>
  <c r="AZ7" i="6" s="1"/>
  <c r="BX7" i="6" a="1"/>
  <c r="BX7" i="6" s="1"/>
  <c r="AB7" i="6" a="1"/>
  <c r="AB7" i="6" s="1"/>
  <c r="M7" i="6" a="1"/>
  <c r="M7" i="6" s="1"/>
  <c r="AW7" i="6" a="1"/>
  <c r="AW7" i="6" s="1"/>
  <c r="P7" i="6" a="1"/>
  <c r="P7" i="6" s="1"/>
  <c r="AH7" i="6" a="1"/>
  <c r="AH7" i="6" s="1"/>
  <c r="CJ7" i="6" a="1"/>
  <c r="CJ7" i="6" s="1"/>
  <c r="AK7" i="6" a="1"/>
  <c r="AK7" i="6" s="1"/>
  <c r="CM7" i="6" a="1"/>
  <c r="CM7" i="6" s="1"/>
  <c r="AQ7" i="6" a="1"/>
  <c r="AQ7" i="6" s="1"/>
  <c r="S7" i="6" a="1"/>
  <c r="S7" i="6" s="1"/>
  <c r="CS7" i="6" a="1"/>
  <c r="CS7" i="6" s="1"/>
  <c r="G7" i="6" a="1"/>
  <c r="G7" i="6" s="1"/>
  <c r="BF7" i="6" a="1"/>
  <c r="BF7" i="6" s="1"/>
  <c r="AE7" i="6" a="1"/>
  <c r="AE7" i="6" s="1"/>
  <c r="J7" i="6" a="1"/>
  <c r="J7" i="6" s="1"/>
  <c r="CP7" i="6" a="1"/>
  <c r="CP7" i="6" s="1"/>
  <c r="DE7" i="6" a="1"/>
  <c r="DE7" i="6" s="1"/>
  <c r="BO7" i="6" a="1"/>
  <c r="BO7" i="6" s="1"/>
  <c r="BR7" i="6" a="1"/>
  <c r="BR7" i="6" s="1"/>
  <c r="CG7" i="6" a="1"/>
  <c r="CG7" i="6" s="1"/>
  <c r="DN7" i="6" a="1"/>
  <c r="DN7" i="6" s="1"/>
  <c r="CA7" i="6" a="1"/>
  <c r="CA7" i="6" s="1"/>
  <c r="BU7" i="6" a="1"/>
  <c r="BU7" i="6" s="1"/>
  <c r="CV7" i="6" a="1"/>
  <c r="CV7" i="6" s="1"/>
  <c r="B2" i="6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  <c r="B2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<sst xmlns="http://schemas.openxmlformats.org/spreadsheetml/2006/main" count="694" uniqueCount="469">
  <si>
    <t>序号</t>
  </si>
  <si>
    <t>性别</t>
  </si>
  <si>
    <t>电话</t>
  </si>
  <si>
    <t>唯一识别码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</si>
  <si>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</si>
  <si>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</si>
  <si>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</si>
  <si>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</si>
  <si>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</si>
  <si>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</si>
  <si>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</si>
  <si>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</si>
  <si>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名称</t>
  </si>
  <si>
    <t>第一步</t>
  </si>
  <si>
    <t>第二步</t>
  </si>
  <si>
    <t>第三步</t>
  </si>
  <si>
    <t>第四步</t>
  </si>
  <si>
    <t xml:space="preserve">   获得帮助和支持</t>
  </si>
  <si>
    <t>Yi</t>
  </si>
  <si>
    <t>官方网站</t>
  </si>
  <si>
    <t>作者</t>
  </si>
  <si>
    <t>年龄</t>
  </si>
  <si>
    <t>身份证号码</t>
  </si>
  <si>
    <t>Email</t>
  </si>
  <si>
    <t>家庭住址</t>
  </si>
  <si>
    <t>第五步</t>
  </si>
  <si>
    <t>员工</t>
  </si>
  <si>
    <t>姓氏</t>
  </si>
  <si>
    <t>名字</t>
  </si>
  <si>
    <t>员工姓名</t>
  </si>
  <si>
    <t>员工电话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</si>
  <si>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</si>
  <si>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</si>
  <si>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</si>
  <si>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</si>
  <si>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</si>
  <si>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</si>
  <si>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</si>
  <si>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</si>
  <si>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</si>
  <si>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</si>
  <si>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商品名称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</si>
  <si>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</si>
  <si>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</si>
  <si>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</si>
  <si>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</si>
  <si>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</si>
  <si>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</si>
  <si>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</si>
  <si>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</si>
  <si>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</si>
  <si>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</si>
  <si>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</si>
  <si>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</si>
  <si>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</si>
  <si>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</si>
  <si>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</si>
  <si>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</si>
  <si>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3 - 剩余</t>
  </si>
  <si>
    <t>4 - 剩余</t>
  </si>
  <si>
    <t>5 - 剩余</t>
  </si>
  <si>
    <t>6 - 剩余</t>
  </si>
  <si>
    <t>7 - 剩余</t>
  </si>
  <si>
    <t>8 - 剩余</t>
  </si>
  <si>
    <t>9 - 剩余</t>
  </si>
  <si>
    <t>10 - 剩余</t>
  </si>
  <si>
    <t>11 - 剩余</t>
  </si>
  <si>
    <t>12 - 剩余</t>
  </si>
  <si>
    <t>6 - 支取</t>
  </si>
  <si>
    <t>1</t>
  </si>
  <si>
    <t>2</t>
  </si>
  <si>
    <t>2 - 剩余</t>
  </si>
  <si>
    <t>编辑基本信息</t>
  </si>
  <si>
    <t>添加会员时间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</si>
  <si>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</si>
  <si>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</si>
  <si>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</si>
  <si>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</si>
  <si>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</si>
  <si>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</si>
  <si>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</si>
  <si>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设置</t>
  </si>
  <si>
    <t>新增方案</t>
  </si>
  <si>
    <t>基本信息</t>
  </si>
  <si>
    <t>错误信息</t>
  </si>
  <si>
    <t>编辑联系方式</t>
  </si>
  <si>
    <t>联系方式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</si>
  <si>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</si>
  <si>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</si>
  <si>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</si>
  <si>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</si>
  <si>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</si>
  <si>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</si>
  <si>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</si>
  <si>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</si>
  <si>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</si>
  <si>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剩余</t>
  </si>
  <si>
    <t>13 - 存入</t>
  </si>
  <si>
    <t>14 - 支取</t>
  </si>
  <si>
    <t>14 - 存入</t>
  </si>
  <si>
    <t>14 - 剩余</t>
  </si>
  <si>
    <t>16 - 存入</t>
  </si>
  <si>
    <t>16 - 剩余</t>
  </si>
  <si>
    <t>15 - 支取</t>
  </si>
  <si>
    <t>16 - 支取</t>
  </si>
  <si>
    <t>15 - 存入</t>
  </si>
  <si>
    <t>15 - 剩余</t>
  </si>
  <si>
    <t>17 - 支取</t>
  </si>
  <si>
    <t>17 - 存入</t>
  </si>
  <si>
    <t>17 - 剩余</t>
  </si>
  <si>
    <t>18 - 剩余</t>
  </si>
  <si>
    <t>18 - 存入</t>
  </si>
  <si>
    <t>18 - 支取</t>
  </si>
  <si>
    <t>19 - 剩余</t>
  </si>
  <si>
    <t>19 - 存入</t>
  </si>
  <si>
    <t>19 - 支取</t>
  </si>
  <si>
    <t>20 - 剩余</t>
  </si>
  <si>
    <t>20 - 存入</t>
  </si>
  <si>
    <t>20 - 支取</t>
  </si>
  <si>
    <t>会员</t>
  </si>
  <si>
    <t>版本</t>
  </si>
  <si>
    <t>1 - 剩余</t>
  </si>
  <si>
    <t>首选员工</t>
  </si>
  <si>
    <t>是</t>
  </si>
  <si>
    <t>否</t>
  </si>
  <si>
    <t>项目地址</t>
  </si>
  <si>
    <t>https://github.com/ilikeyi/Office</t>
  </si>
  <si>
    <t>Https://fengyi.tel</t>
  </si>
  <si>
    <t>历史记录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</si>
  <si>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</si>
  <si>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</si>
  <si>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</si>
  <si>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</si>
  <si>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</si>
  <si>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</si>
  <si>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</si>
  <si>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</si>
  <si>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</si>
  <si>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</si>
  <si>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</si>
  <si>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</si>
  <si>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</si>
  <si>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</si>
  <si>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</si>
  <si>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</si>
  <si>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</si>
  <si>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</si>
  <si>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</si>
  <si>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</si>
  <si>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</si>
  <si>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剩余</t>
  </si>
  <si>
    <t>21 - 存入</t>
  </si>
  <si>
    <t>22 - 剩余</t>
  </si>
  <si>
    <t>22 - 存入</t>
  </si>
  <si>
    <t>22 - 支取</t>
  </si>
  <si>
    <t>23 - 剩余</t>
  </si>
  <si>
    <t>23 - 存入</t>
  </si>
  <si>
    <t>23 - 支取</t>
  </si>
  <si>
    <t>24 - 剩余</t>
  </si>
  <si>
    <t>24 - 存入</t>
  </si>
  <si>
    <t>24 - 支取</t>
  </si>
  <si>
    <t>25 - 剩余</t>
  </si>
  <si>
    <t>25 - 存入</t>
  </si>
  <si>
    <t>25 - 支取</t>
  </si>
  <si>
    <t>26 - 剩余</t>
  </si>
  <si>
    <t>26 - 存入</t>
  </si>
  <si>
    <t>26 - 支取</t>
  </si>
  <si>
    <t>27 - 剩余</t>
  </si>
  <si>
    <t>27 - 存入</t>
  </si>
  <si>
    <t>27 - 支取</t>
  </si>
  <si>
    <t>28 - 剩余</t>
  </si>
  <si>
    <t>28 - 存入</t>
  </si>
  <si>
    <t>28 - 支取</t>
  </si>
  <si>
    <t>29 - 剩余</t>
  </si>
  <si>
    <t>29 - 存入</t>
  </si>
  <si>
    <t>29 - 支取</t>
  </si>
  <si>
    <t>30 - 剩余</t>
  </si>
  <si>
    <t>30 - 存入</t>
  </si>
  <si>
    <t>30 - 支取</t>
  </si>
  <si>
    <t>31 - 剩余</t>
  </si>
  <si>
    <t>31 - 存入</t>
  </si>
  <si>
    <t>31 - 支取</t>
  </si>
  <si>
    <t>32 - 剩余</t>
  </si>
  <si>
    <t>32 - 存入</t>
  </si>
  <si>
    <t>32 - 支取</t>
  </si>
  <si>
    <t>33 - 剩余</t>
  </si>
  <si>
    <t>33 - 存入</t>
  </si>
  <si>
    <t>33 - 支取</t>
  </si>
  <si>
    <t>34 - 剩余</t>
  </si>
  <si>
    <t>34 - 存入</t>
  </si>
  <si>
    <t>34 - 支取</t>
  </si>
  <si>
    <t>35 - 剩余</t>
  </si>
  <si>
    <t>35 - 存入</t>
  </si>
  <si>
    <t>35 - 支取</t>
  </si>
  <si>
    <t>36 - 剩余</t>
  </si>
  <si>
    <t>36 - 存入</t>
  </si>
  <si>
    <t>36 - 支取</t>
  </si>
  <si>
    <t>37 - 支取</t>
  </si>
  <si>
    <t>37 - 剩余</t>
  </si>
  <si>
    <t>37 - 存入</t>
  </si>
  <si>
    <t>38 - 剩余</t>
  </si>
  <si>
    <t>38 - 存入</t>
  </si>
  <si>
    <t>38 - 支取</t>
  </si>
  <si>
    <t>39 - 剩余</t>
  </si>
  <si>
    <t>39 - 存入</t>
  </si>
  <si>
    <t>39 - 支取</t>
  </si>
  <si>
    <t>40 - 剩余</t>
  </si>
  <si>
    <t>40 - 存入</t>
  </si>
  <si>
    <t>40 - 支取</t>
  </si>
  <si>
    <t>商品详细</t>
  </si>
  <si>
    <t>第六步</t>
  </si>
  <si>
    <t>取货</t>
  </si>
  <si>
    <t>数量</t>
  </si>
  <si>
    <t>库存负差</t>
  </si>
  <si>
    <t>商品序号</t>
  </si>
  <si>
    <t>用户存取统计</t>
  </si>
  <si>
    <t>取货小计</t>
  </si>
  <si>
    <t>单位</t>
  </si>
  <si>
    <t>瓶</t>
  </si>
  <si>
    <t>个</t>
  </si>
  <si>
    <t>只</t>
  </si>
  <si>
    <t>冯</t>
  </si>
  <si>
    <t>毅</t>
  </si>
  <si>
    <t>添加</t>
  </si>
  <si>
    <t>存取负差</t>
  </si>
  <si>
    <t>入库</t>
  </si>
  <si>
    <t>入库、取货统计</t>
  </si>
  <si>
    <t>入库小计</t>
  </si>
  <si>
    <t>初始店铺名称、商品、员工、单位等。</t>
  </si>
  <si>
    <t>已存入</t>
  </si>
  <si>
    <t>已支取</t>
  </si>
  <si>
    <t>第七步</t>
  </si>
  <si>
    <t>件</t>
  </si>
  <si>
    <t>套</t>
  </si>
  <si>
    <t>包</t>
  </si>
  <si>
    <t>盒</t>
  </si>
  <si>
    <t>* 连招功能：启用“允许新增存入”后，通过了新增会员时验证项后，将插入一条新的历史记录存入。</t>
  </si>
  <si>
    <t>775159955@qq.com</t>
  </si>
  <si>
    <t>第八步</t>
  </si>
  <si>
    <t>* 新增入库取货，必须填单位</t>
  </si>
  <si>
    <t>创建者</t>
  </si>
  <si>
    <t>编辑创建时间和创建者</t>
  </si>
  <si>
    <t>负差</t>
  </si>
  <si>
    <t>统计</t>
  </si>
  <si>
    <t>李</t>
  </si>
  <si>
    <t>怡</t>
  </si>
  <si>
    <t>冯毅</t>
  </si>
  <si>
    <t>李怡</t>
  </si>
  <si>
    <t>1 | 1</t>
  </si>
  <si>
    <t>9955</t>
  </si>
  <si>
    <t>7551</t>
  </si>
  <si>
    <t>添加会员后允许
新增历史记录存入</t>
  </si>
  <si>
    <t>入库 | 存货</t>
  </si>
  <si>
    <t>新增入库取货
必须填单位</t>
  </si>
  <si>
    <t>添加会员时必须填</t>
  </si>
  <si>
    <t>入库取货</t>
  </si>
  <si>
    <t>打开工作表后允许
锁定会员详细信息</t>
  </si>
  <si>
    <t>添加会员后允许
锁定会员详细信息</t>
  </si>
  <si>
    <t>打开工作表后允许
锁定入库取货</t>
  </si>
  <si>
    <t>添加入库取货后允许
锁定入库取货</t>
  </si>
  <si>
    <t>* 添加入库取货后，自动锁定“入库取货”表，锁定后无密码</t>
  </si>
  <si>
    <t>* 添加会员后，自动锁定“会员详细信息”表，锁定后无密码</t>
  </si>
  <si>
    <t>打开工作表后，自动锁定“会员详细信息”表，锁定后无密码</t>
  </si>
  <si>
    <t>打开工作表后，自动锁定“入库取货”表，锁定后无密码</t>
  </si>
  <si>
    <t>关联历史记录</t>
  </si>
  <si>
    <t>已关联存入</t>
  </si>
  <si>
    <t>已关联支取</t>
  </si>
  <si>
    <t>总共已关联</t>
  </si>
  <si>
    <t>冯毅 | 9955</t>
  </si>
  <si>
    <t>自动隐藏功能</t>
  </si>
  <si>
    <t>隐藏存入</t>
  </si>
  <si>
    <t>隐藏支取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</si>
  <si>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</si>
  <si>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</si>
  <si>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</si>
  <si>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</si>
  <si>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</si>
  <si>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</si>
  <si>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</si>
  <si>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</si>
  <si>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</si>
  <si>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</si>
  <si>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</si>
  <si>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</si>
  <si>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</si>
  <si>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</si>
  <si>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</si>
  <si>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</si>
  <si>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</si>
  <si>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</si>
  <si>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</si>
  <si>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</si>
  <si>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</si>
  <si>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</si>
  <si>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</si>
  <si>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AQ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</si>
  <si>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</si>
  <si>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</si>
  <si>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</si>
  <si>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</si>
  <si>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</si>
  <si>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</si>
  <si>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</si>
  <si>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</si>
  <si>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</si>
  <si>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</si>
  <si>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</si>
  <si>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</si>
  <si>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</si>
  <si>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</si>
  <si>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AA</t>
  </si>
  <si>
    <t>AB</t>
  </si>
  <si>
    <t>D:F</t>
  </si>
  <si>
    <t>G:I</t>
  </si>
  <si>
    <t>J:L</t>
  </si>
  <si>
    <t>M:O</t>
  </si>
  <si>
    <t>P:R</t>
  </si>
  <si>
    <t>S:U</t>
  </si>
  <si>
    <t>V:X</t>
  </si>
  <si>
    <t>Y:AA</t>
  </si>
  <si>
    <t>AB:AD</t>
  </si>
  <si>
    <t>AE:AG</t>
  </si>
  <si>
    <t>AH:AJ</t>
  </si>
  <si>
    <t>AK:AM</t>
  </si>
  <si>
    <t>AN:AP</t>
  </si>
  <si>
    <t>AQ:AS</t>
  </si>
  <si>
    <t>AW:AY</t>
  </si>
  <si>
    <t>AZ:BB</t>
  </si>
  <si>
    <t>BC:BE</t>
  </si>
  <si>
    <t>BF:BH</t>
  </si>
  <si>
    <t>BI:BK</t>
  </si>
  <si>
    <t>BL:BN</t>
  </si>
  <si>
    <t>BO:BQ</t>
  </si>
  <si>
    <t>BR:BT</t>
  </si>
  <si>
    <t>BU:BW</t>
  </si>
  <si>
    <t>BX:BZ</t>
  </si>
  <si>
    <t>CA:CC</t>
  </si>
  <si>
    <t>CD:CF</t>
  </si>
  <si>
    <t>CG:CI</t>
  </si>
  <si>
    <t>CJ:CL</t>
  </si>
  <si>
    <t>CM:CO</t>
  </si>
  <si>
    <t>CP:CR</t>
  </si>
  <si>
    <t>CS:CU</t>
  </si>
  <si>
    <t>CV:CX</t>
  </si>
  <si>
    <t>CY:DA</t>
  </si>
  <si>
    <t>DB:DD</t>
  </si>
  <si>
    <t>DE:DG</t>
  </si>
  <si>
    <t>DH:DJ</t>
  </si>
  <si>
    <t>DK:DM</t>
  </si>
  <si>
    <t>DN:DP</t>
  </si>
  <si>
    <t>DQ:DS</t>
  </si>
  <si>
    <t>AR</t>
  </si>
  <si>
    <t>AS</t>
  </si>
  <si>
    <t>AU</t>
  </si>
  <si>
    <t>AV</t>
  </si>
  <si>
    <t>AX</t>
  </si>
  <si>
    <t>AY</t>
  </si>
  <si>
    <t>BA</t>
  </si>
  <si>
    <t>BB</t>
  </si>
  <si>
    <t>BD</t>
  </si>
  <si>
    <t>BE</t>
  </si>
  <si>
    <t>BG</t>
  </si>
  <si>
    <t>BH</t>
  </si>
  <si>
    <t>BJ</t>
  </si>
  <si>
    <t>BK</t>
  </si>
  <si>
    <t>BM</t>
  </si>
  <si>
    <t>BN</t>
  </si>
  <si>
    <t>BP</t>
  </si>
  <si>
    <t>BQ</t>
  </si>
  <si>
    <t>BS</t>
  </si>
  <si>
    <t>BT</t>
  </si>
  <si>
    <t>BV</t>
  </si>
  <si>
    <t>BW</t>
  </si>
  <si>
    <t>BY</t>
  </si>
  <si>
    <t>BZ</t>
  </si>
  <si>
    <t>CB</t>
  </si>
  <si>
    <t>CC</t>
  </si>
  <si>
    <t>CE</t>
  </si>
  <si>
    <t>CF</t>
  </si>
  <si>
    <t>CH</t>
  </si>
  <si>
    <t>CI</t>
  </si>
  <si>
    <t>CK</t>
  </si>
  <si>
    <t>CL</t>
  </si>
  <si>
    <t>CN</t>
  </si>
  <si>
    <t>CO</t>
  </si>
  <si>
    <t>CQ</t>
  </si>
  <si>
    <t>CR</t>
  </si>
  <si>
    <t>CT</t>
  </si>
  <si>
    <t>CU</t>
  </si>
  <si>
    <t>CW</t>
  </si>
  <si>
    <t>CX</t>
  </si>
  <si>
    <t>CZ</t>
  </si>
  <si>
    <t>DA</t>
  </si>
  <si>
    <t>DC</t>
  </si>
  <si>
    <t>DD</t>
  </si>
  <si>
    <t>DF</t>
  </si>
  <si>
    <t>DG</t>
  </si>
  <si>
    <t>DI</t>
  </si>
  <si>
    <t>DJ</t>
  </si>
  <si>
    <t>DL</t>
  </si>
  <si>
    <t>DM</t>
  </si>
  <si>
    <t>DO</t>
  </si>
  <si>
    <t>DP</t>
  </si>
  <si>
    <t>DR</t>
  </si>
  <si>
    <t>DS</t>
  </si>
  <si>
    <t>AT:AV</t>
  </si>
  <si>
    <t>MemberScope</t>
  </si>
  <si>
    <t>MemberSave</t>
  </si>
  <si>
    <t>MemberEject</t>
  </si>
  <si>
    <t>HostoryScope</t>
  </si>
  <si>
    <t>開發者選項</t>
  </si>
  <si>
    <t>v3</t>
  </si>
  <si>
    <t>添加员工</t>
  </si>
  <si>
    <t>显示</t>
  </si>
  <si>
    <t>* 必填时将强行显示</t>
  </si>
  <si>
    <t>隐藏不常用
会员详细信息</t>
  </si>
  <si>
    <t>隐藏不常用
添加会员</t>
  </si>
  <si>
    <t>编辑其它</t>
  </si>
  <si>
    <t>锁定历史记录</t>
  </si>
  <si>
    <t>* 新增存入、支取后锁定历史记录</t>
  </si>
  <si>
    <t>第九步</t>
  </si>
  <si>
    <t>锁定超时</t>
  </si>
  <si>
    <t>李怡 | 7551</t>
  </si>
  <si>
    <t>状态</t>
  </si>
  <si>
    <t>不可编辑</t>
  </si>
  <si>
    <t>实时动态</t>
  </si>
  <si>
    <t>有一条后可删除</t>
  </si>
  <si>
    <t>语言包</t>
  </si>
  <si>
    <t>群组</t>
  </si>
  <si>
    <t>文本</t>
  </si>
  <si>
    <t>Chk_Yes</t>
  </si>
  <si>
    <t>Chk_No</t>
  </si>
  <si>
    <t>新增入库取货</t>
  </si>
  <si>
    <t>错误：新增历史记录存入前，请选择会员。</t>
  </si>
  <si>
    <t>错误：不能选择唯一识别码。</t>
  </si>
  <si>
    <t>可编辑</t>
  </si>
  <si>
    <t>错误：新增历史记录支取前，请选择会员。</t>
  </si>
  <si>
    <t>不显示</t>
  </si>
  <si>
    <t>未选择唯一识别码</t>
  </si>
  <si>
    <t>未选择类型：入库、取货</t>
  </si>
  <si>
    <t>未输入数量</t>
  </si>
  <si>
    <t>未选择单位</t>
  </si>
  <si>
    <t>未输入姓氏</t>
  </si>
  <si>
    <t>新增会员</t>
  </si>
  <si>
    <t>未输入名字</t>
  </si>
  <si>
    <t>未选择性别</t>
  </si>
  <si>
    <t>未输入身份证</t>
  </si>
  <si>
    <t>未输入年龄</t>
  </si>
  <si>
    <t>未输入电话</t>
  </si>
  <si>
    <t>未输入 Email</t>
  </si>
  <si>
    <t>Email 地址不正确</t>
  </si>
  <si>
    <t>未输入家庭住址</t>
  </si>
  <si>
    <t>未设置唯一识别码</t>
  </si>
  <si>
    <t>电话号码，已存在。</t>
  </si>
  <si>
    <t>唯一识别码，已重复。</t>
  </si>
  <si>
    <t>部分受限</t>
  </si>
  <si>
    <t>会员详细信息</t>
  </si>
  <si>
    <t>备份</t>
  </si>
  <si>
    <t>允许自动备份</t>
  </si>
  <si>
    <t>第十步</t>
  </si>
  <si>
    <t>保存到</t>
  </si>
  <si>
    <t>超过</t>
  </si>
  <si>
    <t>小时后，自动锁定，标记状态为：可编辑、不可编辑、部分受限</t>
  </si>
  <si>
    <t>工作表范围</t>
  </si>
  <si>
    <t>即时状态</t>
  </si>
  <si>
    <t>每隔 1 小时
自动备份</t>
  </si>
  <si>
    <t>打开工作表后
备份</t>
  </si>
  <si>
    <t>关闭工作表后
备份</t>
  </si>
  <si>
    <t>* 允许自动备份后，打开工作表、关闭工作表、每隔1 小时备份功能才生效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</si>
</sst>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\ hh:mm:ss\ AM/PM"/>
  </numFmts>
  <fonts count="13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0"/>
      <color rgb="FF000000"/>
      <name val="等线"/>
      <charset val="134"/>
    </font>
    <font>
      <b/>
      <sz val="10"/>
      <color theme="1"/>
      <name val="等线"/>
      <charset val="134"/>
    </font>
    <font>
      <sz val="10"/>
      <color rgb="FF000000"/>
      <name val="等线"/>
    </font>
  </fonts>
  <fills count="23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07">
    <xf numFmtId="0" fontId="0" fillId="0" borderId="0" xfId="0"/>
    <xf numFmtId="49" fontId="1" fillId="9" borderId="0" xfId="0" applyNumberFormat="1" applyFont="1" applyFill="1" applyAlignment="1" applyProtection="1">
      <alignment horizontal="left" vertical="center" indent="2"/>
      <protection locked="0"/>
    </xf>
    <xf numFmtId="0" fontId="6" fillId="13" borderId="0" xfId="0" applyFont="1" applyFill="1" applyAlignment="1" applyProtection="1">
      <alignment horizontal="left" vertical="center" indent="2"/>
      <protection locked="0"/>
    </xf>
    <xf numFmtId="49" fontId="1" fillId="9" borderId="0" xfId="0" applyNumberFormat="1" applyFont="1" applyFill="1" applyAlignment="1" applyProtection="1">
      <alignment horizontal="left" vertical="center" wrapText="1" indent="2"/>
      <protection locked="0"/>
    </xf>
    <xf numFmtId="0" fontId="5" fillId="4" borderId="0" xfId="0" applyFont="1" applyFill="1" applyAlignment="1" applyProtection="1">
      <alignment horizontal="left" vertical="center"/>
      <protection locked="0"/>
    </xf>
    <xf numFmtId="0" fontId="1" fillId="9" borderId="0" xfId="0" applyFont="1" applyFill="1" applyAlignment="1" applyProtection="1">
      <alignment horizontal="left" vertical="center" indent="2"/>
      <protection locked="0"/>
    </xf>
    <xf numFmtId="0" fontId="1" fillId="9" borderId="0" xfId="0" applyFont="1" applyFill="1" applyAlignment="1" applyProtection="1">
      <alignment horizontal="left" vertical="center" wrapText="1" indent="2"/>
      <protection locked="0"/>
    </xf>
    <xf numFmtId="0" fontId="2" fillId="8" borderId="0" xfId="1" applyFont="1" applyFill="1" applyAlignment="1" applyProtection="1">
      <alignment horizontal="left" vertical="center" indent="1"/>
    </xf>
    <xf numFmtId="0" fontId="2" fillId="8" borderId="0" xfId="1" applyFont="1" applyFill="1" applyAlignment="1" applyProtection="1">
      <alignment vertical="center"/>
    </xf>
    <xf numFmtId="0" fontId="1" fillId="0" borderId="0" xfId="0" applyFont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left" vertical="center"/>
    </xf>
    <xf numFmtId="0" fontId="1" fillId="4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6" fillId="13" borderId="0" xfId="0" applyFont="1" applyFill="1" applyAlignment="1">
      <alignment vertical="center"/>
    </xf>
    <xf numFmtId="0" fontId="1" fillId="6" borderId="0" xfId="0" applyFont="1" applyFill="1" applyAlignment="1">
      <alignment horizontal="right" vertical="center" indent="2"/>
    </xf>
    <xf numFmtId="0" fontId="1" fillId="9" borderId="0" xfId="0" applyFont="1" applyFill="1" applyAlignment="1" applyProtection="1">
      <alignment horizontal="left" vertical="center" indent="1"/>
      <protection locked="0"/>
    </xf>
    <xf numFmtId="0" fontId="1" fillId="16" borderId="0" xfId="0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2" borderId="0" xfId="0" applyFont="1" applyFill="1"/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right" vertical="center" indent="2"/>
    </xf>
    <xf numFmtId="0" fontId="1" fillId="0" borderId="0" xfId="0" applyFont="1" applyAlignment="1">
      <alignment horizontal="left" vertical="center" indent="1"/>
    </xf>
    <xf numFmtId="49" fontId="1" fillId="2" borderId="0" xfId="0" applyNumberFormat="1" applyFont="1" applyFill="1" applyAlignment="1" applyProtection="1">
      <alignment horizontal="center" vertical="center"/>
      <protection locked="0"/>
    </xf>
    <xf numFmtId="49" fontId="2" fillId="0" borderId="0" xfId="0" applyNumberFormat="1" applyFont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left" vertical="center" wrapText="1" indent="1"/>
    </xf>
    <xf numFmtId="0" fontId="1" fillId="2" borderId="0" xfId="0" applyFont="1" applyFill="1" applyAlignment="1" applyProtection="1">
      <alignment horizontal="center" vertical="center" wrapText="1"/>
      <protection locked="0"/>
    </xf>
    <xf numFmtId="49" fontId="1" fillId="0" borderId="0" xfId="0" applyNumberFormat="1" applyFont="1" applyAlignment="1" applyProtection="1">
      <alignment horizontal="center" vertical="center" wrapText="1"/>
      <protection locked="0"/>
    </xf>
    <xf numFmtId="49" fontId="1" fillId="16" borderId="0" xfId="0" applyNumberFormat="1" applyFont="1" applyFill="1" applyAlignment="1" applyProtection="1">
      <alignment horizontal="left" vertical="center" indent="2"/>
      <protection locked="0"/>
    </xf>
    <xf numFmtId="49" fontId="1" fillId="16" borderId="0" xfId="0" applyNumberFormat="1" applyFont="1" applyFill="1" applyAlignment="1" applyProtection="1">
      <alignment horizontal="center" vertical="center" wrapText="1"/>
      <protection locked="0"/>
    </xf>
    <xf numFmtId="49" fontId="1" fillId="16" borderId="0" xfId="0" applyNumberFormat="1" applyFont="1" applyFill="1" applyAlignment="1" applyProtection="1">
      <alignment horizontal="center" vertical="center"/>
      <protection locked="0"/>
    </xf>
    <xf numFmtId="49" fontId="2" fillId="16" borderId="0" xfId="0" applyNumberFormat="1" applyFont="1" applyFill="1" applyAlignment="1" applyProtection="1">
      <alignment horizontal="center" vertical="center"/>
      <protection locked="0"/>
    </xf>
    <xf numFmtId="0" fontId="1" fillId="17" borderId="0" xfId="0" applyFont="1" applyFill="1" applyAlignment="1">
      <alignment horizontal="center" vertical="center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49" fontId="1" fillId="2" borderId="0" xfId="0" applyNumberFormat="1" applyFont="1" applyFill="1" applyAlignment="1" applyProtection="1">
      <alignment horizontal="right" vertical="center" indent="1"/>
      <protection locked="0"/>
    </xf>
    <xf numFmtId="49" fontId="1" fillId="2" borderId="0" xfId="0" applyNumberFormat="1" applyFont="1" applyFill="1" applyAlignment="1" applyProtection="1">
      <alignment horizontal="left" vertical="center" indent="1"/>
      <protection locked="0"/>
    </xf>
    <xf numFmtId="0" fontId="1" fillId="19" borderId="0" xfId="0" applyFont="1" applyFill="1" applyAlignment="1">
      <alignment horizontal="center" vertical="center"/>
    </xf>
    <xf numFmtId="0" fontId="1" fillId="20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left" vertical="center" indent="1"/>
    </xf>
    <xf numFmtId="0" fontId="2" fillId="2" borderId="0" xfId="1" applyFont="1" applyFill="1" applyAlignment="1" applyProtection="1">
      <alignment horizontal="right" vertical="center"/>
    </xf>
    <xf numFmtId="0" fontId="1" fillId="11" borderId="0" xfId="0" applyFont="1" applyFill="1" applyAlignment="1">
      <alignment horizontal="left" vertical="center" indent="2"/>
    </xf>
    <xf numFmtId="0" fontId="1" fillId="16" borderId="0" xfId="0" applyFont="1" applyFill="1" applyAlignment="1" applyProtection="1">
      <alignment horizontal="left" vertical="center" indent="2"/>
      <protection locked="0"/>
    </xf>
    <xf numFmtId="0" fontId="1" fillId="11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" fillId="15" borderId="0" xfId="0" applyFont="1" applyFill="1" applyAlignment="1">
      <alignment horizontal="center" vertical="center"/>
    </xf>
    <xf numFmtId="0" fontId="1" fillId="18" borderId="0" xfId="0" applyFont="1" applyFill="1" applyAlignment="1">
      <alignment horizontal="center" vertical="center"/>
    </xf>
    <xf numFmtId="0" fontId="1" fillId="9" borderId="0" xfId="0" applyFont="1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9" fillId="9" borderId="0" xfId="0" applyFont="1" applyFill="1" applyAlignment="1">
      <alignment horizontal="left"/>
    </xf>
    <xf numFmtId="0" fontId="9" fillId="9" borderId="0" xfId="0" applyFont="1" applyFill="1" applyAlignment="1">
      <alignment horizontal="left" vertical="center"/>
    </xf>
    <xf numFmtId="0" fontId="2" fillId="9" borderId="0" xfId="0" applyFont="1" applyFill="1" applyAlignment="1">
      <alignment horizontal="left" vertical="top"/>
    </xf>
    <xf numFmtId="0" fontId="2" fillId="2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right" vertical="center" indent="2"/>
    </xf>
    <xf numFmtId="0" fontId="1" fillId="14" borderId="0" xfId="0" applyFont="1" applyFill="1" applyAlignment="1">
      <alignment horizontal="center" vertical="center"/>
    </xf>
    <xf numFmtId="0" fontId="1" fillId="16" borderId="0" xfId="0" applyFont="1" applyFill="1" applyAlignment="1">
      <alignment horizontal="center" vertical="center"/>
    </xf>
    <xf numFmtId="0" fontId="1" fillId="0" borderId="0" xfId="0" applyFont="1" applyAlignment="1">
      <alignment horizontal="right" vertical="center" wrapText="1" indent="1"/>
    </xf>
    <xf numFmtId="0" fontId="11" fillId="2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 wrapText="1"/>
    </xf>
    <xf numFmtId="0" fontId="5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center" vertical="center" wrapText="1"/>
    </xf>
    <xf numFmtId="0" fontId="1" fillId="8" borderId="0" xfId="0" applyFont="1" applyFill="1" applyAlignment="1">
      <alignment horizontal="center" vertical="center" wrapText="1"/>
    </xf>
    <xf numFmtId="0" fontId="2" fillId="8" borderId="0" xfId="0" applyFont="1" applyFill="1" applyAlignment="1">
      <alignment horizontal="center" vertical="center"/>
    </xf>
    <xf numFmtId="0" fontId="2" fillId="14" borderId="0" xfId="0" applyFont="1" applyFill="1" applyAlignment="1">
      <alignment horizontal="center" vertical="center"/>
    </xf>
    <xf numFmtId="0" fontId="2" fillId="14" borderId="0" xfId="0" applyFont="1" applyFill="1" applyAlignment="1">
      <alignment horizontal="left" vertical="center" indent="1"/>
    </xf>
    <xf numFmtId="0" fontId="2" fillId="14" borderId="0" xfId="0" applyFont="1" applyFill="1" applyAlignment="1">
      <alignment horizontal="left" vertical="center" indent="2"/>
    </xf>
    <xf numFmtId="0" fontId="5" fillId="4" borderId="0" xfId="0" applyFont="1" applyFill="1" applyAlignment="1">
      <alignment horizontal="right" vertical="center" indent="2"/>
    </xf>
    <xf numFmtId="0" fontId="2" fillId="21" borderId="0" xfId="0" applyFont="1" applyFill="1" applyAlignment="1">
      <alignment horizontal="center" vertical="center"/>
    </xf>
    <xf numFmtId="0" fontId="1" fillId="21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right" vertical="center" indent="1"/>
    </xf>
    <xf numFmtId="49" fontId="1" fillId="14" borderId="0" xfId="0" applyNumberFormat="1" applyFont="1" applyFill="1" applyAlignment="1">
      <alignment horizontal="center" vertical="center"/>
    </xf>
    <xf numFmtId="0" fontId="5" fillId="5" borderId="0" xfId="0" applyFont="1" applyFill="1" applyAlignment="1">
      <alignment vertical="center"/>
    </xf>
    <xf numFmtId="0" fontId="1" fillId="8" borderId="0" xfId="0" applyFont="1" applyFill="1" applyAlignment="1">
      <alignment horizontal="right" vertical="center" indent="1"/>
    </xf>
    <xf numFmtId="0" fontId="2" fillId="8" borderId="0" xfId="0" applyFont="1" applyFill="1" applyAlignment="1">
      <alignment horizontal="left" vertical="center" indent="1"/>
    </xf>
    <xf numFmtId="0" fontId="2" fillId="8" borderId="0" xfId="0" applyFont="1" applyFill="1" applyAlignment="1">
      <alignment vertical="center"/>
    </xf>
    <xf numFmtId="0" fontId="6" fillId="13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right" vertical="center" indent="2"/>
    </xf>
    <xf numFmtId="0" fontId="1" fillId="14" borderId="0" xfId="0" applyFont="1" applyFill="1" applyAlignment="1">
      <alignment horizontal="left" vertical="center" indent="2"/>
    </xf>
    <xf numFmtId="0" fontId="1" fillId="2" borderId="0" xfId="0" applyFont="1" applyFill="1" applyAlignment="1">
      <alignment horizontal="left" indent="1"/>
    </xf>
    <xf numFmtId="0" fontId="1" fillId="4" borderId="0" xfId="0" applyFont="1" applyFill="1" applyAlignment="1">
      <alignment horizontal="left" vertical="center"/>
    </xf>
    <xf numFmtId="0" fontId="1" fillId="16" borderId="0" xfId="0" applyFont="1" applyFill="1" applyAlignment="1">
      <alignment horizontal="center" vertical="center" wrapText="1"/>
    </xf>
    <xf numFmtId="0" fontId="1" fillId="16" borderId="0" xfId="0" applyFont="1" applyFill="1" applyAlignment="1" applyProtection="1">
      <alignment horizontal="left" vertical="center" indent="1"/>
      <protection locked="0"/>
    </xf>
    <xf numFmtId="0" fontId="1" fillId="8" borderId="0" xfId="0" applyFont="1" applyFill="1" applyAlignment="1">
      <alignment horizontal="right" vertical="center" wrapText="1" indent="1"/>
    </xf>
    <xf numFmtId="0" fontId="1" fillId="0" borderId="0" xfId="0" applyFont="1" applyAlignment="1" applyProtection="1">
      <alignment horizontal="right" vertical="center" indent="2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1" fillId="13" borderId="0" xfId="0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Alignment="1" applyProtection="1">
      <alignment horizontal="right" vertical="center" indent="1"/>
      <protection locked="0"/>
    </xf>
    <xf numFmtId="49" fontId="1" fillId="0" borderId="0" xfId="0" applyNumberFormat="1" applyFont="1" applyAlignment="1" applyProtection="1">
      <alignment horizontal="left" vertical="center" indent="1"/>
      <protection locked="0"/>
    </xf>
    <xf numFmtId="49" fontId="1" fillId="0" borderId="0" xfId="0" applyNumberFormat="1" applyFont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left" vertical="center" indent="1"/>
      <protection locked="0"/>
    </xf>
    <xf numFmtId="0" fontId="1" fillId="0" borderId="0" xfId="0" applyFont="1" applyAlignment="1" applyProtection="1">
      <alignment horizontal="center" vertical="center" wrapText="1"/>
      <protection locked="0"/>
    </xf>
    <xf numFmtId="164" fontId="1" fillId="0" borderId="0" xfId="0" applyNumberFormat="1" applyFont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wrapText="1"/>
      <protection locked="0"/>
    </xf>
    <xf numFmtId="0" fontId="1" fillId="2" borderId="0" xfId="0" applyFont="1" applyFill="1" applyAlignment="1" applyProtection="1">
      <alignment horizontal="right" vertical="center"/>
      <protection locked="0"/>
    </xf>
    <xf numFmtId="0" fontId="1" fillId="12" borderId="0" xfId="0" applyFont="1" applyFill="1" applyAlignment="1">
      <alignment horizontal="center" vertical="center"/>
    </xf>
    <xf numFmtId="0" fontId="1" fillId="15" borderId="0" xfId="0" applyFont="1" applyFill="1" applyAlignment="1">
      <alignment horizontal="center" vertical="center"/>
    </xf>
    <xf numFmtId="0" fontId="1" fillId="11" borderId="0" xfId="0" applyFont="1" applyFill="1" applyAlignment="1">
      <alignment horizontal="center" vertical="center"/>
    </xf>
    <xf numFmtId="0" fontId="1" fillId="22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403"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5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C6E0B4"/>
      <color rgb="FFFF7C80"/>
      <color rgb="FFFF6600"/>
      <color rgb="FF996633"/>
      <color rgb="FFCC9900"/>
      <color rgb="FFFF9900"/>
      <color rgb="FFF96565"/>
      <color rgb="FFA9D08E"/>
      <color rgb="FFFFD966"/>
      <color rgb="FFFFC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8193" name="Store_New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8194" name="Store_Reset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3081" name="User_New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3085" name="User_Reset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3</xdr:row>
          <xdr:rowOff>108857</xdr:rowOff>
        </xdr:from>
        <xdr:to>
          <xdr:col>2</xdr:col>
          <xdr:colOff>1017814</xdr:colOff>
          <xdr:row>3</xdr:row>
          <xdr:rowOff>435429</xdr:rowOff>
        </xdr:to>
        <xdr:sp macro="" textlink="">
          <xdr:nvSpPr>
            <xdr:cNvPr id="2054" name="History_New_Save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1143000</xdr:colOff>
          <xdr:row>3</xdr:row>
          <xdr:rowOff>108857</xdr:rowOff>
        </xdr:from>
        <xdr:to>
          <xdr:col>2</xdr:col>
          <xdr:colOff>2057400</xdr:colOff>
          <xdr:row>3</xdr:row>
          <xdr:rowOff>435429</xdr:rowOff>
        </xdr:to>
        <xdr:sp macro="" textlink="">
          <xdr:nvSpPr>
            <xdr:cNvPr id="2055" name="History_New_Eject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00" dataDxfId="399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唯一识别码" dataDxfId="398">
      <calculatedColumnFormula>CONCATENATE(Store_Setting[[#This Row],[商品序号]], IF(Store_Setting[[#This Row],[商品名称]]="","", _xlfn.CONCAT(" | ",_xlfn.SINGLE(Store_Setting[商品名称]))))</calculatedColumnFormula>
    </tableColumn>
    <tableColumn id="1" xr3:uid="{76D80D8E-17D9-4452-B1EE-33BFE80A31E7}" name="商品序号" dataDxfId="397"/>
    <tableColumn id="2" xr3:uid="{C28244F3-482D-4CFC-B629-A29496B98C0B}" name="商品名称" dataDxfId="396"/>
    <tableColumn id="11" xr3:uid="{71958388-9C14-426E-8457-DCEA92BC0E87}" name="负差" dataDxfId="395">
      <calculatedColumnFormula>Store_Setting[[#This Row],[库存负差]]-SUM(Store_Setting[[#This Row],[已存入]]-Store_Setting[[#This Row],[已支取]])</calculatedColumnFormula>
    </tableColumn>
    <tableColumn id="4" xr3:uid="{3C821CA6-CD17-432C-AF90-A003188028FF}" name="存取负差" dataDxfId="394">
      <calculatedColumnFormula>SUM(UserInfo[1 - 剩余])</calculatedColumnFormula>
    </tableColumn>
    <tableColumn id="7" xr3:uid="{75829BDD-5513-4744-8184-35AE3788771C}" name="已存入" dataDxfId="393">
      <calculatedColumnFormula>SUM(UserInfo[1 - 存入])</calculatedColumnFormula>
    </tableColumn>
    <tableColumn id="6" xr3:uid="{B71F91EB-0024-4EC1-8035-3636C31B3740}" name="已支取" dataDxfId="392">
      <calculatedColumnFormula>SUM(UserInfo[1 - 支取])</calculatedColumnFormula>
    </tableColumn>
    <tableColumn id="5" xr3:uid="{6E4E3255-2204-43C6-A50C-EEAF08580A14}" name="库存负差" dataDxfId="391">
      <calculatedColumnFormula>Store_Setting[[#This Row],[入库小计]]-Store_Setting[[#This Row],[取货小计]]</calculatedColumnFormula>
    </tableColumn>
    <tableColumn id="9" xr3:uid="{7DA9A308-8441-49E3-B1B4-6AF7A14784F7}" name="入库小计" dataDxfId="390">
      <calculatedColumnFormula>SUMIFS(Store_History[数量],Store_History[唯一识别码],Store_Setting[[#This Row],[唯一识别码]],Store_History[类型],$D$81)</calculatedColumnFormula>
    </tableColumn>
    <tableColumn id="8" xr3:uid="{43D402E1-A683-4B65-923F-EB29ABFA8F93}" name="取货小计" dataDxfId="389">
      <calculatedColumnFormula>SUMIFS(Store_History[数量],Store_History[唯一识别码],Store_Setting[[#This Row],[唯一识别码]],Store_History[类型],$E$81)</calculatedColumnFormula>
    </tableColumn>
    <tableColumn id="13" xr3:uid="{CA008503-3851-4A3A-95EA-D5E7B623ECAE}" name="隐藏存入" dataDxfId="388"/>
    <tableColumn id="14" xr3:uid="{7AAE1579-D3AC-492B-8830-5F0CA2792BCF}" name="隐藏支取" dataDxfId="387"/>
    <tableColumn id="15" xr3:uid="{369D4935-858F-4DEC-9B49-AD7F7222A9C9}" name="MemberScope" dataDxfId="386"/>
    <tableColumn id="16" xr3:uid="{52E822AB-E6D3-4737-AA5F-238C893521EA}" name="MemberSave" dataDxfId="385"/>
    <tableColumn id="17" xr3:uid="{FE487014-85C9-4F6B-9EE2-006A2D21AC02}" name="MemberEject" dataDxfId="384"/>
    <tableColumn id="18" xr3:uid="{DF91574E-2FF7-4705-921F-E31C5A63C918}" name="HostoryScope" dataDxfId="383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4:J5" totalsRowShown="0" headerRowDxfId="380" dataDxfId="379">
  <autoFilter ref="B4:J5" xr:uid="{B82E5E9F-8725-4EAF-B9F2-1889C4CE31C6}"/>
  <tableColumns count="9">
    <tableColumn id="1" xr3:uid="{CCD5A4A0-03A2-44F4-8FB0-E2743E043E7C}" name="序号" dataDxfId="8">
      <calculatedColumnFormula array="1">SNGKI</calculatedColumnFormula>
    </tableColumn>
    <tableColumn id="2" xr3:uid="{BE286F67-B0FA-40D9-BDA1-B2CFCEBCEB36}" name="唯一识别码" dataDxfId="7"/>
    <tableColumn id="4" xr3:uid="{9CF218BF-31BE-437E-9285-7CE338B0180C}" name="类型" dataDxfId="6"/>
    <tableColumn id="38" xr3:uid="{BE6B60B8-5A23-4085-9CC5-0D91831F16B6}" name="数量" dataDxfId="5"/>
    <tableColumn id="9" xr3:uid="{BCC80DB2-EF55-4BCC-9A8B-636F5A0886E8}" name="单位" dataDxfId="4"/>
    <tableColumn id="3" xr3:uid="{CCD860BE-34B0-4F57-8823-4D2C9F7985B4}" name="时间" dataDxfId="3"/>
    <tableColumn id="7" xr3:uid="{38DADDD1-29F3-4A23-B844-9D021C0D5F68}" name="工号" dataDxfId="2"/>
    <tableColumn id="8" xr3:uid="{945E147D-AEC8-4CD6-9889-CC8A2ADA4657}" name="备注" dataDxfId="0"/>
    <tableColumn id="5" xr3:uid="{56793818-43A0-444C-8E88-C10E2D38F287}" name="状态" dataDxfId="1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6:EH8" headerRowDxfId="376" dataDxfId="375" totalsRowDxfId="374">
  <autoFilter ref="B6:EH8" xr:uid="{ADAB6017-62AE-4ECA-A153-D815FED82043}"/>
  <tableColumns count="137">
    <tableColumn id="1" xr3:uid="{69B39378-5DEE-4683-8063-2D1E5E369E67}" name="序号" totalsRowLabel="Total" dataDxfId="373" totalsRowDxfId="372">
      <calculatedColumnFormula array="1">SN</calculatedColumnFormula>
    </tableColumn>
    <tableColumn id="5" xr3:uid="{35BA10B8-A444-4F80-8F55-6146540C5A57}" name="唯一识别码" dataDxfId="371" totalsRowDxfId="370">
      <calculatedColumnFormula array="1">GUID</calculatedColumnFormula>
    </tableColumn>
    <tableColumn id="6" xr3:uid="{8A3791BE-D142-4B77-980F-0E769FF1CE0E}" name="1 - 剩余" dataDxfId="369">
      <calculatedColumnFormula array="1">Get_1_Calc</calculatedColumnFormula>
    </tableColumn>
    <tableColumn id="8" xr3:uid="{E45E7682-0361-46D3-BF20-AF1E07C3D65B}" name="1 - 存入" dataDxfId="368" totalsRowDxfId="367">
      <calculatedColumnFormula array="1">Get_1_Add</calculatedColumnFormula>
    </tableColumn>
    <tableColumn id="9" xr3:uid="{FE45F0F1-8F7A-4A14-B0E4-3EC60A580E37}" name="1 - 支取" dataDxfId="366" totalsRowDxfId="365">
      <calculatedColumnFormula array="1">Get_1_Del</calculatedColumnFormula>
    </tableColumn>
    <tableColumn id="7" xr3:uid="{B53043EA-8EAF-48CD-A1C4-F1751A029F72}" name="2 - 剩余" dataDxfId="364" totalsRowDxfId="363">
      <calculatedColumnFormula array="1">Get_2_Calc</calculatedColumnFormula>
    </tableColumn>
    <tableColumn id="10" xr3:uid="{95260041-5347-400B-AAEF-EE609D2539A1}" name="2 - 存入" dataDxfId="362" totalsRowDxfId="361">
      <calculatedColumnFormula array="1">Get_2_Add</calculatedColumnFormula>
    </tableColumn>
    <tableColumn id="11" xr3:uid="{33755691-0EB3-40CE-9B73-E91F8C102760}" name="2 - 支取" dataDxfId="360" totalsRowDxfId="359">
      <calculatedColumnFormula array="1">Get_2_Del</calculatedColumnFormula>
    </tableColumn>
    <tableColumn id="32" xr3:uid="{EC5EB628-FB36-43AE-A347-41E9ACE5D72E}" name="3 - 剩余" dataDxfId="358" totalsRowDxfId="357">
      <calculatedColumnFormula array="1">Get_3_Calc</calculatedColumnFormula>
    </tableColumn>
    <tableColumn id="33" xr3:uid="{43A56C01-D775-4C69-87D1-225F1941DB58}" name="3 - 存入" dataDxfId="356" totalsRowDxfId="355">
      <calculatedColumnFormula array="1">Get_3_Add</calculatedColumnFormula>
    </tableColumn>
    <tableColumn id="30" xr3:uid="{E3875226-6AB9-4F4B-91BF-CC71FCEAF551}" name="3 - 支取" dataDxfId="354" totalsRowDxfId="353">
      <calculatedColumnFormula array="1">Get_3_Del</calculatedColumnFormula>
    </tableColumn>
    <tableColumn id="31" xr3:uid="{B62D1E0D-5AB3-4BE3-8BC6-8442FF019A25}" name="4 - 剩余" dataDxfId="352" totalsRowDxfId="351">
      <calculatedColumnFormula array="1">Get_4_Calc</calculatedColumnFormula>
    </tableColumn>
    <tableColumn id="28" xr3:uid="{7B09D42A-E4B3-42DA-A7BC-1855D7B3276B}" name="4 - 存入" dataDxfId="350" totalsRowDxfId="349">
      <calculatedColumnFormula array="1">Get_4_Add</calculatedColumnFormula>
    </tableColumn>
    <tableColumn id="29" xr3:uid="{B7BDACF3-46DD-4203-BF1C-D95921A9EAB9}" name="4 - 支取" dataDxfId="348" totalsRowDxfId="347">
      <calculatedColumnFormula array="1">Get_4_Del</calculatedColumnFormula>
    </tableColumn>
    <tableColumn id="26" xr3:uid="{2B28D0BE-0636-4250-93AD-A6F7361B235B}" name="5 - 剩余" dataDxfId="346" totalsRowDxfId="345">
      <calculatedColumnFormula array="1">Get_5_Calc</calculatedColumnFormula>
    </tableColumn>
    <tableColumn id="27" xr3:uid="{E0E33EBF-F853-45D7-8D8D-4968D0DF550A}" name="5 - 存入" dataDxfId="344" totalsRowDxfId="343">
      <calculatedColumnFormula array="1">Get_5_Add</calculatedColumnFormula>
    </tableColumn>
    <tableColumn id="34" xr3:uid="{8BF8358E-3A1F-4FD6-A3D2-5C9ED03B66D2}" name="5 - 支取" dataDxfId="342" totalsRowDxfId="341">
      <calculatedColumnFormula array="1">Get_5_Del</calculatedColumnFormula>
    </tableColumn>
    <tableColumn id="35" xr3:uid="{BB2E7E56-CFEB-45E5-A53A-8F8601B9A6BC}" name="6 - 剩余" dataDxfId="340">
      <calculatedColumnFormula array="1">Get_6_Calc</calculatedColumnFormula>
    </tableColumn>
    <tableColumn id="36" xr3:uid="{B1C76173-BBE5-4463-A5A2-D59DF06DFEA3}" name="6 - 存入" dataDxfId="339" totalsRowDxfId="338">
      <calculatedColumnFormula array="1">Get_6_Add</calculatedColumnFormula>
    </tableColumn>
    <tableColumn id="37" xr3:uid="{252F1115-6468-4A69-A315-CC054804CD2D}" name="6 - 支取" dataDxfId="337" totalsRowDxfId="336">
      <calculatedColumnFormula array="1">Get_6_Del</calculatedColumnFormula>
    </tableColumn>
    <tableColumn id="20" xr3:uid="{A588D5D5-7793-43CD-9189-E1B0E04C4525}" name="7 - 剩余" dataDxfId="335" totalsRowDxfId="334">
      <calculatedColumnFormula array="1">Get_7_Calc</calculatedColumnFormula>
    </tableColumn>
    <tableColumn id="21" xr3:uid="{173A2F2F-7CDB-4106-BA59-7971244FD630}" name="7 - 存入" dataDxfId="333" totalsRowDxfId="332">
      <calculatedColumnFormula array="1">Get_7_Add</calculatedColumnFormula>
    </tableColumn>
    <tableColumn id="46" xr3:uid="{5DD0D315-AA29-4E95-AB07-E17D16311131}" name="7 - 支取" dataDxfId="331" totalsRowDxfId="330">
      <calculatedColumnFormula array="1">Get_7_Del</calculatedColumnFormula>
    </tableColumn>
    <tableColumn id="47" xr3:uid="{887630E9-FAB3-4BC4-AE9D-DA08EE18BEE8}" name="8 - 剩余" dataDxfId="329" totalsRowDxfId="328">
      <calculatedColumnFormula array="1">Get_8_Calc</calculatedColumnFormula>
    </tableColumn>
    <tableColumn id="44" xr3:uid="{74DD3BDF-B83E-43E2-A24B-4F5846C78DBC}" name="8 - 存入" dataDxfId="327" totalsRowDxfId="326">
      <calculatedColumnFormula array="1">Get_8_Add</calculatedColumnFormula>
    </tableColumn>
    <tableColumn id="45" xr3:uid="{F7703264-4D50-4502-8F6F-FB36B91EB021}" name="8 - 支取" dataDxfId="325" totalsRowDxfId="324">
      <calculatedColumnFormula array="1">Get_8_Del</calculatedColumnFormula>
    </tableColumn>
    <tableColumn id="42" xr3:uid="{4E67C08C-7260-499F-B198-7B6E4192E472}" name="9 - 剩余" dataDxfId="323" totalsRowDxfId="322">
      <calculatedColumnFormula array="1">Get_9_Calc</calculatedColumnFormula>
    </tableColumn>
    <tableColumn id="43" xr3:uid="{7F9B0DDB-B0CF-4F25-BEAA-5F937B25BDE0}" name="9 - 存入" dataDxfId="321" totalsRowDxfId="320">
      <calculatedColumnFormula array="1">Get_9_Add</calculatedColumnFormula>
    </tableColumn>
    <tableColumn id="40" xr3:uid="{3AA5B498-FA98-483A-A388-6B6F74476BFD}" name="9 - 支取" dataDxfId="319" totalsRowDxfId="318">
      <calculatedColumnFormula array="1">Get_9_Del</calculatedColumnFormula>
    </tableColumn>
    <tableColumn id="41" xr3:uid="{82D58ED2-A190-4823-8868-5A26D45CD476}" name="10 - 剩余" dataDxfId="317" totalsRowDxfId="316">
      <calculatedColumnFormula array="1">Get_10_Calc</calculatedColumnFormula>
    </tableColumn>
    <tableColumn id="38" xr3:uid="{800CF74D-0283-4B1A-9909-EF49C70CBE94}" name="10 - 存入" dataDxfId="315" totalsRowDxfId="314">
      <calculatedColumnFormula array="1">Get_10_Add</calculatedColumnFormula>
    </tableColumn>
    <tableColumn id="39" xr3:uid="{276FBA7A-AC3A-4E59-B8B1-B09B169E6837}" name="10 - 支取" dataDxfId="313" totalsRowDxfId="312">
      <calculatedColumnFormula array="1">Get_10_Del</calculatedColumnFormula>
    </tableColumn>
    <tableColumn id="48" xr3:uid="{A7B9D79E-F38B-48CB-AEE5-E7B7F6EF5C2C}" name="11 - 剩余" dataDxfId="311" totalsRowDxfId="310">
      <calculatedColumnFormula array="1">Get_11_Calc</calculatedColumnFormula>
    </tableColumn>
    <tableColumn id="49" xr3:uid="{01CFCCAE-6F8F-4C1E-8FF6-6275897A542E}" name="11 - 存入" dataDxfId="309" totalsRowDxfId="308">
      <calculatedColumnFormula array="1">Get_11_Add</calculatedColumnFormula>
    </tableColumn>
    <tableColumn id="14" xr3:uid="{27E31913-0377-43BF-8773-DF68330317BA}" name="11 - 支取" dataDxfId="307" totalsRowDxfId="306">
      <calculatedColumnFormula array="1">Get_11_Del</calculatedColumnFormula>
    </tableColumn>
    <tableColumn id="51" xr3:uid="{5B85F460-5E62-4025-895D-56CA23340014}" name="12 - 剩余" dataDxfId="305" totalsRowDxfId="304">
      <calculatedColumnFormula array="1">Get_12_Calc</calculatedColumnFormula>
    </tableColumn>
    <tableColumn id="52" xr3:uid="{0EC70A7E-2DCB-4261-AA03-9B9BE1BAEC8F}" name="12 - 存入" dataDxfId="303" totalsRowDxfId="302">
      <calculatedColumnFormula array="1">Get_12_Add</calculatedColumnFormula>
    </tableColumn>
    <tableColumn id="50" xr3:uid="{3EB42EAC-DC06-4CC0-A5A9-B7FE23DC5389}" name="12 - 支取" dataDxfId="301" totalsRowDxfId="300">
      <calculatedColumnFormula array="1">Get_12_Del</calculatedColumnFormula>
    </tableColumn>
    <tableColumn id="65" xr3:uid="{EDF8FCAF-50EB-44D5-B6A9-3CD2A6E9AE1E}" name="13 - 剩余" dataDxfId="299" totalsRowDxfId="298">
      <calculatedColumnFormula array="1">Get_13_Calc</calculatedColumnFormula>
    </tableColumn>
    <tableColumn id="66" xr3:uid="{F5CC81DC-58D2-4192-A82D-389419FBEF0D}" name="13 - 存入" dataDxfId="297" totalsRowDxfId="296">
      <calculatedColumnFormula array="1">Get_13_Add</calculatedColumnFormula>
    </tableColumn>
    <tableColumn id="67" xr3:uid="{CDD18276-7453-4E17-BA82-D9E26BD8811B}" name="13 - 支取" dataDxfId="295" totalsRowDxfId="294">
      <calculatedColumnFormula array="1">Get_13_Del</calculatedColumnFormula>
    </tableColumn>
    <tableColumn id="62" xr3:uid="{68ACC17D-E3C3-4466-88A6-F2F14F757F76}" name="14 - 剩余" dataDxfId="293" totalsRowDxfId="292">
      <calculatedColumnFormula array="1">Get_14_Calc</calculatedColumnFormula>
    </tableColumn>
    <tableColumn id="63" xr3:uid="{0E0EE3C5-8F3C-4968-B0E6-50B1C2B616A8}" name="14 - 存入" dataDxfId="291" totalsRowDxfId="290">
      <calculatedColumnFormula array="1">Get_14_Add</calculatedColumnFormula>
    </tableColumn>
    <tableColumn id="64" xr3:uid="{AD67C543-6A27-4C51-906F-D522151C0D92}" name="14 - 支取" dataDxfId="289" totalsRowDxfId="288">
      <calculatedColumnFormula array="1">Get_14_Del</calculatedColumnFormula>
    </tableColumn>
    <tableColumn id="59" xr3:uid="{7CAE30DB-B183-4017-8A77-F435FA507A01}" name="15 - 剩余" dataDxfId="287" totalsRowDxfId="286">
      <calculatedColumnFormula array="1">Get_15_Calc</calculatedColumnFormula>
    </tableColumn>
    <tableColumn id="60" xr3:uid="{10EF06B0-FD95-42A9-BFCC-64BBC565CA14}" name="15 - 存入" dataDxfId="285" totalsRowDxfId="284">
      <calculatedColumnFormula array="1">Get_15_Add</calculatedColumnFormula>
    </tableColumn>
    <tableColumn id="61" xr3:uid="{6301F8B4-4D01-4FDA-8D32-75921B15A2D9}" name="15 - 支取" dataDxfId="283" totalsRowDxfId="282">
      <calculatedColumnFormula array="1">Get_15_Del</calculatedColumnFormula>
    </tableColumn>
    <tableColumn id="56" xr3:uid="{05F125DE-5AE7-4786-ACBC-DAF9D7222A62}" name="16 - 剩余" dataDxfId="281" totalsRowDxfId="280">
      <calculatedColumnFormula array="1">Get_16_Calc</calculatedColumnFormula>
    </tableColumn>
    <tableColumn id="57" xr3:uid="{7E6969DC-E3FC-4DA8-BB9D-6B36E075458F}" name="16 - 存入" dataDxfId="279" totalsRowDxfId="278">
      <calculatedColumnFormula array="1">Get_16_Add</calculatedColumnFormula>
    </tableColumn>
    <tableColumn id="58" xr3:uid="{84C80CB2-57F5-4B66-8756-5573CD699D16}" name="16 - 支取" dataDxfId="277" totalsRowDxfId="276">
      <calculatedColumnFormula array="1">Get_16_Del</calculatedColumnFormula>
    </tableColumn>
    <tableColumn id="53" xr3:uid="{65516705-AD27-4ECA-AF09-D132C51E08CE}" name="17 - 剩余" dataDxfId="275" totalsRowDxfId="274">
      <calculatedColumnFormula array="1">Get_17_Calc</calculatedColumnFormula>
    </tableColumn>
    <tableColumn id="54" xr3:uid="{0756DBD3-FDA1-4E71-849C-F20BBD0A5182}" name="17 - 存入" dataDxfId="273" totalsRowDxfId="272">
      <calculatedColumnFormula array="1">Get_17_Add</calculatedColumnFormula>
    </tableColumn>
    <tableColumn id="55" xr3:uid="{51CB254C-5F29-4215-8FE0-F8B8B7B32759}" name="17 - 支取" dataDxfId="271" totalsRowDxfId="270">
      <calculatedColumnFormula array="1">Get_17_Del</calculatedColumnFormula>
    </tableColumn>
    <tableColumn id="68" xr3:uid="{9C2EC294-A2C3-40B0-9E15-FFA1DA6DE0E7}" name="18 - 剩余" dataDxfId="269" totalsRowDxfId="268">
      <calculatedColumnFormula array="1">Get_18_Calc</calculatedColumnFormula>
    </tableColumn>
    <tableColumn id="69" xr3:uid="{A371F69D-1236-4AAC-B5F1-72D518D6FC69}" name="18 - 存入" dataDxfId="267" totalsRowDxfId="266">
      <calculatedColumnFormula array="1">Get_18_Add</calculatedColumnFormula>
    </tableColumn>
    <tableColumn id="70" xr3:uid="{7B3C5D9B-BC0C-404F-9490-CDADC350F1D7}" name="18 - 支取" dataDxfId="265" totalsRowDxfId="264">
      <calculatedColumnFormula array="1">Get_18_Del</calculatedColumnFormula>
    </tableColumn>
    <tableColumn id="19" xr3:uid="{91B42855-55D1-4A6A-B9A8-5EE011ADEB10}" name="19 - 剩余" dataDxfId="263" totalsRowDxfId="262">
      <calculatedColumnFormula array="1">Get_19_Calc</calculatedColumnFormula>
    </tableColumn>
    <tableColumn id="18" xr3:uid="{98EE3A39-A8AB-42CF-AEB5-291E8B95D8CA}" name="19 - 存入" dataDxfId="261" totalsRowDxfId="260">
      <calculatedColumnFormula array="1">Get_19_Add</calculatedColumnFormula>
    </tableColumn>
    <tableColumn id="73" xr3:uid="{DB40D44F-8801-4D50-BA48-8323E05D2E13}" name="19 - 支取" dataDxfId="259" totalsRowDxfId="258">
      <calculatedColumnFormula array="1">Get_19_Del</calculatedColumnFormula>
    </tableColumn>
    <tableColumn id="72" xr3:uid="{470D5EC3-31A6-4851-B48C-D6DDADACC807}" name="20 - 剩余" dataDxfId="257" totalsRowDxfId="256">
      <calculatedColumnFormula array="1">Get_20_Calc</calculatedColumnFormula>
    </tableColumn>
    <tableColumn id="71" xr3:uid="{39143051-B360-4CEF-883D-35BFEEAE3BA0}" name="20 - 存入" dataDxfId="255" totalsRowDxfId="254">
      <calculatedColumnFormula array="1">Get_20_Add</calculatedColumnFormula>
    </tableColumn>
    <tableColumn id="15" xr3:uid="{8C1BB1E7-B23F-46EC-AE4E-28A3C394FD55}" name="20 - 支取" dataDxfId="253" totalsRowDxfId="252">
      <calculatedColumnFormula array="1">Get_20_Del</calculatedColumnFormula>
    </tableColumn>
    <tableColumn id="102" xr3:uid="{F21D4D43-73EE-4C8A-8AEF-E424CE485010}" name="21 - 剩余" dataDxfId="251" totalsRowDxfId="250">
      <calculatedColumnFormula array="1">Get_21_Calc</calculatedColumnFormula>
    </tableColumn>
    <tableColumn id="103" xr3:uid="{4486E59C-66B0-413C-AFFC-A8A336BC25D8}" name="21 - 存入" dataDxfId="249" totalsRowDxfId="248">
      <calculatedColumnFormula array="1">Get_21_Add</calculatedColumnFormula>
    </tableColumn>
    <tableColumn id="104" xr3:uid="{564EC857-6030-490D-A2E5-16F4F8221C23}" name="21 - 支取" dataDxfId="247" totalsRowDxfId="246">
      <calculatedColumnFormula array="1">Get_21_Del</calculatedColumnFormula>
    </tableColumn>
    <tableColumn id="105" xr3:uid="{31132AB1-247A-4EB9-8A8A-871FED0D5AA1}" name="22 - 剩余" dataDxfId="245" totalsRowDxfId="244">
      <calculatedColumnFormula array="1">Get_22_Calc</calculatedColumnFormula>
    </tableColumn>
    <tableColumn id="98" xr3:uid="{CF6220B5-7B80-445C-A013-845D35543916}" name="22 - 存入" dataDxfId="243" totalsRowDxfId="242">
      <calculatedColumnFormula array="1">Get_22_Add</calculatedColumnFormula>
    </tableColumn>
    <tableColumn id="99" xr3:uid="{98BD4691-C847-4F41-8E6C-BEC01B8FAEB3}" name="22 - 支取" dataDxfId="241" totalsRowDxfId="240">
      <calculatedColumnFormula array="1">Get_22_Del</calculatedColumnFormula>
    </tableColumn>
    <tableColumn id="100" xr3:uid="{66330D4E-ED0D-41A7-921D-E622CA8068A4}" name="23 - 剩余" dataDxfId="239" totalsRowDxfId="238">
      <calculatedColumnFormula array="1">Get_23_Calc</calculatedColumnFormula>
    </tableColumn>
    <tableColumn id="101" xr3:uid="{3345E086-C2E9-453D-A0EB-A7471CF2ACB2}" name="23 - 存入" dataDxfId="237" totalsRowDxfId="236">
      <calculatedColumnFormula array="1">Get_23_Add</calculatedColumnFormula>
    </tableColumn>
    <tableColumn id="94" xr3:uid="{8EF3E108-22A5-4CBC-9928-BC115EFE882A}" name="23 - 支取" dataDxfId="235" totalsRowDxfId="234">
      <calculatedColumnFormula array="1">Get_23_Del</calculatedColumnFormula>
    </tableColumn>
    <tableColumn id="95" xr3:uid="{C6AA287C-2EA3-4286-A71D-29E22D519C41}" name="24 - 剩余" dataDxfId="233" totalsRowDxfId="232">
      <calculatedColumnFormula array="1">Get_24_Calc</calculatedColumnFormula>
    </tableColumn>
    <tableColumn id="96" xr3:uid="{1FDAF720-4143-496A-91C3-D65BD5CBA18F}" name="24 - 存入" dataDxfId="231" totalsRowDxfId="230">
      <calculatedColumnFormula array="1">Get_24_Add</calculatedColumnFormula>
    </tableColumn>
    <tableColumn id="97" xr3:uid="{0CACBF11-449C-4C06-A249-904EB5517854}" name="24 - 支取" dataDxfId="229" totalsRowDxfId="228">
      <calculatedColumnFormula array="1">Get_24_Del</calculatedColumnFormula>
    </tableColumn>
    <tableColumn id="90" xr3:uid="{11D36A45-02CB-476F-A2D2-734F76A2D1A6}" name="25 - 剩余" dataDxfId="227" totalsRowDxfId="226">
      <calculatedColumnFormula array="1">Get_25_Calc</calculatedColumnFormula>
    </tableColumn>
    <tableColumn id="91" xr3:uid="{8B60EC99-F04A-45EF-8F17-680319744A85}" name="25 - 存入" dataDxfId="225" totalsRowDxfId="224">
      <calculatedColumnFormula array="1">Get_25_Add</calculatedColumnFormula>
    </tableColumn>
    <tableColumn id="92" xr3:uid="{AD05D88D-F2C1-4505-9BBD-FDC0B2D388F3}" name="25 - 支取" dataDxfId="223" totalsRowDxfId="222">
      <calculatedColumnFormula array="1">Get_25_Del</calculatedColumnFormula>
    </tableColumn>
    <tableColumn id="93" xr3:uid="{F7CB76E9-97CE-4CC8-AEDA-CB574593A924}" name="26 - 剩余" dataDxfId="221" totalsRowDxfId="220">
      <calculatedColumnFormula array="1">Get_26_Calc</calculatedColumnFormula>
    </tableColumn>
    <tableColumn id="86" xr3:uid="{6D74E673-FBC5-435E-9229-8C187E67EA3F}" name="26 - 存入" dataDxfId="219" totalsRowDxfId="218">
      <calculatedColumnFormula array="1">Get_26_Add</calculatedColumnFormula>
    </tableColumn>
    <tableColumn id="87" xr3:uid="{C2C28027-A1CD-440D-BB33-3A80FCC5A8C1}" name="26 - 支取" dataDxfId="217" totalsRowDxfId="216">
      <calculatedColumnFormula array="1">Get_26_Del</calculatedColumnFormula>
    </tableColumn>
    <tableColumn id="88" xr3:uid="{070B4F15-D610-4FCF-B681-42E984B3F85F}" name="27 - 剩余" dataDxfId="215" totalsRowDxfId="214">
      <calculatedColumnFormula array="1">Get_27_Calc</calculatedColumnFormula>
    </tableColumn>
    <tableColumn id="89" xr3:uid="{04BA09B0-47DA-4E80-BEEC-AB8498C074D5}" name="27 - 存入" dataDxfId="213" totalsRowDxfId="212">
      <calculatedColumnFormula array="1">Get_27_Add</calculatedColumnFormula>
    </tableColumn>
    <tableColumn id="82" xr3:uid="{17B1B927-AD09-4E4A-B7FC-33ED76279CBC}" name="27 - 支取" dataDxfId="211" totalsRowDxfId="210">
      <calculatedColumnFormula array="1">Get_27_Del</calculatedColumnFormula>
    </tableColumn>
    <tableColumn id="83" xr3:uid="{2F4ED0A5-EE6B-4248-832C-F478A57FA0D5}" name="28 - 剩余" dataDxfId="209" totalsRowDxfId="208">
      <calculatedColumnFormula array="1">Get_28_Calc</calculatedColumnFormula>
    </tableColumn>
    <tableColumn id="84" xr3:uid="{D1140375-114D-49D9-A424-519A4250A622}" name="28 - 存入" dataDxfId="207" totalsRowDxfId="206">
      <calculatedColumnFormula array="1">Get_28_Add</calculatedColumnFormula>
    </tableColumn>
    <tableColumn id="85" xr3:uid="{53209986-74FA-491C-8499-CAD58386B246}" name="28 - 支取" dataDxfId="205" totalsRowDxfId="204">
      <calculatedColumnFormula array="1">Get_28_Del</calculatedColumnFormula>
    </tableColumn>
    <tableColumn id="78" xr3:uid="{9B1695E1-88D0-4B66-86DA-6328CEFA236B}" name="29 - 剩余" dataDxfId="203" totalsRowDxfId="202">
      <calculatedColumnFormula array="1">Get_29_Calc</calculatedColumnFormula>
    </tableColumn>
    <tableColumn id="79" xr3:uid="{AD5F07E7-774D-47C8-B9B7-0278E35D62E4}" name="29 - 存入" dataDxfId="201" totalsRowDxfId="200">
      <calculatedColumnFormula array="1">Get_29_Add</calculatedColumnFormula>
    </tableColumn>
    <tableColumn id="80" xr3:uid="{60613223-E2AD-4FE8-AB22-74D7D70E9EC2}" name="29 - 支取" dataDxfId="199" totalsRowDxfId="198">
      <calculatedColumnFormula array="1">Get_29_Del</calculatedColumnFormula>
    </tableColumn>
    <tableColumn id="81" xr3:uid="{598D87C2-40FF-4EB0-A568-2DE01DFD9C9A}" name="30 - 剩余" dataDxfId="197" totalsRowDxfId="196">
      <calculatedColumnFormula array="1">Get_30_Calc</calculatedColumnFormula>
    </tableColumn>
    <tableColumn id="112" xr3:uid="{A33BC1F0-D006-4639-92C6-0E411B6CA96D}" name="30 - 存入" dataDxfId="195" totalsRowDxfId="194">
      <calculatedColumnFormula array="1">Get_30_Add</calculatedColumnFormula>
    </tableColumn>
    <tableColumn id="113" xr3:uid="{AF7F8313-8446-4886-AE41-FE26C24E6965}" name="30 - 支取" dataDxfId="193" totalsRowDxfId="192">
      <calculatedColumnFormula array="1">Get_30_Del</calculatedColumnFormula>
    </tableColumn>
    <tableColumn id="114" xr3:uid="{32AC448A-1D9F-45C6-ADF0-484483D61305}" name="31 - 剩余" dataDxfId="191" totalsRowDxfId="190">
      <calculatedColumnFormula array="1">Get_31_Calc</calculatedColumnFormula>
    </tableColumn>
    <tableColumn id="109" xr3:uid="{6656E887-BCA1-45C6-9018-4F892EDCD6BD}" name="31 - 存入" dataDxfId="189" totalsRowDxfId="188">
      <calculatedColumnFormula array="1">Get_31_Add</calculatedColumnFormula>
    </tableColumn>
    <tableColumn id="110" xr3:uid="{19143AD3-AFEC-4767-B097-6EFED19C1D5F}" name="31 - 支取" dataDxfId="187" totalsRowDxfId="186">
      <calculatedColumnFormula array="1">Get_31_Del</calculatedColumnFormula>
    </tableColumn>
    <tableColumn id="111" xr3:uid="{A73390AD-84AD-4B11-962F-A0DD77AF79DB}" name="32 - 剩余" dataDxfId="185" totalsRowDxfId="184">
      <calculatedColumnFormula array="1">Get_32_Calc</calculatedColumnFormula>
    </tableColumn>
    <tableColumn id="106" xr3:uid="{CD563433-AB70-48C2-B28C-D63B8FE4231B}" name="32 - 存入" dataDxfId="183" totalsRowDxfId="182">
      <calculatedColumnFormula array="1">Get_32_Add</calculatedColumnFormula>
    </tableColumn>
    <tableColumn id="107" xr3:uid="{8C2B9726-7B44-4012-849B-90C10E42CC75}" name="32 - 支取" dataDxfId="181" totalsRowDxfId="180">
      <calculatedColumnFormula array="1">Get_32_Del</calculatedColumnFormula>
    </tableColumn>
    <tableColumn id="108" xr3:uid="{E5AF4544-102C-474F-A246-CC7171B33738}" name="33 - 剩余" dataDxfId="179" totalsRowDxfId="178">
      <calculatedColumnFormula array="1">Get_33_Calc</calculatedColumnFormula>
    </tableColumn>
    <tableColumn id="121" xr3:uid="{C1F5D498-1262-44DF-B066-1A676148E301}" name="33 - 存入" dataDxfId="177" totalsRowDxfId="176">
      <calculatedColumnFormula array="1">Get_33_Add</calculatedColumnFormula>
    </tableColumn>
    <tableColumn id="122" xr3:uid="{2F6821D0-F42C-4DED-A045-B1C398C90F61}" name="33 - 支取" dataDxfId="175" totalsRowDxfId="174">
      <calculatedColumnFormula array="1">Get_33_Del</calculatedColumnFormula>
    </tableColumn>
    <tableColumn id="123" xr3:uid="{DDEBD9FE-7A2F-41FF-9BD6-93F0E3570136}" name="34 - 剩余" dataDxfId="173" totalsRowDxfId="172">
      <calculatedColumnFormula array="1">Get_34_Calc</calculatedColumnFormula>
    </tableColumn>
    <tableColumn id="118" xr3:uid="{DEAF0FA5-8ADE-45D7-B112-EA03FAA0D896}" name="34 - 存入" dataDxfId="171" totalsRowDxfId="170">
      <calculatedColumnFormula array="1">Get_34_Add</calculatedColumnFormula>
    </tableColumn>
    <tableColumn id="119" xr3:uid="{C95831F4-24FC-40B7-A0D8-FEBAAA6EAD80}" name="34 - 支取" dataDxfId="169" totalsRowDxfId="168">
      <calculatedColumnFormula array="1">Get_34_Del</calculatedColumnFormula>
    </tableColumn>
    <tableColumn id="120" xr3:uid="{8C22D30B-320F-49E4-B37A-57A3D5DEE429}" name="35 - 剩余" dataDxfId="167" totalsRowDxfId="166">
      <calculatedColumnFormula array="1">Get_35_Calc</calculatedColumnFormula>
    </tableColumn>
    <tableColumn id="115" xr3:uid="{DC9FF648-80A3-480C-8295-816AE96549F0}" name="35 - 存入" dataDxfId="165" totalsRowDxfId="164">
      <calculatedColumnFormula array="1">Get_35_Add</calculatedColumnFormula>
    </tableColumn>
    <tableColumn id="116" xr3:uid="{19FD796A-C39B-4913-B2F4-CF8C8A6E2355}" name="35 - 支取" dataDxfId="163" totalsRowDxfId="162">
      <calculatedColumnFormula array="1">Get_35_Del</calculatedColumnFormula>
    </tableColumn>
    <tableColumn id="117" xr3:uid="{329AC6EB-CF46-4F1E-A1D1-49A8B17CACCD}" name="36 - 剩余" dataDxfId="161" totalsRowDxfId="160">
      <calculatedColumnFormula array="1">Get_36_Calc</calculatedColumnFormula>
    </tableColumn>
    <tableColumn id="77" xr3:uid="{D18373BA-DB75-470C-9939-60206C36267B}" name="36 - 存入" dataDxfId="159" totalsRowDxfId="158">
      <calculatedColumnFormula array="1">Get_36_Add</calculatedColumnFormula>
    </tableColumn>
    <tableColumn id="76" xr3:uid="{8C923C1F-8AAD-4F00-B3ED-8C81417C548A}" name="36 - 支取" dataDxfId="157" totalsRowDxfId="156">
      <calculatedColumnFormula array="1">Get_36_Del</calculatedColumnFormula>
    </tableColumn>
    <tableColumn id="132" xr3:uid="{F6203D74-C033-4FEA-B4CE-F892F2B07270}" name="37 - 剩余" dataDxfId="155" totalsRowDxfId="154">
      <calculatedColumnFormula array="1">Get_37_Calc</calculatedColumnFormula>
    </tableColumn>
    <tableColumn id="133" xr3:uid="{BA7DE93C-8EE4-4DDC-BC04-EC21986490A7}" name="37 - 存入" dataDxfId="153" totalsRowDxfId="152">
      <calculatedColumnFormula array="1">Get_37_Add</calculatedColumnFormula>
    </tableColumn>
    <tableColumn id="128" xr3:uid="{A2AB67E7-67E5-4957-9EB1-A4A37B61C71A}" name="37 - 支取" dataDxfId="151" totalsRowDxfId="150">
      <calculatedColumnFormula array="1">Get_37_Del</calculatedColumnFormula>
    </tableColumn>
    <tableColumn id="129" xr3:uid="{15573BDA-20F9-4C2F-9D6F-18F743FC6E25}" name="38 - 剩余" dataDxfId="149" totalsRowDxfId="148">
      <calculatedColumnFormula array="1">Get_38_Calc</calculatedColumnFormula>
    </tableColumn>
    <tableColumn id="130" xr3:uid="{C0F229CF-C5D6-4F11-8F55-7692B00DC0E3}" name="38 - 存入" dataDxfId="147" totalsRowDxfId="146">
      <calculatedColumnFormula array="1">Get_38_Add</calculatedColumnFormula>
    </tableColumn>
    <tableColumn id="125" xr3:uid="{24A0AFA6-873B-40D0-95AA-269E0E8A05E1}" name="38 - 支取" dataDxfId="145" totalsRowDxfId="144">
      <calculatedColumnFormula array="1">Get_38_Del</calculatedColumnFormula>
    </tableColumn>
    <tableColumn id="126" xr3:uid="{20897FAE-D3FE-48DD-961E-6A6443173FA9}" name="39 - 剩余" dataDxfId="143" totalsRowDxfId="142">
      <calculatedColumnFormula array="1">Get_39_Calc</calculatedColumnFormula>
    </tableColumn>
    <tableColumn id="127" xr3:uid="{35F30295-EDB2-4D7F-939D-DFAC52BB2A9F}" name="39 - 存入" dataDxfId="141" totalsRowDxfId="140">
      <calculatedColumnFormula array="1">Get_39_Add</calculatedColumnFormula>
    </tableColumn>
    <tableColumn id="124" xr3:uid="{AF953A41-E1B0-4337-8A8E-F951C493EDE8}" name="39 - 支取" dataDxfId="139" totalsRowDxfId="138">
      <calculatedColumnFormula array="1">Get_39_Del</calculatedColumnFormula>
    </tableColumn>
    <tableColumn id="75" xr3:uid="{07F02D24-5D96-40AE-BCE0-590F79C6D5DF}" name="40 - 剩余" dataDxfId="137" totalsRowDxfId="136">
      <calculatedColumnFormula array="1">Get_40_Calc</calculatedColumnFormula>
    </tableColumn>
    <tableColumn id="134" xr3:uid="{1075256E-BEBC-4E72-B0F5-766EF175AB4B}" name="40 - 存入" dataDxfId="135" totalsRowDxfId="134">
      <calculatedColumnFormula array="1">Get_40_Add</calculatedColumnFormula>
    </tableColumn>
    <tableColumn id="74" xr3:uid="{DAFDE2C6-F321-4651-AA25-F4B29B9F690B}" name="40 - 支取" dataDxfId="133" totalsRowDxfId="132">
      <calculatedColumnFormula array="1">Get_40_Del</calculatedColumnFormula>
    </tableColumn>
    <tableColumn id="2" xr3:uid="{6838A7E0-670C-4A2D-AF67-326212D8D278}" name="姓氏" dataDxfId="131" totalsRowDxfId="130"/>
    <tableColumn id="25" xr3:uid="{0E0946FC-F3D2-412C-BDE7-636B8FDBFE7C}" name="名字" dataDxfId="129" totalsRowDxfId="128"/>
    <tableColumn id="3" xr3:uid="{E7DD7F6C-DAA7-4B96-9638-5C8F7FEFCC2E}" name="性别" dataDxfId="127" totalsRowDxfId="126"/>
    <tableColumn id="23" xr3:uid="{AABD28F8-91AC-4EA0-915D-2F3C990C193D}" name="身份证号码" dataDxfId="125" totalsRowDxfId="124"/>
    <tableColumn id="24" xr3:uid="{14505223-157D-4FB0-A334-A4E4687523F8}" name="年龄" dataDxfId="123" totalsRowDxfId="122"/>
    <tableColumn id="4" xr3:uid="{B39F2860-CADF-40CB-832A-CCDE8501D7E3}" name="电话" dataDxfId="121" totalsRowDxfId="120"/>
    <tableColumn id="16" xr3:uid="{6E8928D1-6540-4241-9B8F-BFBC65F8DA26}" name="Email" dataDxfId="119"/>
    <tableColumn id="17" xr3:uid="{5422D38F-7826-4B14-9992-0434FAF52537}" name="家庭住址" dataDxfId="118" totalsRowDxfId="117"/>
    <tableColumn id="13" xr3:uid="{1096126D-9431-4280-89CE-FD45CA05D86A}" name="添加会员时间" dataDxfId="116" totalsRowDxfId="115"/>
    <tableColumn id="22" xr3:uid="{8DAD451D-44A8-40A3-A244-DDF540273F95}" name="工号" dataDxfId="114" totalsRowDxfId="113"/>
    <tableColumn id="12" xr3:uid="{A8D286B9-575E-4C05-8F77-63C322A43E3C}" name="备注" totalsRowFunction="count" dataDxfId="112" totalsRowDxfId="111"/>
    <tableColumn id="136" xr3:uid="{9DC52501-92B3-403C-B774-B4BEC74155B7}" name="总共已关联" dataDxfId="110">
      <calculatedColumnFormula array="1">History_Total</calculatedColumnFormula>
    </tableColumn>
    <tableColumn id="138" xr3:uid="{8445EC16-52CF-4D09-997B-6B208A387864}" name="已关联存入" dataDxfId="109">
      <calculatedColumnFormula array="1">History_Saved</calculatedColumnFormula>
    </tableColumn>
    <tableColumn id="139" xr3:uid="{08FB3718-0AE0-47D7-8C17-876AE7BF59F9}" name="已关联支取" dataDxfId="108">
      <calculatedColumnFormula array="1">History_Withdraw</calculatedColumnFormula>
    </tableColumn>
    <tableColumn id="131" xr3:uid="{191B0739-DB33-44E7-AE05-0D5F0059327C}" name="状态" dataDxfId="107" totalsRowDxfId="10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6:AV8" totalsRowShown="0" headerRowDxfId="103" dataDxfId="102">
  <autoFilter ref="B6:AV8" xr:uid="{B82E5E9F-8725-4EAF-B9F2-1889C4CE31C6}"/>
  <tableColumns count="47">
    <tableColumn id="1" xr3:uid="{B2E2102C-8F4D-4C47-9CD3-463EA2BB39CA}" name="序号" dataDxfId="101" totalsRowDxfId="100">
      <calculatedColumnFormula array="1">SN</calculatedColumnFormula>
    </tableColumn>
    <tableColumn id="2" xr3:uid="{B2493920-5E1A-4FDC-9855-B9542A099E48}" name="唯一识别码" dataDxfId="99" totalsRowDxfId="98"/>
    <tableColumn id="5" xr3:uid="{5B86D5AB-C839-4645-A1C3-6DB8BE627282}" name="1" dataDxfId="97" totalsRowDxfId="96"/>
    <tableColumn id="6" xr3:uid="{D0DA84C9-F1D2-46E3-B7CE-A8366D8983EB}" name="2" dataDxfId="95" totalsRowDxfId="94"/>
    <tableColumn id="18" xr3:uid="{9E40E7FF-8010-4EF5-8D65-05F090D03F3E}" name="3" dataDxfId="93" totalsRowDxfId="92"/>
    <tableColumn id="21" xr3:uid="{5F083938-0DC4-423F-A299-44247D468027}" name="4" dataDxfId="91" totalsRowDxfId="90"/>
    <tableColumn id="22" xr3:uid="{24908B7A-CF9B-4D63-9022-D399C13A94C1}" name="5" dataDxfId="89" totalsRowDxfId="88"/>
    <tableColumn id="19" xr3:uid="{BEB80215-8B61-4914-86E2-724F4F55059E}" name="6" dataDxfId="87" totalsRowDxfId="86"/>
    <tableColumn id="20" xr3:uid="{E54DF6BD-FDB6-4958-9792-37D84186C5F8}" name="7" dataDxfId="85" totalsRowDxfId="84"/>
    <tableColumn id="17" xr3:uid="{3C5E9469-24AB-4CCF-9097-5413D53FE08B}" name="8" dataDxfId="83" totalsRowDxfId="82"/>
    <tableColumn id="25" xr3:uid="{DF31ADD6-D425-448A-84D6-24EA4C755749}" name="9" dataDxfId="81" totalsRowDxfId="80"/>
    <tableColumn id="24" xr3:uid="{C42F8972-B742-4D35-A952-3D872596299B}" name="10" dataDxfId="79" totalsRowDxfId="78"/>
    <tableColumn id="23" xr3:uid="{B41C44E2-038E-439D-88E8-97ACB7CC434D}" name="11" dataDxfId="77" totalsRowDxfId="76"/>
    <tableColumn id="16" xr3:uid="{6BD74C15-D3CF-47C3-AFCC-D562BF1584D8}" name="12" dataDxfId="75" totalsRowDxfId="74"/>
    <tableColumn id="26" xr3:uid="{3AA81C31-DC87-4EC0-8317-62466BCA688D}" name="13" dataDxfId="73" totalsRowDxfId="72"/>
    <tableColumn id="29" xr3:uid="{C0462957-AD6C-4B5C-8DE8-98D81D3496D1}" name="14" dataDxfId="71" totalsRowDxfId="70"/>
    <tableColumn id="30" xr3:uid="{91E73BB4-A5D3-4098-ADFA-7676E1DD74AC}" name="15" dataDxfId="69" totalsRowDxfId="68"/>
    <tableColumn id="27" xr3:uid="{7188DC63-0EDC-479C-8DF8-171846E035A9}" name="16" dataDxfId="67" totalsRowDxfId="66"/>
    <tableColumn id="28" xr3:uid="{902017B5-4692-492C-9165-FFBAA7A9EFA2}" name="17" dataDxfId="65" totalsRowDxfId="64"/>
    <tableColumn id="15" xr3:uid="{3A772841-0990-4D32-BD79-3A55F182D58A}" name="18" dataDxfId="63" totalsRowDxfId="62"/>
    <tableColumn id="13" xr3:uid="{5994AF1F-2C09-49F7-BEAE-5244545BE579}" name="19" dataDxfId="61" totalsRowDxfId="60"/>
    <tableColumn id="12" xr3:uid="{52D6369B-5841-4774-8BDE-05C74F09EAC1}" name="20" dataDxfId="59" totalsRowDxfId="58"/>
    <tableColumn id="31" xr3:uid="{C83E34E8-13E7-40AC-9737-31D4F44EA5C0}" name="21" dataDxfId="57" totalsRowDxfId="56"/>
    <tableColumn id="33" xr3:uid="{20040D15-F787-4792-8F8C-D184E466DD4A}" name="22" dataDxfId="55" totalsRowDxfId="54"/>
    <tableColumn id="39" xr3:uid="{874A0112-6044-4784-9336-AC836F681062}" name="23" dataDxfId="53" totalsRowDxfId="52"/>
    <tableColumn id="40" xr3:uid="{A335E465-437A-4DCA-AE73-6DBF20019402}" name="24" dataDxfId="51" totalsRowDxfId="50"/>
    <tableColumn id="41" xr3:uid="{723CE42E-61DF-4AF1-B805-025AD3796144}" name="25" dataDxfId="49" totalsRowDxfId="48"/>
    <tableColumn id="47" xr3:uid="{AC0C5112-91DB-476F-9326-03A00C1CC4D7}" name="26" dataDxfId="47" totalsRowDxfId="46"/>
    <tableColumn id="48" xr3:uid="{0CCD12DC-90CB-4A7B-B37F-0CDFD12C9E26}" name="27" dataDxfId="45" totalsRowDxfId="44"/>
    <tableColumn id="49" xr3:uid="{32093088-A6B1-4E81-8060-8081572AEB3C}" name="28" dataDxfId="43" totalsRowDxfId="42"/>
    <tableColumn id="50" xr3:uid="{E73E4046-D91C-4103-8FF5-CE3DABE5943E}" name="29" dataDxfId="41" totalsRowDxfId="40"/>
    <tableColumn id="42" xr3:uid="{7535B89E-1BDE-4FCD-8270-64B6BD553E66}" name="30" dataDxfId="39" totalsRowDxfId="38"/>
    <tableColumn id="43" xr3:uid="{0EF5131B-2964-41D8-8B4F-5CE8425A8E17}" name="31" dataDxfId="37" totalsRowDxfId="36"/>
    <tableColumn id="44" xr3:uid="{07794504-345E-44DA-BFFD-0FC011CA8C0C}" name="32" dataDxfId="35" totalsRowDxfId="34"/>
    <tableColumn id="45" xr3:uid="{742F74DB-184C-47F9-BC8D-88717E4EAAE9}" name="33" dataDxfId="33" totalsRowDxfId="32"/>
    <tableColumn id="46" xr3:uid="{6C4ACE81-DC94-4085-8445-2A590B8AC004}" name="34" dataDxfId="31" totalsRowDxfId="30"/>
    <tableColumn id="36" xr3:uid="{B8E7051A-604E-4DED-90C9-55AFE95C1751}" name="35" dataDxfId="29" totalsRowDxfId="28"/>
    <tableColumn id="37" xr3:uid="{D0A1BB8D-7A59-4F4C-9F61-A39E97785CEF}" name="36" dataDxfId="27" totalsRowDxfId="26"/>
    <tableColumn id="38" xr3:uid="{16A3E285-8C93-4999-A0E2-03857615F7A9}" name="37" dataDxfId="25" totalsRowDxfId="24"/>
    <tableColumn id="34" xr3:uid="{8FFD9156-81BC-4797-9171-05EBE094577A}" name="38" dataDxfId="23" totalsRowDxfId="22"/>
    <tableColumn id="35" xr3:uid="{399AED98-1FD4-4BCA-BA5E-1AF3891EC865}" name="39" dataDxfId="21" totalsRowDxfId="20"/>
    <tableColumn id="32" xr3:uid="{A8DF16A5-4D2C-4246-8D26-BA66F2E409B7}" name="40" dataDxfId="19" totalsRowDxfId="18"/>
    <tableColumn id="4" xr3:uid="{702BF576-18B9-4757-B976-A4C2C46CD578}" name="类型" dataDxfId="17" totalsRowDxfId="16"/>
    <tableColumn id="3" xr3:uid="{2DB9E3FB-FAB2-4AAE-92D3-3923415905C1}" name="时间" dataDxfId="15" totalsRowDxfId="14"/>
    <tableColumn id="7" xr3:uid="{09F84C56-CC9A-4AF7-B58F-B7114DD50367}" name="工号" dataDxfId="13" totalsRowDxfId="12"/>
    <tableColumn id="8" xr3:uid="{56756BBB-4B3E-40A7-A199-808B905113E1}" name="备注" dataDxfId="11" totalsRowDxfId="10"/>
    <tableColumn id="9" xr3:uid="{5B8F09C5-27BD-4EA3-848B-D053828646F7}" name="状态" dataDxfId="9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BD96"/>
  <sheetViews>
    <sheetView showGridLines="0" tabSelected="1" zoomScaleNormal="100" workbookViewId="0">
      <pane ySplit="6" topLeftCell="A7" activePane="bottomLeft" state="frozen"/>
      <selection pane="bottomLeft" activeCell="D7" sqref="D7"/>
    </sheetView>
  </sheetViews>
  <sheetFormatPr defaultColWidth="0" defaultRowHeight="0" customHeight="1" zeroHeight="1"/>
  <cols>
    <col min="1" max="1" width="2.69140625" style="13" customWidth="1"/>
    <col min="2" max="2" width="14.69140625" style="13" customWidth="1"/>
    <col min="3" max="3" width="18.69140625" style="13" customWidth="1"/>
    <col min="4" max="15" width="14.69140625" style="13" customWidth="1"/>
    <col min="16" max="19" width="14.69140625" style="13" hidden="1" customWidth="1"/>
    <col min="20" max="20" width="2.69140625" style="13" customWidth="1"/>
    <col min="21" max="53" width="9.15234375" style="13" hidden="1" customWidth="1"/>
    <col min="54" max="55" width="18.69140625" style="13" hidden="1" customWidth="1"/>
    <col min="56" max="56" width="60.69140625" style="13" hidden="1" customWidth="1"/>
    <col min="57" max="16384" width="9.15234375" style="13" hidden="1"/>
  </cols>
  <sheetData>
    <row r="1" spans="2:56" s="53" customFormat="1" ht="6" customHeight="1"/>
    <row r="2" spans="2:56" s="54" customFormat="1" ht="10.1" customHeight="1"/>
    <row r="3" spans="2:56" s="54" customFormat="1" ht="40" customHeight="1">
      <c r="B3" s="55"/>
      <c r="C3" s="56" t="s">
        <v>81</v>
      </c>
    </row>
    <row r="4" spans="2:56" s="54" customFormat="1" ht="8.25" customHeight="1">
      <c r="B4" s="55"/>
      <c r="C4" s="57"/>
    </row>
    <row r="5" spans="2:56" s="54" customFormat="1" ht="40" customHeight="1">
      <c r="B5" s="55"/>
      <c r="C5" s="58" t="s">
        <v>228</v>
      </c>
    </row>
    <row r="6" spans="2:56" ht="16.5" customHeight="1">
      <c r="I6" s="59"/>
      <c r="J6" s="59"/>
      <c r="K6" s="59"/>
      <c r="L6" s="59"/>
      <c r="M6" s="59"/>
    </row>
    <row r="7" spans="2:56" ht="40" customHeight="1">
      <c r="B7" s="60" t="s">
        <v>13</v>
      </c>
      <c r="C7" s="61" t="s">
        <v>12</v>
      </c>
      <c r="D7" s="34" t="s">
        <v>18</v>
      </c>
      <c r="E7" s="62"/>
      <c r="F7" s="62"/>
      <c r="G7" s="62"/>
      <c r="H7" s="62"/>
      <c r="I7" s="62"/>
      <c r="J7" s="62"/>
      <c r="K7" s="62"/>
      <c r="L7" s="62"/>
      <c r="M7" s="62"/>
      <c r="N7" s="62"/>
      <c r="O7" s="62"/>
      <c r="BB7" s="13" t="s">
        <v>427</v>
      </c>
    </row>
    <row r="8" spans="2:56" ht="8.25" customHeight="1"/>
    <row r="9" spans="2:56" ht="40" customHeight="1">
      <c r="B9" s="60" t="s">
        <v>14</v>
      </c>
      <c r="C9" s="61" t="s">
        <v>209</v>
      </c>
      <c r="D9" s="61"/>
      <c r="E9" s="61"/>
      <c r="F9" s="61"/>
      <c r="G9" s="61" t="s">
        <v>243</v>
      </c>
      <c r="H9" s="103" t="s">
        <v>215</v>
      </c>
      <c r="I9" s="103"/>
      <c r="J9" s="103"/>
      <c r="K9" s="102" t="s">
        <v>226</v>
      </c>
      <c r="L9" s="102"/>
      <c r="M9" s="102"/>
      <c r="N9" s="102" t="s">
        <v>269</v>
      </c>
      <c r="O9" s="102"/>
      <c r="P9" s="102" t="s">
        <v>410</v>
      </c>
      <c r="Q9" s="102"/>
      <c r="R9" s="102"/>
      <c r="S9" s="102"/>
      <c r="BB9" s="13" t="s">
        <v>428</v>
      </c>
      <c r="BC9" s="13" t="s">
        <v>0</v>
      </c>
      <c r="BD9" s="13" t="s">
        <v>429</v>
      </c>
    </row>
    <row r="10" spans="2:56" ht="40" customHeight="1">
      <c r="B10" s="60"/>
      <c r="C10" s="61"/>
      <c r="D10" s="30" t="s">
        <v>3</v>
      </c>
      <c r="E10" s="30" t="s">
        <v>214</v>
      </c>
      <c r="F10" s="30" t="s">
        <v>41</v>
      </c>
      <c r="G10" s="30" t="s">
        <v>242</v>
      </c>
      <c r="H10" s="30" t="s">
        <v>224</v>
      </c>
      <c r="I10" s="30" t="s">
        <v>229</v>
      </c>
      <c r="J10" s="30" t="s">
        <v>230</v>
      </c>
      <c r="K10" s="30" t="s">
        <v>213</v>
      </c>
      <c r="L10" s="30" t="s">
        <v>227</v>
      </c>
      <c r="M10" s="30" t="s">
        <v>216</v>
      </c>
      <c r="N10" s="30" t="s">
        <v>270</v>
      </c>
      <c r="O10" s="30" t="s">
        <v>271</v>
      </c>
      <c r="P10" s="30" t="s">
        <v>406</v>
      </c>
      <c r="Q10" s="30" t="s">
        <v>407</v>
      </c>
      <c r="R10" s="30" t="s">
        <v>408</v>
      </c>
      <c r="S10" s="30" t="s">
        <v>409</v>
      </c>
      <c r="BC10" s="13" t="s">
        <v>430</v>
      </c>
      <c r="BD10" s="13" t="s">
        <v>123</v>
      </c>
    </row>
    <row r="11" spans="2:56" ht="40" customHeight="1">
      <c r="B11" s="60"/>
      <c r="C11" s="61"/>
      <c r="D11" s="63" t="str">
        <f>CONCATENATE(Store_Setting[[#This Row],[商品序号]], IF(Store_Setting[[#This Row],[商品名称]]="","", _xlfn.CONCAT(" | ",_xlfn.SINGLE(Store_Setting[商品名称]))))</f>
        <v>1 | 1</v>
      </c>
      <c r="E11" s="9">
        <v>1</v>
      </c>
      <c r="F11" s="33" t="s">
        <v>69</v>
      </c>
      <c r="G11" s="31">
        <f>Store_Setting[[#This Row],[库存负差]]-SUM(Store_Setting[[#This Row],[已存入]]-Store_Setting[[#This Row],[已支取]])</f>
        <v>0</v>
      </c>
      <c r="H11" s="25">
        <f>SUM(UserInfo[1 - 剩余])</f>
        <v>0</v>
      </c>
      <c r="I11" s="25">
        <f>SUM(UserInfo[1 - 存入])</f>
        <v>0</v>
      </c>
      <c r="J11" s="25">
        <f>SUM(UserInfo[1 - 支取])</f>
        <v>0</v>
      </c>
      <c r="K11" s="25">
        <f>Store_Setting[[#This Row],[入库小计]]-Store_Setting[[#This Row],[取货小计]]</f>
        <v>0</v>
      </c>
      <c r="L11" s="25">
        <f>SUMIFS(Store_History[数量],Store_History[唯一识别码],Store_Setting[[#This Row],[唯一识别码]],Store_History[类型],$D$81)</f>
        <v>0</v>
      </c>
      <c r="M11" s="25">
        <f>SUMIFS(Store_History[数量],Store_History[唯一识别码],Store_Setting[[#This Row],[唯一识别码]],Store_History[类型],$E$81)</f>
        <v>0</v>
      </c>
      <c r="N11" s="33" t="s">
        <v>123</v>
      </c>
      <c r="O11" s="33" t="s">
        <v>123</v>
      </c>
      <c r="P11" s="9" t="s">
        <v>312</v>
      </c>
      <c r="Q11" s="9" t="s">
        <v>273</v>
      </c>
      <c r="R11" s="9" t="s">
        <v>274</v>
      </c>
      <c r="S11" s="9" t="s">
        <v>272</v>
      </c>
      <c r="BC11" s="13" t="s">
        <v>431</v>
      </c>
      <c r="BD11" s="13" t="s">
        <v>124</v>
      </c>
    </row>
    <row r="12" spans="2:56" ht="40" customHeight="1">
      <c r="B12" s="60"/>
      <c r="C12" s="61"/>
      <c r="D12" s="63" t="str">
        <f>CONCATENATE(Store_Setting[[#This Row],[商品序号]], IF(Store_Setting[[#This Row],[商品名称]]="","", _xlfn.CONCAT(" | ",_xlfn.SINGLE(Store_Setting[商品名称]))))</f>
        <v>2 | 2</v>
      </c>
      <c r="E12" s="9">
        <v>2</v>
      </c>
      <c r="F12" s="33" t="s">
        <v>70</v>
      </c>
      <c r="G12" s="31">
        <f>Store_Setting[[#This Row],[库存负差]]-SUM(Store_Setting[[#This Row],[已存入]]-Store_Setting[[#This Row],[已支取]])</f>
        <v>0</v>
      </c>
      <c r="H12" s="25">
        <f>SUM(UserInfo[2 - 剩余])</f>
        <v>0</v>
      </c>
      <c r="I12" s="25">
        <f>SUM(UserInfo[2 - 存入])</f>
        <v>0</v>
      </c>
      <c r="J12" s="25">
        <f>SUM(UserInfo[2 - 支取])</f>
        <v>0</v>
      </c>
      <c r="K12" s="25">
        <f>Store_Setting[[#This Row],[入库小计]]-Store_Setting[[#This Row],[取货小计]]</f>
        <v>0</v>
      </c>
      <c r="L12" s="25">
        <f>SUMIFS(Store_History[数量],Store_History[唯一识别码],Store_Setting[[#This Row],[唯一识别码]],Store_History[类型],$D$81)</f>
        <v>0</v>
      </c>
      <c r="M12" s="25">
        <f>SUMIFS(Store_History[数量],Store_History[唯一识别码],Store_Setting[[#This Row],[唯一识别码]],Store_History[类型],$E$81)</f>
        <v>0</v>
      </c>
      <c r="N12" s="33" t="s">
        <v>123</v>
      </c>
      <c r="O12" s="33" t="s">
        <v>123</v>
      </c>
      <c r="P12" s="9" t="s">
        <v>313</v>
      </c>
      <c r="Q12" s="9" t="s">
        <v>276</v>
      </c>
      <c r="R12" s="9" t="s">
        <v>277</v>
      </c>
      <c r="S12" s="9" t="s">
        <v>273</v>
      </c>
      <c r="BD12" s="13" t="s">
        <v>3</v>
      </c>
    </row>
    <row r="13" spans="2:56" ht="40" customHeight="1">
      <c r="B13" s="60"/>
      <c r="C13" s="61"/>
      <c r="D13" s="63" t="str">
        <f>CONCATENATE(Store_Setting[[#This Row],[商品序号]], IF(Store_Setting[[#This Row],[商品名称]]="","", _xlfn.CONCAT(" | ",_xlfn.SINGLE(Store_Setting[商品名称]))))</f>
        <v>3</v>
      </c>
      <c r="E13" s="9">
        <v>3</v>
      </c>
      <c r="F13" s="33"/>
      <c r="G13" s="31">
        <f>Store_Setting[[#This Row],[库存负差]]-SUM(Store_Setting[[#This Row],[已存入]]-Store_Setting[[#This Row],[已支取]])</f>
        <v>0</v>
      </c>
      <c r="H13" s="25">
        <f>SUM(UserInfo[3 - 剩余])</f>
        <v>0</v>
      </c>
      <c r="I13" s="25">
        <f>SUM(UserInfo[3 - 存入])</f>
        <v>0</v>
      </c>
      <c r="J13" s="25">
        <f>SUM(UserInfo[3 - 支取])</f>
        <v>0</v>
      </c>
      <c r="K13" s="25">
        <f>Store_Setting[[#This Row],[入库小计]]-Store_Setting[[#This Row],[取货小计]]</f>
        <v>0</v>
      </c>
      <c r="L13" s="25">
        <f>SUMIFS(Store_History[数量],Store_History[唯一识别码],Store_Setting[[#This Row],[唯一识别码]],Store_History[类型],$D$81)</f>
        <v>0</v>
      </c>
      <c r="M13" s="25">
        <f>SUMIFS(Store_History[数量],Store_History[唯一识别码],Store_Setting[[#This Row],[唯一识别码]],Store_History[类型],$E$81)</f>
        <v>0</v>
      </c>
      <c r="N13" s="33" t="s">
        <v>123</v>
      </c>
      <c r="O13" s="33" t="s">
        <v>123</v>
      </c>
      <c r="P13" s="9" t="s">
        <v>314</v>
      </c>
      <c r="Q13" s="9" t="s">
        <v>279</v>
      </c>
      <c r="R13" s="9" t="s">
        <v>280</v>
      </c>
      <c r="S13" s="9" t="s">
        <v>274</v>
      </c>
      <c r="BD13" s="13" t="s">
        <v>438</v>
      </c>
    </row>
    <row r="14" spans="2:56" ht="40" customHeight="1">
      <c r="B14" s="60"/>
      <c r="C14" s="61"/>
      <c r="D14" s="63" t="str">
        <f>CONCATENATE(Store_Setting[[#This Row],[商品序号]], IF(Store_Setting[[#This Row],[商品名称]]="","", _xlfn.CONCAT(" | ",_xlfn.SINGLE(Store_Setting[商品名称]))))</f>
        <v>4</v>
      </c>
      <c r="E14" s="9">
        <v>4</v>
      </c>
      <c r="F14" s="33"/>
      <c r="G14" s="31">
        <f>Store_Setting[[#This Row],[库存负差]]-SUM(Store_Setting[[#This Row],[已存入]]-Store_Setting[[#This Row],[已支取]])</f>
        <v>0</v>
      </c>
      <c r="H14" s="25">
        <f>SUM(UserInfo[4 - 剩余])</f>
        <v>0</v>
      </c>
      <c r="I14" s="25">
        <f>SUM(UserInfo[4 - 存入])</f>
        <v>0</v>
      </c>
      <c r="J14" s="25">
        <f>SUM(UserInfo[4 - 支取])</f>
        <v>0</v>
      </c>
      <c r="K14" s="25">
        <f>Store_Setting[[#This Row],[入库小计]]-Store_Setting[[#This Row],[取货小计]]</f>
        <v>0</v>
      </c>
      <c r="L14" s="25">
        <f>SUMIFS(Store_History[数量],Store_History[唯一识别码],Store_Setting[[#This Row],[唯一识别码]],Store_History[类型],$D$81)</f>
        <v>0</v>
      </c>
      <c r="M14" s="25">
        <f>SUMIFS(Store_History[数量],Store_History[唯一识别码],Store_Setting[[#This Row],[唯一识别码]],Store_History[类型],$E$81)</f>
        <v>0</v>
      </c>
      <c r="N14" s="33" t="s">
        <v>123</v>
      </c>
      <c r="O14" s="33" t="s">
        <v>123</v>
      </c>
      <c r="P14" s="9" t="s">
        <v>315</v>
      </c>
      <c r="Q14" s="9" t="s">
        <v>282</v>
      </c>
      <c r="R14" s="9" t="s">
        <v>283</v>
      </c>
      <c r="S14" s="9" t="s">
        <v>275</v>
      </c>
      <c r="BD14" s="13" t="s">
        <v>452</v>
      </c>
    </row>
    <row r="15" spans="2:56" ht="40" customHeight="1">
      <c r="B15" s="60"/>
      <c r="C15" s="61"/>
      <c r="D15" s="63" t="str">
        <f>CONCATENATE(Store_Setting[[#This Row],[商品序号]], IF(Store_Setting[[#This Row],[商品名称]]="","", _xlfn.CONCAT(" | ",_xlfn.SINGLE(Store_Setting[商品名称]))))</f>
        <v>5</v>
      </c>
      <c r="E15" s="9">
        <v>5</v>
      </c>
      <c r="F15" s="33"/>
      <c r="G15" s="31">
        <f>Store_Setting[[#This Row],[库存负差]]-SUM(Store_Setting[[#This Row],[已存入]]-Store_Setting[[#This Row],[已支取]])</f>
        <v>0</v>
      </c>
      <c r="H15" s="25">
        <f>SUM(UserInfo[5 - 剩余])</f>
        <v>0</v>
      </c>
      <c r="I15" s="25">
        <f>SUM(UserInfo[5 - 存入])</f>
        <v>0</v>
      </c>
      <c r="J15" s="25">
        <f>SUM(UserInfo[5 - 支取])</f>
        <v>0</v>
      </c>
      <c r="K15" s="25">
        <f>Store_Setting[[#This Row],[入库小计]]-Store_Setting[[#This Row],[取货小计]]</f>
        <v>0</v>
      </c>
      <c r="L15" s="25">
        <f>SUMIFS(Store_History[数量],Store_History[唯一识别码],Store_Setting[[#This Row],[唯一识别码]],Store_History[类型],$D$81)</f>
        <v>0</v>
      </c>
      <c r="M15" s="25">
        <f>SUMIFS(Store_History[数量],Store_History[唯一识别码],Store_Setting[[#This Row],[唯一识别码]],Store_History[类型],$E$81)</f>
        <v>0</v>
      </c>
      <c r="N15" s="33" t="s">
        <v>123</v>
      </c>
      <c r="O15" s="33" t="s">
        <v>123</v>
      </c>
      <c r="P15" s="9" t="s">
        <v>316</v>
      </c>
      <c r="Q15" s="9" t="s">
        <v>285</v>
      </c>
      <c r="R15" s="9" t="s">
        <v>286</v>
      </c>
      <c r="S15" s="9" t="s">
        <v>276</v>
      </c>
      <c r="BD15" s="13" t="s">
        <v>434</v>
      </c>
    </row>
    <row r="16" spans="2:56" ht="40" customHeight="1">
      <c r="B16" s="60"/>
      <c r="C16" s="61"/>
      <c r="D16" s="63" t="str">
        <f>CONCATENATE(Store_Setting[[#This Row],[商品序号]], IF(Store_Setting[[#This Row],[商品名称]]="","", _xlfn.CONCAT(" | ",_xlfn.SINGLE(Store_Setting[商品名称]))))</f>
        <v>6</v>
      </c>
      <c r="E16" s="9">
        <v>6</v>
      </c>
      <c r="F16" s="33"/>
      <c r="G16" s="31">
        <f>Store_Setting[[#This Row],[库存负差]]-SUM(Store_Setting[[#This Row],[已存入]]-Store_Setting[[#This Row],[已支取]])</f>
        <v>0</v>
      </c>
      <c r="H16" s="25">
        <f>SUM(UserInfo[6 - 剩余])</f>
        <v>0</v>
      </c>
      <c r="I16" s="25">
        <f>SUM(UserInfo[6 - 存入])</f>
        <v>0</v>
      </c>
      <c r="J16" s="25">
        <f>SUM(UserInfo[6 - 支取])</f>
        <v>0</v>
      </c>
      <c r="K16" s="25">
        <f>Store_Setting[[#This Row],[入库小计]]-Store_Setting[[#This Row],[取货小计]]</f>
        <v>0</v>
      </c>
      <c r="L16" s="25">
        <f>SUMIFS(Store_History[数量],Store_History[唯一识别码],Store_Setting[[#This Row],[唯一识别码]],Store_History[类型],$D$81)</f>
        <v>0</v>
      </c>
      <c r="M16" s="25">
        <f>SUMIFS(Store_History[数量],Store_History[唯一识别码],Store_Setting[[#This Row],[唯一识别码]],Store_History[类型],$E$81)</f>
        <v>0</v>
      </c>
      <c r="N16" s="33" t="s">
        <v>123</v>
      </c>
      <c r="O16" s="33" t="s">
        <v>123</v>
      </c>
      <c r="P16" s="9" t="s">
        <v>317</v>
      </c>
      <c r="Q16" s="9" t="s">
        <v>288</v>
      </c>
      <c r="R16" s="9" t="s">
        <v>289</v>
      </c>
      <c r="S16" s="9" t="s">
        <v>277</v>
      </c>
      <c r="BD16" s="13" t="s">
        <v>454</v>
      </c>
    </row>
    <row r="17" spans="2:56" ht="40" customHeight="1">
      <c r="B17" s="60"/>
      <c r="C17" s="61"/>
      <c r="D17" s="63" t="str">
        <f>CONCATENATE(Store_Setting[[#This Row],[商品序号]], IF(Store_Setting[[#This Row],[商品名称]]="","", _xlfn.CONCAT(" | ",_xlfn.SINGLE(Store_Setting[商品名称]))))</f>
        <v>7</v>
      </c>
      <c r="E17" s="9">
        <v>7</v>
      </c>
      <c r="F17" s="33"/>
      <c r="G17" s="31">
        <f>Store_Setting[[#This Row],[库存负差]]-SUM(Store_Setting[[#This Row],[已存入]]-Store_Setting[[#This Row],[已支取]])</f>
        <v>0</v>
      </c>
      <c r="H17" s="25">
        <f>SUM(UserInfo[7 - 剩余])</f>
        <v>0</v>
      </c>
      <c r="I17" s="25">
        <f>SUM(UserInfo[7 - 存入])</f>
        <v>0</v>
      </c>
      <c r="J17" s="25">
        <f>SUM(UserInfo[7 - 支取])</f>
        <v>0</v>
      </c>
      <c r="K17" s="25">
        <f>Store_Setting[[#This Row],[入库小计]]-Store_Setting[[#This Row],[取货小计]]</f>
        <v>0</v>
      </c>
      <c r="L17" s="25">
        <f>SUMIFS(Store_History[数量],Store_History[唯一识别码],Store_Setting[[#This Row],[唯一识别码]],Store_History[类型],$D$81)</f>
        <v>0</v>
      </c>
      <c r="M17" s="25">
        <f>SUMIFS(Store_History[数量],Store_History[唯一识别码],Store_Setting[[#This Row],[唯一识别码]],Store_History[类型],$E$81)</f>
        <v>0</v>
      </c>
      <c r="N17" s="33" t="s">
        <v>123</v>
      </c>
      <c r="O17" s="33" t="s">
        <v>123</v>
      </c>
      <c r="P17" s="9" t="s">
        <v>318</v>
      </c>
      <c r="Q17" s="9" t="s">
        <v>291</v>
      </c>
      <c r="R17" s="9" t="s">
        <v>292</v>
      </c>
      <c r="S17" s="9" t="s">
        <v>278</v>
      </c>
      <c r="BD17" s="13" t="s">
        <v>413</v>
      </c>
    </row>
    <row r="18" spans="2:56" ht="40" customHeight="1">
      <c r="B18" s="60"/>
      <c r="C18" s="61"/>
      <c r="D18" s="63" t="str">
        <f>CONCATENATE(Store_Setting[[#This Row],[商品序号]], IF(Store_Setting[[#This Row],[商品名称]]="","", _xlfn.CONCAT(" | ",_xlfn.SINGLE(Store_Setting[商品名称]))))</f>
        <v>8</v>
      </c>
      <c r="E18" s="9">
        <v>8</v>
      </c>
      <c r="F18" s="33"/>
      <c r="G18" s="31">
        <f>Store_Setting[[#This Row],[库存负差]]-SUM(Store_Setting[[#This Row],[已存入]]-Store_Setting[[#This Row],[已支取]])</f>
        <v>0</v>
      </c>
      <c r="H18" s="25">
        <f>SUM(UserInfo[8 - 剩余])</f>
        <v>0</v>
      </c>
      <c r="I18" s="25">
        <f>SUM(UserInfo[8 - 存入])</f>
        <v>0</v>
      </c>
      <c r="J18" s="25">
        <f>SUM(UserInfo[8 - 支取])</f>
        <v>0</v>
      </c>
      <c r="K18" s="25">
        <f>Store_Setting[[#This Row],[入库小计]]-Store_Setting[[#This Row],[取货小计]]</f>
        <v>0</v>
      </c>
      <c r="L18" s="25">
        <f>SUMIFS(Store_History[数量],Store_History[唯一识别码],Store_Setting[[#This Row],[唯一识别码]],Store_History[类型],$D$81)</f>
        <v>0</v>
      </c>
      <c r="M18" s="25">
        <f>SUMIFS(Store_History[数量],Store_History[唯一识别码],Store_Setting[[#This Row],[唯一识别码]],Store_History[类型],$E$81)</f>
        <v>0</v>
      </c>
      <c r="N18" s="33" t="s">
        <v>123</v>
      </c>
      <c r="O18" s="33" t="s">
        <v>123</v>
      </c>
      <c r="P18" s="9" t="s">
        <v>319</v>
      </c>
      <c r="Q18" s="9" t="s">
        <v>294</v>
      </c>
      <c r="R18" s="9" t="s">
        <v>310</v>
      </c>
      <c r="S18" s="9" t="s">
        <v>279</v>
      </c>
      <c r="BD18" s="13" t="s">
        <v>437</v>
      </c>
    </row>
    <row r="19" spans="2:56" ht="40" customHeight="1">
      <c r="B19" s="60"/>
      <c r="C19" s="61"/>
      <c r="D19" s="63" t="str">
        <f>CONCATENATE(Store_Setting[[#This Row],[商品序号]], IF(Store_Setting[[#This Row],[商品名称]]="","", _xlfn.CONCAT(" | ",_xlfn.SINGLE(Store_Setting[商品名称]))))</f>
        <v>9</v>
      </c>
      <c r="E19" s="9">
        <v>9</v>
      </c>
      <c r="F19" s="33"/>
      <c r="G19" s="31">
        <f>Store_Setting[[#This Row],[库存负差]]-SUM(Store_Setting[[#This Row],[已存入]]-Store_Setting[[#This Row],[已支取]])</f>
        <v>0</v>
      </c>
      <c r="H19" s="25">
        <f>SUM(UserInfo[9 - 剩余])</f>
        <v>0</v>
      </c>
      <c r="I19" s="25">
        <f>SUM(UserInfo[9 - 存入])</f>
        <v>0</v>
      </c>
      <c r="J19" s="25">
        <f>SUM(UserInfo[9 - 支取])</f>
        <v>0</v>
      </c>
      <c r="K19" s="25">
        <f>Store_Setting[[#This Row],[入库小计]]-Store_Setting[[#This Row],[取货小计]]</f>
        <v>0</v>
      </c>
      <c r="L19" s="25">
        <f>SUMIFS(Store_History[数量],Store_History[唯一识别码],Store_Setting[[#This Row],[唯一识别码]],Store_History[类型],$D$81)</f>
        <v>0</v>
      </c>
      <c r="M19" s="25">
        <f>SUMIFS(Store_History[数量],Store_History[唯一识别码],Store_Setting[[#This Row],[唯一识别码]],Store_History[类型],$E$81)</f>
        <v>0</v>
      </c>
      <c r="N19" s="33" t="s">
        <v>123</v>
      </c>
      <c r="O19" s="33" t="s">
        <v>123</v>
      </c>
      <c r="P19" s="9" t="s">
        <v>320</v>
      </c>
      <c r="Q19" s="9" t="s">
        <v>296</v>
      </c>
      <c r="R19" s="9" t="s">
        <v>297</v>
      </c>
      <c r="S19" s="9" t="s">
        <v>280</v>
      </c>
      <c r="BD19" s="13" t="s">
        <v>435</v>
      </c>
    </row>
    <row r="20" spans="2:56" ht="40" customHeight="1">
      <c r="B20" s="60"/>
      <c r="C20" s="61"/>
      <c r="D20" s="63" t="str">
        <f>CONCATENATE(Store_Setting[[#This Row],[商品序号]], IF(Store_Setting[[#This Row],[商品名称]]="","", _xlfn.CONCAT(" | ",_xlfn.SINGLE(Store_Setting[商品名称]))))</f>
        <v>10</v>
      </c>
      <c r="E20" s="9">
        <v>10</v>
      </c>
      <c r="F20" s="33"/>
      <c r="G20" s="31">
        <f>Store_Setting[[#This Row],[库存负差]]-SUM(Store_Setting[[#This Row],[已存入]]-Store_Setting[[#This Row],[已支取]])</f>
        <v>0</v>
      </c>
      <c r="H20" s="25">
        <f>SUM(UserInfo[10 - 剩余])</f>
        <v>0</v>
      </c>
      <c r="I20" s="25">
        <f>SUM(UserInfo[10 - 存入])</f>
        <v>0</v>
      </c>
      <c r="J20" s="25">
        <f>SUM(UserInfo[10 - 支取])</f>
        <v>0</v>
      </c>
      <c r="K20" s="25">
        <f>Store_Setting[[#This Row],[入库小计]]-Store_Setting[[#This Row],[取货小计]]</f>
        <v>0</v>
      </c>
      <c r="L20" s="25">
        <f>SUMIFS(Store_History[数量],Store_History[唯一识别码],Store_Setting[[#This Row],[唯一识别码]],Store_History[类型],$D$81)</f>
        <v>0</v>
      </c>
      <c r="M20" s="25">
        <f>SUMIFS(Store_History[数量],Store_History[唯一识别码],Store_Setting[[#This Row],[唯一识别码]],Store_History[类型],$E$81)</f>
        <v>0</v>
      </c>
      <c r="N20" s="33" t="s">
        <v>123</v>
      </c>
      <c r="O20" s="33" t="s">
        <v>123</v>
      </c>
      <c r="P20" s="9" t="s">
        <v>321</v>
      </c>
      <c r="Q20" s="9" t="s">
        <v>299</v>
      </c>
      <c r="R20" s="9" t="s">
        <v>300</v>
      </c>
      <c r="S20" s="9" t="s">
        <v>281</v>
      </c>
      <c r="BD20" s="13" t="s">
        <v>424</v>
      </c>
    </row>
    <row r="21" spans="2:56" ht="40" customHeight="1">
      <c r="B21" s="60"/>
      <c r="C21" s="61"/>
      <c r="D21" s="63" t="str">
        <f>CONCATENATE(Store_Setting[[#This Row],[商品序号]], IF(Store_Setting[[#This Row],[商品名称]]="","", _xlfn.CONCAT(" | ",_xlfn.SINGLE(Store_Setting[商品名称]))))</f>
        <v>11</v>
      </c>
      <c r="E21" s="9">
        <v>11</v>
      </c>
      <c r="F21" s="33"/>
      <c r="G21" s="31">
        <f>Store_Setting[[#This Row],[库存负差]]-SUM(Store_Setting[[#This Row],[已存入]]-Store_Setting[[#This Row],[已支取]])</f>
        <v>0</v>
      </c>
      <c r="H21" s="25">
        <f>SUM(UserInfo[11 - 剩余])</f>
        <v>0</v>
      </c>
      <c r="I21" s="25">
        <f>SUM(UserInfo[11 - 存入])</f>
        <v>0</v>
      </c>
      <c r="J21" s="25">
        <f>SUM(UserInfo[11 - 支取])</f>
        <v>0</v>
      </c>
      <c r="K21" s="25">
        <f>Store_Setting[[#This Row],[入库小计]]-Store_Setting[[#This Row],[取货小计]]</f>
        <v>0</v>
      </c>
      <c r="L21" s="25">
        <f>SUMIFS(Store_History[数量],Store_History[唯一识别码],Store_Setting[[#This Row],[唯一识别码]],Store_History[类型],$D$81)</f>
        <v>0</v>
      </c>
      <c r="M21" s="25">
        <f>SUMIFS(Store_History[数量],Store_History[唯一识别码],Store_Setting[[#This Row],[唯一识别码]],Store_History[类型],$E$81)</f>
        <v>0</v>
      </c>
      <c r="N21" s="33" t="s">
        <v>123</v>
      </c>
      <c r="O21" s="33" t="s">
        <v>123</v>
      </c>
      <c r="P21" s="9" t="s">
        <v>322</v>
      </c>
      <c r="Q21" s="9" t="s">
        <v>302</v>
      </c>
      <c r="R21" s="9" t="s">
        <v>303</v>
      </c>
      <c r="S21" s="9" t="s">
        <v>282</v>
      </c>
      <c r="BD21" s="13" t="s">
        <v>455</v>
      </c>
    </row>
    <row r="22" spans="2:56" ht="40" customHeight="1">
      <c r="B22" s="60"/>
      <c r="C22" s="61"/>
      <c r="D22" s="63" t="str">
        <f>CONCATENATE(Store_Setting[[#This Row],[商品序号]], IF(Store_Setting[[#This Row],[商品名称]]="","", _xlfn.CONCAT(" | ",_xlfn.SINGLE(Store_Setting[商品名称]))))</f>
        <v>12</v>
      </c>
      <c r="E22" s="9">
        <v>12</v>
      </c>
      <c r="F22" s="33"/>
      <c r="G22" s="31">
        <f>Store_Setting[[#This Row],[库存负差]]-SUM(Store_Setting[[#This Row],[已存入]]-Store_Setting[[#This Row],[已支取]])</f>
        <v>0</v>
      </c>
      <c r="H22" s="25">
        <f>SUM(UserInfo[12 - 剩余])</f>
        <v>0</v>
      </c>
      <c r="I22" s="25">
        <f>SUM(UserInfo[12 - 存入])</f>
        <v>0</v>
      </c>
      <c r="J22" s="25">
        <f>SUM(UserInfo[12 - 支取])</f>
        <v>0</v>
      </c>
      <c r="K22" s="25">
        <f>Store_Setting[[#This Row],[入库小计]]-Store_Setting[[#This Row],[取货小计]]</f>
        <v>0</v>
      </c>
      <c r="L22" s="25">
        <f>SUMIFS(Store_History[数量],Store_History[唯一识别码],Store_Setting[[#This Row],[唯一识别码]],Store_History[类型],$D$81)</f>
        <v>0</v>
      </c>
      <c r="M22" s="25">
        <f>SUMIFS(Store_History[数量],Store_History[唯一识别码],Store_Setting[[#This Row],[唯一识别码]],Store_History[类型],$E$81)</f>
        <v>0</v>
      </c>
      <c r="N22" s="33" t="s">
        <v>123</v>
      </c>
      <c r="O22" s="33" t="s">
        <v>123</v>
      </c>
      <c r="P22" s="9" t="s">
        <v>323</v>
      </c>
      <c r="Q22" s="9" t="s">
        <v>305</v>
      </c>
      <c r="R22" s="9" t="s">
        <v>306</v>
      </c>
      <c r="S22" s="9" t="s">
        <v>283</v>
      </c>
      <c r="BB22" s="13" t="s">
        <v>432</v>
      </c>
      <c r="BD22" s="13" t="s">
        <v>439</v>
      </c>
    </row>
    <row r="23" spans="2:56" ht="40" customHeight="1">
      <c r="B23" s="60"/>
      <c r="C23" s="61"/>
      <c r="D23" s="63" t="str">
        <f>CONCATENATE(Store_Setting[[#This Row],[商品序号]], IF(Store_Setting[[#This Row],[商品名称]]="","", _xlfn.CONCAT(" | ",_xlfn.SINGLE(Store_Setting[商品名称]))))</f>
        <v>13</v>
      </c>
      <c r="E23" s="9">
        <v>13</v>
      </c>
      <c r="F23" s="33"/>
      <c r="G23" s="31">
        <f>Store_Setting[[#This Row],[库存负差]]-SUM(Store_Setting[[#This Row],[已存入]]-Store_Setting[[#This Row],[已支取]])</f>
        <v>0</v>
      </c>
      <c r="H23" s="25">
        <f>SUM(UserInfo[13 - 剩余])</f>
        <v>0</v>
      </c>
      <c r="I23" s="25">
        <f>SUM(UserInfo[13 - 存入])</f>
        <v>0</v>
      </c>
      <c r="J23" s="25">
        <f>SUM(UserInfo[13 - 支取])</f>
        <v>0</v>
      </c>
      <c r="K23" s="25">
        <f>Store_Setting[[#This Row],[入库小计]]-Store_Setting[[#This Row],[取货小计]]</f>
        <v>0</v>
      </c>
      <c r="L23" s="25">
        <f>SUMIFS(Store_History[数量],Store_History[唯一识别码],Store_Setting[[#This Row],[唯一识别码]],Store_History[类型],$D$81)</f>
        <v>0</v>
      </c>
      <c r="M23" s="25">
        <f>SUMIFS(Store_History[数量],Store_History[唯一识别码],Store_Setting[[#This Row],[唯一识别码]],Store_History[类型],$E$81)</f>
        <v>0</v>
      </c>
      <c r="N23" s="33" t="s">
        <v>123</v>
      </c>
      <c r="O23" s="33" t="s">
        <v>123</v>
      </c>
      <c r="P23" s="9" t="s">
        <v>324</v>
      </c>
      <c r="Q23" s="9" t="s">
        <v>308</v>
      </c>
      <c r="R23" s="9" t="s">
        <v>309</v>
      </c>
      <c r="S23" s="9" t="s">
        <v>284</v>
      </c>
      <c r="BD23" s="13" t="s">
        <v>440</v>
      </c>
    </row>
    <row r="24" spans="2:56" ht="40" customHeight="1">
      <c r="B24" s="60"/>
      <c r="C24" s="61"/>
      <c r="D24" s="63" t="str">
        <f>CONCATENATE(Store_Setting[[#This Row],[商品序号]], IF(Store_Setting[[#This Row],[商品名称]]="","", _xlfn.CONCAT(" | ",_xlfn.SINGLE(Store_Setting[商品名称]))))</f>
        <v>14</v>
      </c>
      <c r="E24" s="9">
        <v>14</v>
      </c>
      <c r="F24" s="33"/>
      <c r="G24" s="31">
        <f>Store_Setting[[#This Row],[库存负差]]-SUM(Store_Setting[[#This Row],[已存入]]-Store_Setting[[#This Row],[已支取]])</f>
        <v>0</v>
      </c>
      <c r="H24" s="25">
        <f>SUM(UserInfo[14 - 剩余])</f>
        <v>0</v>
      </c>
      <c r="I24" s="25">
        <f>SUM(UserInfo[14 - 存入])</f>
        <v>0</v>
      </c>
      <c r="J24" s="25">
        <f>SUM(UserInfo[14 - 支取])</f>
        <v>0</v>
      </c>
      <c r="K24" s="25">
        <f>Store_Setting[[#This Row],[入库小计]]-Store_Setting[[#This Row],[取货小计]]</f>
        <v>0</v>
      </c>
      <c r="L24" s="25">
        <f>SUMIFS(Store_History[数量],Store_History[唯一识别码],Store_Setting[[#This Row],[唯一识别码]],Store_History[类型],$D$81)</f>
        <v>0</v>
      </c>
      <c r="M24" s="25">
        <f>SUMIFS(Store_History[数量],Store_History[唯一识别码],Store_Setting[[#This Row],[唯一识别码]],Store_History[类型],$E$81)</f>
        <v>0</v>
      </c>
      <c r="N24" s="33" t="s">
        <v>123</v>
      </c>
      <c r="O24" s="33" t="s">
        <v>123</v>
      </c>
      <c r="P24" s="9" t="s">
        <v>325</v>
      </c>
      <c r="Q24" s="9" t="s">
        <v>351</v>
      </c>
      <c r="R24" s="9" t="s">
        <v>352</v>
      </c>
      <c r="S24" s="9" t="s">
        <v>285</v>
      </c>
      <c r="BD24" s="13" t="s">
        <v>441</v>
      </c>
    </row>
    <row r="25" spans="2:56" ht="40" customHeight="1">
      <c r="B25" s="60"/>
      <c r="C25" s="61"/>
      <c r="D25" s="63" t="str">
        <f>CONCATENATE(Store_Setting[[#This Row],[商品序号]], IF(Store_Setting[[#This Row],[商品名称]]="","", _xlfn.CONCAT(" | ",_xlfn.SINGLE(Store_Setting[商品名称]))))</f>
        <v>15</v>
      </c>
      <c r="E25" s="9">
        <v>15</v>
      </c>
      <c r="F25" s="33"/>
      <c r="G25" s="31">
        <f>Store_Setting[[#This Row],[库存负差]]-SUM(Store_Setting[[#This Row],[已存入]]-Store_Setting[[#This Row],[已支取]])</f>
        <v>0</v>
      </c>
      <c r="H25" s="25">
        <f>SUM(UserInfo[15 - 剩余])</f>
        <v>0</v>
      </c>
      <c r="I25" s="25">
        <f>SUM(UserInfo[15 - 存入])</f>
        <v>0</v>
      </c>
      <c r="J25" s="25">
        <f>SUM(UserInfo[15 - 支取])</f>
        <v>0</v>
      </c>
      <c r="K25" s="25">
        <f>Store_Setting[[#This Row],[入库小计]]-Store_Setting[[#This Row],[取货小计]]</f>
        <v>0</v>
      </c>
      <c r="L25" s="25">
        <f>SUMIFS(Store_History[数量],Store_History[唯一识别码],Store_Setting[[#This Row],[唯一识别码]],Store_History[类型],$D$81)</f>
        <v>0</v>
      </c>
      <c r="M25" s="25">
        <f>SUMIFS(Store_History[数量],Store_History[唯一识别码],Store_Setting[[#This Row],[唯一识别码]],Store_History[类型],$E$81)</f>
        <v>0</v>
      </c>
      <c r="N25" s="33" t="s">
        <v>123</v>
      </c>
      <c r="O25" s="33" t="s">
        <v>123</v>
      </c>
      <c r="P25" s="9" t="s">
        <v>405</v>
      </c>
      <c r="Q25" s="9" t="s">
        <v>353</v>
      </c>
      <c r="R25" s="9" t="s">
        <v>354</v>
      </c>
      <c r="S25" s="9" t="s">
        <v>286</v>
      </c>
      <c r="BB25" s="13" t="s">
        <v>443</v>
      </c>
      <c r="BD25" s="13" t="s">
        <v>442</v>
      </c>
    </row>
    <row r="26" spans="2:56" ht="40" customHeight="1">
      <c r="B26" s="60"/>
      <c r="C26" s="61"/>
      <c r="D26" s="63" t="str">
        <f>CONCATENATE(Store_Setting[[#This Row],[商品序号]], IF(Store_Setting[[#This Row],[商品名称]]="","", _xlfn.CONCAT(" | ",_xlfn.SINGLE(Store_Setting[商品名称]))))</f>
        <v>16</v>
      </c>
      <c r="E26" s="9">
        <v>16</v>
      </c>
      <c r="F26" s="33"/>
      <c r="G26" s="31">
        <f>Store_Setting[[#This Row],[库存负差]]-SUM(Store_Setting[[#This Row],[已存入]]-Store_Setting[[#This Row],[已支取]])</f>
        <v>0</v>
      </c>
      <c r="H26" s="25">
        <f>SUM(UserInfo[16 - 剩余])</f>
        <v>0</v>
      </c>
      <c r="I26" s="25">
        <f>SUM(UserInfo[16 - 存入])</f>
        <v>0</v>
      </c>
      <c r="J26" s="25">
        <f>SUM(UserInfo[16 - 支取])</f>
        <v>0</v>
      </c>
      <c r="K26" s="25">
        <f>Store_Setting[[#This Row],[入库小计]]-Store_Setting[[#This Row],[取货小计]]</f>
        <v>0</v>
      </c>
      <c r="L26" s="25">
        <f>SUMIFS(Store_History[数量],Store_History[唯一识别码],Store_Setting[[#This Row],[唯一识别码]],Store_History[类型],$D$81)</f>
        <v>0</v>
      </c>
      <c r="M26" s="25">
        <f>SUMIFS(Store_History[数量],Store_History[唯一识别码],Store_Setting[[#This Row],[唯一识别码]],Store_History[类型],$E$81)</f>
        <v>0</v>
      </c>
      <c r="N26" s="33" t="s">
        <v>123</v>
      </c>
      <c r="O26" s="33" t="s">
        <v>123</v>
      </c>
      <c r="P26" s="9" t="s">
        <v>326</v>
      </c>
      <c r="Q26" s="9" t="s">
        <v>355</v>
      </c>
      <c r="R26" s="9" t="s">
        <v>356</v>
      </c>
      <c r="S26" s="9" t="s">
        <v>287</v>
      </c>
      <c r="BD26" s="13" t="s">
        <v>444</v>
      </c>
    </row>
    <row r="27" spans="2:56" ht="40" customHeight="1">
      <c r="B27" s="60"/>
      <c r="C27" s="61"/>
      <c r="D27" s="63" t="str">
        <f>CONCATENATE(Store_Setting[[#This Row],[商品序号]], IF(Store_Setting[[#This Row],[商品名称]]="","", _xlfn.CONCAT(" | ",_xlfn.SINGLE(Store_Setting[商品名称]))))</f>
        <v>17</v>
      </c>
      <c r="E27" s="9">
        <v>17</v>
      </c>
      <c r="F27" s="33"/>
      <c r="G27" s="31">
        <f>Store_Setting[[#This Row],[库存负差]]-SUM(Store_Setting[[#This Row],[已存入]]-Store_Setting[[#This Row],[已支取]])</f>
        <v>0</v>
      </c>
      <c r="H27" s="25">
        <f>SUM(UserInfo[17 - 剩余])</f>
        <v>0</v>
      </c>
      <c r="I27" s="25">
        <f>SUM(UserInfo[17 - 存入])</f>
        <v>0</v>
      </c>
      <c r="J27" s="25">
        <f>SUM(UserInfo[17 - 支取])</f>
        <v>0</v>
      </c>
      <c r="K27" s="25">
        <f>Store_Setting[[#This Row],[入库小计]]-Store_Setting[[#This Row],[取货小计]]</f>
        <v>0</v>
      </c>
      <c r="L27" s="25">
        <f>SUMIFS(Store_History[数量],Store_History[唯一识别码],Store_Setting[[#This Row],[唯一识别码]],Store_History[类型],$D$81)</f>
        <v>0</v>
      </c>
      <c r="M27" s="25">
        <f>SUMIFS(Store_History[数量],Store_History[唯一识别码],Store_Setting[[#This Row],[唯一识别码]],Store_History[类型],$E$81)</f>
        <v>0</v>
      </c>
      <c r="N27" s="33" t="s">
        <v>123</v>
      </c>
      <c r="O27" s="33" t="s">
        <v>123</v>
      </c>
      <c r="P27" s="9" t="s">
        <v>327</v>
      </c>
      <c r="Q27" s="9" t="s">
        <v>357</v>
      </c>
      <c r="R27" s="9" t="s">
        <v>358</v>
      </c>
      <c r="S27" s="9" t="s">
        <v>288</v>
      </c>
      <c r="BD27" s="13" t="s">
        <v>445</v>
      </c>
    </row>
    <row r="28" spans="2:56" ht="40" customHeight="1">
      <c r="B28" s="60"/>
      <c r="C28" s="61"/>
      <c r="D28" s="63" t="str">
        <f>CONCATENATE(Store_Setting[[#This Row],[商品序号]], IF(Store_Setting[[#This Row],[商品名称]]="","", _xlfn.CONCAT(" | ",_xlfn.SINGLE(Store_Setting[商品名称]))))</f>
        <v>18</v>
      </c>
      <c r="E28" s="9">
        <v>18</v>
      </c>
      <c r="F28" s="33"/>
      <c r="G28" s="31">
        <f>Store_Setting[[#This Row],[库存负差]]-SUM(Store_Setting[[#This Row],[已存入]]-Store_Setting[[#This Row],[已支取]])</f>
        <v>0</v>
      </c>
      <c r="H28" s="25">
        <f>SUM(UserInfo[18 - 剩余])</f>
        <v>0</v>
      </c>
      <c r="I28" s="25">
        <f>SUM(UserInfo[18 - 存入])</f>
        <v>0</v>
      </c>
      <c r="J28" s="25">
        <f>SUM(UserInfo[18 - 支取])</f>
        <v>0</v>
      </c>
      <c r="K28" s="25">
        <f>Store_Setting[[#This Row],[入库小计]]-Store_Setting[[#This Row],[取货小计]]</f>
        <v>0</v>
      </c>
      <c r="L28" s="25">
        <f>SUMIFS(Store_History[数量],Store_History[唯一识别码],Store_Setting[[#This Row],[唯一识别码]],Store_History[类型],$D$81)</f>
        <v>0</v>
      </c>
      <c r="M28" s="25">
        <f>SUMIFS(Store_History[数量],Store_History[唯一识别码],Store_Setting[[#This Row],[唯一识别码]],Store_History[类型],$E$81)</f>
        <v>0</v>
      </c>
      <c r="N28" s="33" t="s">
        <v>123</v>
      </c>
      <c r="O28" s="33" t="s">
        <v>123</v>
      </c>
      <c r="P28" s="9" t="s">
        <v>328</v>
      </c>
      <c r="Q28" s="9" t="s">
        <v>359</v>
      </c>
      <c r="R28" s="9" t="s">
        <v>360</v>
      </c>
      <c r="S28" s="9" t="s">
        <v>289</v>
      </c>
      <c r="BD28" s="13" t="s">
        <v>446</v>
      </c>
    </row>
    <row r="29" spans="2:56" ht="40" customHeight="1">
      <c r="B29" s="60"/>
      <c r="C29" s="61"/>
      <c r="D29" s="63" t="str">
        <f>CONCATENATE(Store_Setting[[#This Row],[商品序号]], IF(Store_Setting[[#This Row],[商品名称]]="","", _xlfn.CONCAT(" | ",_xlfn.SINGLE(Store_Setting[商品名称]))))</f>
        <v>19</v>
      </c>
      <c r="E29" s="9">
        <v>19</v>
      </c>
      <c r="F29" s="33"/>
      <c r="G29" s="31">
        <f>Store_Setting[[#This Row],[库存负差]]-SUM(Store_Setting[[#This Row],[已存入]]-Store_Setting[[#This Row],[已支取]])</f>
        <v>0</v>
      </c>
      <c r="H29" s="25">
        <f>SUM(UserInfo[19 - 剩余])</f>
        <v>0</v>
      </c>
      <c r="I29" s="25">
        <f>SUM(UserInfo[19 - 存入])</f>
        <v>0</v>
      </c>
      <c r="J29" s="25">
        <f>SUM(UserInfo[19 - 支取])</f>
        <v>0</v>
      </c>
      <c r="K29" s="25">
        <f>Store_Setting[[#This Row],[入库小计]]-Store_Setting[[#This Row],[取货小计]]</f>
        <v>0</v>
      </c>
      <c r="L29" s="25">
        <f>SUMIFS(Store_History[数量],Store_History[唯一识别码],Store_Setting[[#This Row],[唯一识别码]],Store_History[类型],$D$81)</f>
        <v>0</v>
      </c>
      <c r="M29" s="25">
        <f>SUMIFS(Store_History[数量],Store_History[唯一识别码],Store_Setting[[#This Row],[唯一识别码]],Store_History[类型],$E$81)</f>
        <v>0</v>
      </c>
      <c r="N29" s="33" t="s">
        <v>123</v>
      </c>
      <c r="O29" s="33" t="s">
        <v>123</v>
      </c>
      <c r="P29" s="9" t="s">
        <v>329</v>
      </c>
      <c r="Q29" s="9" t="s">
        <v>361</v>
      </c>
      <c r="R29" s="9" t="s">
        <v>362</v>
      </c>
      <c r="S29" s="9" t="s">
        <v>290</v>
      </c>
      <c r="BD29" s="13" t="s">
        <v>447</v>
      </c>
    </row>
    <row r="30" spans="2:56" ht="40" customHeight="1">
      <c r="B30" s="60"/>
      <c r="C30" s="61"/>
      <c r="D30" s="63" t="str">
        <f>CONCATENATE(Store_Setting[[#This Row],[商品序号]], IF(Store_Setting[[#This Row],[商品名称]]="","", _xlfn.CONCAT(" | ",_xlfn.SINGLE(Store_Setting[商品名称]))))</f>
        <v>20</v>
      </c>
      <c r="E30" s="9">
        <v>20</v>
      </c>
      <c r="F30" s="33"/>
      <c r="G30" s="31">
        <f>Store_Setting[[#This Row],[库存负差]]-SUM(Store_Setting[[#This Row],[已存入]]-Store_Setting[[#This Row],[已支取]])</f>
        <v>0</v>
      </c>
      <c r="H30" s="25">
        <f>SUM(UserInfo[20 - 剩余])</f>
        <v>0</v>
      </c>
      <c r="I30" s="25">
        <f>SUM(UserInfo[20 - 存入])</f>
        <v>0</v>
      </c>
      <c r="J30" s="25">
        <f>SUM(UserInfo[20 - 支取])</f>
        <v>0</v>
      </c>
      <c r="K30" s="25">
        <f>Store_Setting[[#This Row],[入库小计]]-Store_Setting[[#This Row],[取货小计]]</f>
        <v>0</v>
      </c>
      <c r="L30" s="25">
        <f>SUMIFS(Store_History[数量],Store_History[唯一识别码],Store_Setting[[#This Row],[唯一识别码]],Store_History[类型],$D$81)</f>
        <v>0</v>
      </c>
      <c r="M30" s="25">
        <f>SUMIFS(Store_History[数量],Store_History[唯一识别码],Store_Setting[[#This Row],[唯一识别码]],Store_History[类型],$E$81)</f>
        <v>0</v>
      </c>
      <c r="N30" s="33" t="s">
        <v>123</v>
      </c>
      <c r="O30" s="33" t="s">
        <v>123</v>
      </c>
      <c r="P30" s="9" t="s">
        <v>330</v>
      </c>
      <c r="Q30" s="9" t="s">
        <v>363</v>
      </c>
      <c r="R30" s="9" t="s">
        <v>364</v>
      </c>
      <c r="S30" s="9" t="s">
        <v>291</v>
      </c>
      <c r="BD30" s="13" t="s">
        <v>448</v>
      </c>
    </row>
    <row r="31" spans="2:56" ht="40" customHeight="1">
      <c r="B31" s="60"/>
      <c r="C31" s="61"/>
      <c r="D31" s="63" t="str">
        <f>CONCATENATE(Store_Setting[[#This Row],[商品序号]], IF(Store_Setting[[#This Row],[商品名称]]="","", _xlfn.CONCAT(" | ",_xlfn.SINGLE(Store_Setting[商品名称]))))</f>
        <v>21</v>
      </c>
      <c r="E31" s="9">
        <v>21</v>
      </c>
      <c r="F31" s="33"/>
      <c r="G31" s="31">
        <f>Store_Setting[[#This Row],[库存负差]]-SUM(Store_Setting[[#This Row],[已存入]]-Store_Setting[[#This Row],[已支取]])</f>
        <v>0</v>
      </c>
      <c r="H31" s="25">
        <f>SUM(UserInfo[21 - 剩余])</f>
        <v>0</v>
      </c>
      <c r="I31" s="25">
        <f>SUM(UserInfo[21 - 存入])</f>
        <v>0</v>
      </c>
      <c r="J31" s="25">
        <f>SUM(UserInfo[21 - 支取])</f>
        <v>0</v>
      </c>
      <c r="K31" s="25">
        <f>Store_Setting[[#This Row],[入库小计]]-Store_Setting[[#This Row],[取货小计]]</f>
        <v>0</v>
      </c>
      <c r="L31" s="25">
        <f>SUMIFS(Store_History[数量],Store_History[唯一识别码],Store_Setting[[#This Row],[唯一识别码]],Store_History[类型],$D$81)</f>
        <v>0</v>
      </c>
      <c r="M31" s="25">
        <f>SUMIFS(Store_History[数量],Store_History[唯一识别码],Store_Setting[[#This Row],[唯一识别码]],Store_History[类型],$E$81)</f>
        <v>0</v>
      </c>
      <c r="N31" s="33" t="s">
        <v>123</v>
      </c>
      <c r="O31" s="33" t="s">
        <v>123</v>
      </c>
      <c r="P31" s="9" t="s">
        <v>331</v>
      </c>
      <c r="Q31" s="9" t="s">
        <v>365</v>
      </c>
      <c r="R31" s="9" t="s">
        <v>366</v>
      </c>
      <c r="S31" s="9" t="s">
        <v>292</v>
      </c>
      <c r="BD31" s="13" t="s">
        <v>449</v>
      </c>
    </row>
    <row r="32" spans="2:56" ht="40" customHeight="1">
      <c r="B32" s="60"/>
      <c r="C32" s="61"/>
      <c r="D32" s="63" t="str">
        <f>CONCATENATE(Store_Setting[[#This Row],[商品序号]], IF(Store_Setting[[#This Row],[商品名称]]="","", _xlfn.CONCAT(" | ",_xlfn.SINGLE(Store_Setting[商品名称]))))</f>
        <v>22</v>
      </c>
      <c r="E32" s="9">
        <v>22</v>
      </c>
      <c r="F32" s="33"/>
      <c r="G32" s="31">
        <f>Store_Setting[[#This Row],[库存负差]]-SUM(Store_Setting[[#This Row],[已存入]]-Store_Setting[[#This Row],[已支取]])</f>
        <v>0</v>
      </c>
      <c r="H32" s="25">
        <f>SUM(UserInfo[22 - 剩余])</f>
        <v>0</v>
      </c>
      <c r="I32" s="25">
        <f>SUM(UserInfo[22 - 存入])</f>
        <v>0</v>
      </c>
      <c r="J32" s="25">
        <f>SUM(UserInfo[22 - 支取])</f>
        <v>0</v>
      </c>
      <c r="K32" s="25">
        <f>Store_Setting[[#This Row],[入库小计]]-Store_Setting[[#This Row],[取货小计]]</f>
        <v>0</v>
      </c>
      <c r="L32" s="25">
        <f>SUMIFS(Store_History[数量],Store_History[唯一识别码],Store_Setting[[#This Row],[唯一识别码]],Store_History[类型],$D$81)</f>
        <v>0</v>
      </c>
      <c r="M32" s="25">
        <f>SUMIFS(Store_History[数量],Store_History[唯一识别码],Store_Setting[[#This Row],[唯一识别码]],Store_History[类型],$E$81)</f>
        <v>0</v>
      </c>
      <c r="N32" s="33" t="s">
        <v>123</v>
      </c>
      <c r="O32" s="33" t="s">
        <v>123</v>
      </c>
      <c r="P32" s="9" t="s">
        <v>332</v>
      </c>
      <c r="Q32" s="9" t="s">
        <v>367</v>
      </c>
      <c r="R32" s="9" t="s">
        <v>368</v>
      </c>
      <c r="S32" s="9" t="s">
        <v>293</v>
      </c>
      <c r="BD32" s="13" t="s">
        <v>450</v>
      </c>
    </row>
    <row r="33" spans="2:56" ht="40" customHeight="1">
      <c r="B33" s="60"/>
      <c r="C33" s="61"/>
      <c r="D33" s="63" t="str">
        <f>CONCATENATE(Store_Setting[[#This Row],[商品序号]], IF(Store_Setting[[#This Row],[商品名称]]="","", _xlfn.CONCAT(" | ",_xlfn.SINGLE(Store_Setting[商品名称]))))</f>
        <v>23</v>
      </c>
      <c r="E33" s="9">
        <v>23</v>
      </c>
      <c r="F33" s="33"/>
      <c r="G33" s="31">
        <f>Store_Setting[[#This Row],[库存负差]]-SUM(Store_Setting[[#This Row],[已存入]]-Store_Setting[[#This Row],[已支取]])</f>
        <v>0</v>
      </c>
      <c r="H33" s="25">
        <f>SUM(UserInfo[23 - 剩余])</f>
        <v>0</v>
      </c>
      <c r="I33" s="25">
        <f>SUM(UserInfo[23 - 存入])</f>
        <v>0</v>
      </c>
      <c r="J33" s="25">
        <f>SUM(UserInfo[23 - 支取])</f>
        <v>0</v>
      </c>
      <c r="K33" s="25">
        <f>Store_Setting[[#This Row],[入库小计]]-Store_Setting[[#This Row],[取货小计]]</f>
        <v>0</v>
      </c>
      <c r="L33" s="25">
        <f>SUMIFS(Store_History[数量],Store_History[唯一识别码],Store_Setting[[#This Row],[唯一识别码]],Store_History[类型],$D$81)</f>
        <v>0</v>
      </c>
      <c r="M33" s="25">
        <f>SUMIFS(Store_History[数量],Store_History[唯一识别码],Store_Setting[[#This Row],[唯一识别码]],Store_History[类型],$E$81)</f>
        <v>0</v>
      </c>
      <c r="N33" s="33" t="s">
        <v>123</v>
      </c>
      <c r="O33" s="33" t="s">
        <v>123</v>
      </c>
      <c r="P33" s="9" t="s">
        <v>333</v>
      </c>
      <c r="Q33" s="9" t="s">
        <v>369</v>
      </c>
      <c r="R33" s="9" t="s">
        <v>370</v>
      </c>
      <c r="S33" s="9" t="s">
        <v>294</v>
      </c>
      <c r="BD33" s="13" t="s">
        <v>451</v>
      </c>
    </row>
    <row r="34" spans="2:56" ht="40" customHeight="1">
      <c r="B34" s="60"/>
      <c r="C34" s="61"/>
      <c r="D34" s="63" t="str">
        <f>CONCATENATE(Store_Setting[[#This Row],[商品序号]], IF(Store_Setting[[#This Row],[商品名称]]="","", _xlfn.CONCAT(" | ",_xlfn.SINGLE(Store_Setting[商品名称]))))</f>
        <v>24</v>
      </c>
      <c r="E34" s="9">
        <v>24</v>
      </c>
      <c r="F34" s="33"/>
      <c r="G34" s="31">
        <f>Store_Setting[[#This Row],[库存负差]]-SUM(Store_Setting[[#This Row],[已存入]]-Store_Setting[[#This Row],[已支取]])</f>
        <v>0</v>
      </c>
      <c r="H34" s="25">
        <f>SUM(UserInfo[24 - 剩余])</f>
        <v>0</v>
      </c>
      <c r="I34" s="25">
        <f>SUM(UserInfo[24 - 存入])</f>
        <v>0</v>
      </c>
      <c r="J34" s="25">
        <f>SUM(UserInfo[24 - 支取])</f>
        <v>0</v>
      </c>
      <c r="K34" s="25">
        <f>Store_Setting[[#This Row],[入库小计]]-Store_Setting[[#This Row],[取货小计]]</f>
        <v>0</v>
      </c>
      <c r="L34" s="25">
        <f>SUMIFS(Store_History[数量],Store_History[唯一识别码],Store_Setting[[#This Row],[唯一识别码]],Store_History[类型],$D$81)</f>
        <v>0</v>
      </c>
      <c r="M34" s="25">
        <f>SUMIFS(Store_History[数量],Store_History[唯一识别码],Store_Setting[[#This Row],[唯一识别码]],Store_History[类型],$E$81)</f>
        <v>0</v>
      </c>
      <c r="N34" s="33" t="s">
        <v>123</v>
      </c>
      <c r="O34" s="33" t="s">
        <v>123</v>
      </c>
      <c r="P34" s="9" t="s">
        <v>334</v>
      </c>
      <c r="Q34" s="9" t="s">
        <v>371</v>
      </c>
      <c r="R34" s="9" t="s">
        <v>372</v>
      </c>
      <c r="S34" s="9" t="s">
        <v>310</v>
      </c>
      <c r="BD34" s="13" t="s">
        <v>453</v>
      </c>
    </row>
    <row r="35" spans="2:56" ht="40" customHeight="1">
      <c r="B35" s="60"/>
      <c r="C35" s="61"/>
      <c r="D35" s="63" t="str">
        <f>CONCATENATE(Store_Setting[[#This Row],[商品序号]], IF(Store_Setting[[#This Row],[商品名称]]="","", _xlfn.CONCAT(" | ",_xlfn.SINGLE(Store_Setting[商品名称]))))</f>
        <v>25</v>
      </c>
      <c r="E35" s="9">
        <v>25</v>
      </c>
      <c r="F35" s="33"/>
      <c r="G35" s="31">
        <f>Store_Setting[[#This Row],[库存负差]]-SUM(Store_Setting[[#This Row],[已存入]]-Store_Setting[[#This Row],[已支取]])</f>
        <v>0</v>
      </c>
      <c r="H35" s="25">
        <f>SUM(UserInfo[25 - 剩余])</f>
        <v>0</v>
      </c>
      <c r="I35" s="25">
        <f>SUM(UserInfo[25 - 存入])</f>
        <v>0</v>
      </c>
      <c r="J35" s="25">
        <f>SUM(UserInfo[25 - 支取])</f>
        <v>0</v>
      </c>
      <c r="K35" s="25">
        <f>Store_Setting[[#This Row],[入库小计]]-Store_Setting[[#This Row],[取货小计]]</f>
        <v>0</v>
      </c>
      <c r="L35" s="25">
        <f>SUMIFS(Store_History[数量],Store_History[唯一识别码],Store_Setting[[#This Row],[唯一识别码]],Store_History[类型],$D$81)</f>
        <v>0</v>
      </c>
      <c r="M35" s="25">
        <f>SUMIFS(Store_History[数量],Store_History[唯一识别码],Store_Setting[[#This Row],[唯一识别码]],Store_History[类型],$E$81)</f>
        <v>0</v>
      </c>
      <c r="N35" s="33" t="s">
        <v>123</v>
      </c>
      <c r="O35" s="33" t="s">
        <v>123</v>
      </c>
      <c r="P35" s="9" t="s">
        <v>335</v>
      </c>
      <c r="Q35" s="9" t="s">
        <v>373</v>
      </c>
      <c r="R35" s="9" t="s">
        <v>374</v>
      </c>
      <c r="S35" s="9" t="s">
        <v>311</v>
      </c>
      <c r="BB35" s="13" t="s">
        <v>128</v>
      </c>
      <c r="BD35" s="13" t="s">
        <v>433</v>
      </c>
    </row>
    <row r="36" spans="2:56" ht="40" customHeight="1">
      <c r="B36" s="60"/>
      <c r="C36" s="61"/>
      <c r="D36" s="63" t="str">
        <f>CONCATENATE(Store_Setting[[#This Row],[商品序号]], IF(Store_Setting[[#This Row],[商品名称]]="","", _xlfn.CONCAT(" | ",_xlfn.SINGLE(Store_Setting[商品名称]))))</f>
        <v>26</v>
      </c>
      <c r="E36" s="9">
        <v>26</v>
      </c>
      <c r="F36" s="33"/>
      <c r="G36" s="31">
        <f>Store_Setting[[#This Row],[库存负差]]-SUM(Store_Setting[[#This Row],[已存入]]-Store_Setting[[#This Row],[已支取]])</f>
        <v>0</v>
      </c>
      <c r="H36" s="25">
        <f>SUM(UserInfo[26 - 剩余])</f>
        <v>0</v>
      </c>
      <c r="I36" s="25">
        <f>SUM(UserInfo[26 - 存入])</f>
        <v>0</v>
      </c>
      <c r="J36" s="25">
        <f>SUM(UserInfo[26 - 支取])</f>
        <v>0</v>
      </c>
      <c r="K36" s="25">
        <f>Store_Setting[[#This Row],[入库小计]]-Store_Setting[[#This Row],[取货小计]]</f>
        <v>0</v>
      </c>
      <c r="L36" s="25">
        <f>SUMIFS(Store_History[数量],Store_History[唯一识别码],Store_Setting[[#This Row],[唯一识别码]],Store_History[类型],$D$81)</f>
        <v>0</v>
      </c>
      <c r="M36" s="25">
        <f>SUMIFS(Store_History[数量],Store_History[唯一识别码],Store_Setting[[#This Row],[唯一识别码]],Store_History[类型],$E$81)</f>
        <v>0</v>
      </c>
      <c r="N36" s="33" t="s">
        <v>123</v>
      </c>
      <c r="O36" s="33" t="s">
        <v>123</v>
      </c>
      <c r="P36" s="9" t="s">
        <v>336</v>
      </c>
      <c r="Q36" s="9" t="s">
        <v>375</v>
      </c>
      <c r="R36" s="9" t="s">
        <v>376</v>
      </c>
      <c r="S36" s="9" t="s">
        <v>296</v>
      </c>
      <c r="BD36" s="13" t="s">
        <v>436</v>
      </c>
    </row>
    <row r="37" spans="2:56" ht="40" customHeight="1">
      <c r="B37" s="60"/>
      <c r="C37" s="61"/>
      <c r="D37" s="63" t="str">
        <f>CONCATENATE(Store_Setting[[#This Row],[商品序号]], IF(Store_Setting[[#This Row],[商品名称]]="","", _xlfn.CONCAT(" | ",_xlfn.SINGLE(Store_Setting[商品名称]))))</f>
        <v>27</v>
      </c>
      <c r="E37" s="9">
        <v>27</v>
      </c>
      <c r="F37" s="33"/>
      <c r="G37" s="31">
        <f>Store_Setting[[#This Row],[库存负差]]-SUM(Store_Setting[[#This Row],[已存入]]-Store_Setting[[#This Row],[已支取]])</f>
        <v>0</v>
      </c>
      <c r="H37" s="25">
        <f>SUM(UserInfo[27 - 剩余])</f>
        <v>0</v>
      </c>
      <c r="I37" s="25">
        <f>SUM(UserInfo[27 - 存入])</f>
        <v>0</v>
      </c>
      <c r="J37" s="25">
        <f>SUM(UserInfo[27 - 支取])</f>
        <v>0</v>
      </c>
      <c r="K37" s="25">
        <f>Store_Setting[[#This Row],[入库小计]]-Store_Setting[[#This Row],[取货小计]]</f>
        <v>0</v>
      </c>
      <c r="L37" s="25">
        <f>SUMIFS(Store_History[数量],Store_History[唯一识别码],Store_Setting[[#This Row],[唯一识别码]],Store_History[类型],$D$81)</f>
        <v>0</v>
      </c>
      <c r="M37" s="25">
        <f>SUMIFS(Store_History[数量],Store_History[唯一识别码],Store_Setting[[#This Row],[唯一识别码]],Store_History[类型],$E$81)</f>
        <v>0</v>
      </c>
      <c r="N37" s="33" t="s">
        <v>123</v>
      </c>
      <c r="O37" s="33" t="s">
        <v>123</v>
      </c>
      <c r="P37" s="9" t="s">
        <v>337</v>
      </c>
      <c r="Q37" s="9" t="s">
        <v>377</v>
      </c>
      <c r="R37" s="9" t="s">
        <v>378</v>
      </c>
      <c r="S37" s="9" t="s">
        <v>297</v>
      </c>
    </row>
    <row r="38" spans="2:56" ht="40" customHeight="1">
      <c r="B38" s="60"/>
      <c r="C38" s="61"/>
      <c r="D38" s="63" t="str">
        <f>CONCATENATE(Store_Setting[[#This Row],[商品序号]], IF(Store_Setting[[#This Row],[商品名称]]="","", _xlfn.CONCAT(" | ",_xlfn.SINGLE(Store_Setting[商品名称]))))</f>
        <v>28</v>
      </c>
      <c r="E38" s="9">
        <v>28</v>
      </c>
      <c r="F38" s="33"/>
      <c r="G38" s="31">
        <f>Store_Setting[[#This Row],[库存负差]]-SUM(Store_Setting[[#This Row],[已存入]]-Store_Setting[[#This Row],[已支取]])</f>
        <v>0</v>
      </c>
      <c r="H38" s="25">
        <f>SUM(UserInfo[28 - 剩余])</f>
        <v>0</v>
      </c>
      <c r="I38" s="25">
        <f>SUM(UserInfo[28 - 存入])</f>
        <v>0</v>
      </c>
      <c r="J38" s="25">
        <f>SUM(UserInfo[28 - 支取])</f>
        <v>0</v>
      </c>
      <c r="K38" s="25">
        <f>Store_Setting[[#This Row],[入库小计]]-Store_Setting[[#This Row],[取货小计]]</f>
        <v>0</v>
      </c>
      <c r="L38" s="25">
        <f>SUMIFS(Store_History[数量],Store_History[唯一识别码],Store_Setting[[#This Row],[唯一识别码]],Store_History[类型],$D$81)</f>
        <v>0</v>
      </c>
      <c r="M38" s="25">
        <f>SUMIFS(Store_History[数量],Store_History[唯一识别码],Store_Setting[[#This Row],[唯一识别码]],Store_History[类型],$E$81)</f>
        <v>0</v>
      </c>
      <c r="N38" s="33" t="s">
        <v>123</v>
      </c>
      <c r="O38" s="33" t="s">
        <v>123</v>
      </c>
      <c r="P38" s="9" t="s">
        <v>338</v>
      </c>
      <c r="Q38" s="9" t="s">
        <v>379</v>
      </c>
      <c r="R38" s="9" t="s">
        <v>380</v>
      </c>
      <c r="S38" s="9" t="s">
        <v>298</v>
      </c>
    </row>
    <row r="39" spans="2:56" ht="40" customHeight="1">
      <c r="B39" s="60"/>
      <c r="C39" s="61"/>
      <c r="D39" s="63" t="str">
        <f>CONCATENATE(Store_Setting[[#This Row],[商品序号]], IF(Store_Setting[[#This Row],[商品名称]]="","", _xlfn.CONCAT(" | ",_xlfn.SINGLE(Store_Setting[商品名称]))))</f>
        <v>29</v>
      </c>
      <c r="E39" s="9">
        <v>29</v>
      </c>
      <c r="F39" s="33"/>
      <c r="G39" s="31">
        <f>Store_Setting[[#This Row],[库存负差]]-SUM(Store_Setting[[#This Row],[已存入]]-Store_Setting[[#This Row],[已支取]])</f>
        <v>0</v>
      </c>
      <c r="H39" s="25">
        <f>SUM(UserInfo[29 - 剩余])</f>
        <v>0</v>
      </c>
      <c r="I39" s="25">
        <f>SUM(UserInfo[29 - 存入])</f>
        <v>0</v>
      </c>
      <c r="J39" s="25">
        <f>SUM(UserInfo[29 - 支取])</f>
        <v>0</v>
      </c>
      <c r="K39" s="25">
        <f>Store_Setting[[#This Row],[入库小计]]-Store_Setting[[#This Row],[取货小计]]</f>
        <v>0</v>
      </c>
      <c r="L39" s="25">
        <f>SUMIFS(Store_History[数量],Store_History[唯一识别码],Store_Setting[[#This Row],[唯一识别码]],Store_History[类型],$D$81)</f>
        <v>0</v>
      </c>
      <c r="M39" s="25">
        <f>SUMIFS(Store_History[数量],Store_History[唯一识别码],Store_Setting[[#This Row],[唯一识别码]],Store_History[类型],$E$81)</f>
        <v>0</v>
      </c>
      <c r="N39" s="33" t="s">
        <v>123</v>
      </c>
      <c r="O39" s="33" t="s">
        <v>123</v>
      </c>
      <c r="P39" s="9" t="s">
        <v>339</v>
      </c>
      <c r="Q39" s="9" t="s">
        <v>381</v>
      </c>
      <c r="R39" s="9" t="s">
        <v>382</v>
      </c>
      <c r="S39" s="9" t="s">
        <v>299</v>
      </c>
      <c r="BD39" s="64"/>
    </row>
    <row r="40" spans="2:56" ht="40" customHeight="1">
      <c r="B40" s="60"/>
      <c r="C40" s="61"/>
      <c r="D40" s="63" t="str">
        <f>CONCATENATE(Store_Setting[[#This Row],[商品序号]], IF(Store_Setting[[#This Row],[商品名称]]="","", _xlfn.CONCAT(" | ",_xlfn.SINGLE(Store_Setting[商品名称]))))</f>
        <v>30</v>
      </c>
      <c r="E40" s="9">
        <v>30</v>
      </c>
      <c r="F40" s="33"/>
      <c r="G40" s="31">
        <f>Store_Setting[[#This Row],[库存负差]]-SUM(Store_Setting[[#This Row],[已存入]]-Store_Setting[[#This Row],[已支取]])</f>
        <v>0</v>
      </c>
      <c r="H40" s="25">
        <f>SUM(UserInfo[30 - 剩余])</f>
        <v>0</v>
      </c>
      <c r="I40" s="25">
        <f>SUM(UserInfo[30 - 存入])</f>
        <v>0</v>
      </c>
      <c r="J40" s="25">
        <f>SUM(UserInfo[30 - 支取])</f>
        <v>0</v>
      </c>
      <c r="K40" s="25">
        <f>Store_Setting[[#This Row],[入库小计]]-Store_Setting[[#This Row],[取货小计]]</f>
        <v>0</v>
      </c>
      <c r="L40" s="25">
        <f>SUMIFS(Store_History[数量],Store_History[唯一识别码],Store_Setting[[#This Row],[唯一识别码]],Store_History[类型],$D$81)</f>
        <v>0</v>
      </c>
      <c r="M40" s="25">
        <f>SUMIFS(Store_History[数量],Store_History[唯一识别码],Store_Setting[[#This Row],[唯一识别码]],Store_History[类型],$E$81)</f>
        <v>0</v>
      </c>
      <c r="N40" s="33" t="s">
        <v>123</v>
      </c>
      <c r="O40" s="33" t="s">
        <v>123</v>
      </c>
      <c r="P40" s="9" t="s">
        <v>340</v>
      </c>
      <c r="Q40" s="9" t="s">
        <v>383</v>
      </c>
      <c r="R40" s="9" t="s">
        <v>384</v>
      </c>
      <c r="S40" s="9" t="s">
        <v>300</v>
      </c>
      <c r="BD40" s="64"/>
    </row>
    <row r="41" spans="2:56" ht="40" customHeight="1">
      <c r="B41" s="60"/>
      <c r="C41" s="61"/>
      <c r="D41" s="63" t="str">
        <f>CONCATENATE(Store_Setting[[#This Row],[商品序号]], IF(Store_Setting[[#This Row],[商品名称]]="","", _xlfn.CONCAT(" | ",_xlfn.SINGLE(Store_Setting[商品名称]))))</f>
        <v>31</v>
      </c>
      <c r="E41" s="9">
        <v>31</v>
      </c>
      <c r="F41" s="33"/>
      <c r="G41" s="31">
        <f>Store_Setting[[#This Row],[库存负差]]-SUM(Store_Setting[[#This Row],[已存入]]-Store_Setting[[#This Row],[已支取]])</f>
        <v>0</v>
      </c>
      <c r="H41" s="25">
        <f>SUM(UserInfo[31 - 剩余])</f>
        <v>0</v>
      </c>
      <c r="I41" s="25">
        <f>SUM(UserInfo[31 - 存入])</f>
        <v>0</v>
      </c>
      <c r="J41" s="25">
        <f>SUM(UserInfo[31 - 支取])</f>
        <v>0</v>
      </c>
      <c r="K41" s="25">
        <f>Store_Setting[[#This Row],[入库小计]]-Store_Setting[[#This Row],[取货小计]]</f>
        <v>0</v>
      </c>
      <c r="L41" s="25">
        <f>SUMIFS(Store_History[数量],Store_History[唯一识别码],Store_Setting[[#This Row],[唯一识别码]],Store_History[类型],$D$81)</f>
        <v>0</v>
      </c>
      <c r="M41" s="25">
        <f>SUMIFS(Store_History[数量],Store_History[唯一识别码],Store_Setting[[#This Row],[唯一识别码]],Store_History[类型],$E$81)</f>
        <v>0</v>
      </c>
      <c r="N41" s="33" t="s">
        <v>123</v>
      </c>
      <c r="O41" s="33" t="s">
        <v>123</v>
      </c>
      <c r="P41" s="9" t="s">
        <v>341</v>
      </c>
      <c r="Q41" s="9" t="s">
        <v>385</v>
      </c>
      <c r="R41" s="9" t="s">
        <v>386</v>
      </c>
      <c r="S41" s="9" t="s">
        <v>301</v>
      </c>
    </row>
    <row r="42" spans="2:56" ht="40" customHeight="1">
      <c r="B42" s="60"/>
      <c r="C42" s="61"/>
      <c r="D42" s="63" t="str">
        <f>CONCATENATE(Store_Setting[[#This Row],[商品序号]], IF(Store_Setting[[#This Row],[商品名称]]="","", _xlfn.CONCAT(" | ",_xlfn.SINGLE(Store_Setting[商品名称]))))</f>
        <v>32</v>
      </c>
      <c r="E42" s="9">
        <v>32</v>
      </c>
      <c r="F42" s="33"/>
      <c r="G42" s="31">
        <f>Store_Setting[[#This Row],[库存负差]]-SUM(Store_Setting[[#This Row],[已存入]]-Store_Setting[[#This Row],[已支取]])</f>
        <v>0</v>
      </c>
      <c r="H42" s="25">
        <f>SUM(UserInfo[32 - 剩余])</f>
        <v>0</v>
      </c>
      <c r="I42" s="25">
        <f>SUM(UserInfo[32 - 存入])</f>
        <v>0</v>
      </c>
      <c r="J42" s="25">
        <f>SUM(UserInfo[32 - 支取])</f>
        <v>0</v>
      </c>
      <c r="K42" s="25">
        <f>Store_Setting[[#This Row],[入库小计]]-Store_Setting[[#This Row],[取货小计]]</f>
        <v>0</v>
      </c>
      <c r="L42" s="25">
        <f>SUMIFS(Store_History[数量],Store_History[唯一识别码],Store_Setting[[#This Row],[唯一识别码]],Store_History[类型],$D$81)</f>
        <v>0</v>
      </c>
      <c r="M42" s="25">
        <f>SUMIFS(Store_History[数量],Store_History[唯一识别码],Store_Setting[[#This Row],[唯一识别码]],Store_History[类型],$E$81)</f>
        <v>0</v>
      </c>
      <c r="N42" s="33" t="s">
        <v>123</v>
      </c>
      <c r="O42" s="33" t="s">
        <v>123</v>
      </c>
      <c r="P42" s="9" t="s">
        <v>342</v>
      </c>
      <c r="Q42" s="9" t="s">
        <v>387</v>
      </c>
      <c r="R42" s="9" t="s">
        <v>388</v>
      </c>
      <c r="S42" s="9" t="s">
        <v>302</v>
      </c>
    </row>
    <row r="43" spans="2:56" ht="40" customHeight="1">
      <c r="B43" s="60"/>
      <c r="C43" s="61"/>
      <c r="D43" s="63" t="str">
        <f>CONCATENATE(Store_Setting[[#This Row],[商品序号]], IF(Store_Setting[[#This Row],[商品名称]]="","", _xlfn.CONCAT(" | ",_xlfn.SINGLE(Store_Setting[商品名称]))))</f>
        <v>33</v>
      </c>
      <c r="E43" s="9">
        <v>33</v>
      </c>
      <c r="F43" s="33"/>
      <c r="G43" s="31">
        <f>Store_Setting[[#This Row],[库存负差]]-SUM(Store_Setting[[#This Row],[已存入]]-Store_Setting[[#This Row],[已支取]])</f>
        <v>0</v>
      </c>
      <c r="H43" s="25">
        <f>SUM(UserInfo[33 - 剩余])</f>
        <v>0</v>
      </c>
      <c r="I43" s="25">
        <f>SUM(UserInfo[33 - 存入])</f>
        <v>0</v>
      </c>
      <c r="J43" s="25">
        <f>SUM(UserInfo[33 - 支取])</f>
        <v>0</v>
      </c>
      <c r="K43" s="25">
        <f>Store_Setting[[#This Row],[入库小计]]-Store_Setting[[#This Row],[取货小计]]</f>
        <v>0</v>
      </c>
      <c r="L43" s="25">
        <f>SUMIFS(Store_History[数量],Store_History[唯一识别码],Store_Setting[[#This Row],[唯一识别码]],Store_History[类型],$D$81)</f>
        <v>0</v>
      </c>
      <c r="M43" s="25">
        <f>SUMIFS(Store_History[数量],Store_History[唯一识别码],Store_Setting[[#This Row],[唯一识别码]],Store_History[类型],$E$81)</f>
        <v>0</v>
      </c>
      <c r="N43" s="33" t="s">
        <v>123</v>
      </c>
      <c r="O43" s="33" t="s">
        <v>123</v>
      </c>
      <c r="P43" s="9" t="s">
        <v>343</v>
      </c>
      <c r="Q43" s="9" t="s">
        <v>389</v>
      </c>
      <c r="R43" s="9" t="s">
        <v>390</v>
      </c>
      <c r="S43" s="9" t="s">
        <v>303</v>
      </c>
    </row>
    <row r="44" spans="2:56" ht="40" customHeight="1">
      <c r="B44" s="60"/>
      <c r="C44" s="61"/>
      <c r="D44" s="63" t="str">
        <f>CONCATENATE(Store_Setting[[#This Row],[商品序号]], IF(Store_Setting[[#This Row],[商品名称]]="","", _xlfn.CONCAT(" | ",_xlfn.SINGLE(Store_Setting[商品名称]))))</f>
        <v>34</v>
      </c>
      <c r="E44" s="9">
        <v>34</v>
      </c>
      <c r="F44" s="33"/>
      <c r="G44" s="31">
        <f>Store_Setting[[#This Row],[库存负差]]-SUM(Store_Setting[[#This Row],[已存入]]-Store_Setting[[#This Row],[已支取]])</f>
        <v>0</v>
      </c>
      <c r="H44" s="25">
        <f>SUM(UserInfo[34 - 剩余])</f>
        <v>0</v>
      </c>
      <c r="I44" s="25">
        <f>SUM(UserInfo[34 - 存入])</f>
        <v>0</v>
      </c>
      <c r="J44" s="25">
        <f>SUM(UserInfo[34 - 支取])</f>
        <v>0</v>
      </c>
      <c r="K44" s="25">
        <f>Store_Setting[[#This Row],[入库小计]]-Store_Setting[[#This Row],[取货小计]]</f>
        <v>0</v>
      </c>
      <c r="L44" s="25">
        <f>SUMIFS(Store_History[数量],Store_History[唯一识别码],Store_Setting[[#This Row],[唯一识别码]],Store_History[类型],$D$81)</f>
        <v>0</v>
      </c>
      <c r="M44" s="25">
        <f>SUMIFS(Store_History[数量],Store_History[唯一识别码],Store_Setting[[#This Row],[唯一识别码]],Store_History[类型],$E$81)</f>
        <v>0</v>
      </c>
      <c r="N44" s="33" t="s">
        <v>123</v>
      </c>
      <c r="O44" s="33" t="s">
        <v>123</v>
      </c>
      <c r="P44" s="9" t="s">
        <v>344</v>
      </c>
      <c r="Q44" s="9" t="s">
        <v>391</v>
      </c>
      <c r="R44" s="9" t="s">
        <v>392</v>
      </c>
      <c r="S44" s="9" t="s">
        <v>304</v>
      </c>
    </row>
    <row r="45" spans="2:56" ht="40" customHeight="1">
      <c r="B45" s="60"/>
      <c r="C45" s="61"/>
      <c r="D45" s="63" t="str">
        <f>CONCATENATE(Store_Setting[[#This Row],[商品序号]], IF(Store_Setting[[#This Row],[商品名称]]="","", _xlfn.CONCAT(" | ",_xlfn.SINGLE(Store_Setting[商品名称]))))</f>
        <v>35</v>
      </c>
      <c r="E45" s="9">
        <v>35</v>
      </c>
      <c r="F45" s="33"/>
      <c r="G45" s="31">
        <f>Store_Setting[[#This Row],[库存负差]]-SUM(Store_Setting[[#This Row],[已存入]]-Store_Setting[[#This Row],[已支取]])</f>
        <v>0</v>
      </c>
      <c r="H45" s="25">
        <f>SUM(UserInfo[35 - 剩余])</f>
        <v>0</v>
      </c>
      <c r="I45" s="25">
        <f>SUM(UserInfo[35 - 存入])</f>
        <v>0</v>
      </c>
      <c r="J45" s="25">
        <f>SUM(UserInfo[35 - 支取])</f>
        <v>0</v>
      </c>
      <c r="K45" s="25">
        <f>Store_Setting[[#This Row],[入库小计]]-Store_Setting[[#This Row],[取货小计]]</f>
        <v>0</v>
      </c>
      <c r="L45" s="25">
        <f>SUMIFS(Store_History[数量],Store_History[唯一识别码],Store_Setting[[#This Row],[唯一识别码]],Store_History[类型],$D$81)</f>
        <v>0</v>
      </c>
      <c r="M45" s="25">
        <f>SUMIFS(Store_History[数量],Store_History[唯一识别码],Store_Setting[[#This Row],[唯一识别码]],Store_History[类型],$E$81)</f>
        <v>0</v>
      </c>
      <c r="N45" s="33" t="s">
        <v>123</v>
      </c>
      <c r="O45" s="33" t="s">
        <v>123</v>
      </c>
      <c r="P45" s="9" t="s">
        <v>345</v>
      </c>
      <c r="Q45" s="9" t="s">
        <v>393</v>
      </c>
      <c r="R45" s="9" t="s">
        <v>394</v>
      </c>
      <c r="S45" s="9" t="s">
        <v>305</v>
      </c>
    </row>
    <row r="46" spans="2:56" ht="40" customHeight="1">
      <c r="B46" s="60"/>
      <c r="C46" s="61"/>
      <c r="D46" s="63" t="str">
        <f>CONCATENATE(Store_Setting[[#This Row],[商品序号]], IF(Store_Setting[[#This Row],[商品名称]]="","", _xlfn.CONCAT(" | ",_xlfn.SINGLE(Store_Setting[商品名称]))))</f>
        <v>36</v>
      </c>
      <c r="E46" s="9">
        <v>36</v>
      </c>
      <c r="F46" s="33"/>
      <c r="G46" s="31">
        <f>Store_Setting[[#This Row],[库存负差]]-SUM(Store_Setting[[#This Row],[已存入]]-Store_Setting[[#This Row],[已支取]])</f>
        <v>0</v>
      </c>
      <c r="H46" s="25">
        <f>SUM(UserInfo[36 - 剩余])</f>
        <v>0</v>
      </c>
      <c r="I46" s="25">
        <f>SUM(UserInfo[36 - 存入])</f>
        <v>0</v>
      </c>
      <c r="J46" s="25">
        <f>SUM(UserInfo[36 - 支取])</f>
        <v>0</v>
      </c>
      <c r="K46" s="25">
        <f>Store_Setting[[#This Row],[入库小计]]-Store_Setting[[#This Row],[取货小计]]</f>
        <v>0</v>
      </c>
      <c r="L46" s="25">
        <f>SUMIFS(Store_History[数量],Store_History[唯一识别码],Store_Setting[[#This Row],[唯一识别码]],Store_History[类型],$D$81)</f>
        <v>0</v>
      </c>
      <c r="M46" s="25">
        <f>SUMIFS(Store_History[数量],Store_History[唯一识别码],Store_Setting[[#This Row],[唯一识别码]],Store_History[类型],$E$81)</f>
        <v>0</v>
      </c>
      <c r="N46" s="33" t="s">
        <v>123</v>
      </c>
      <c r="O46" s="33" t="s">
        <v>123</v>
      </c>
      <c r="P46" s="9" t="s">
        <v>346</v>
      </c>
      <c r="Q46" s="9" t="s">
        <v>395</v>
      </c>
      <c r="R46" s="9" t="s">
        <v>396</v>
      </c>
      <c r="S46" s="9" t="s">
        <v>306</v>
      </c>
    </row>
    <row r="47" spans="2:56" ht="40" customHeight="1">
      <c r="B47" s="60"/>
      <c r="C47" s="61"/>
      <c r="D47" s="63" t="str">
        <f>CONCATENATE(Store_Setting[[#This Row],[商品序号]], IF(Store_Setting[[#This Row],[商品名称]]="","", _xlfn.CONCAT(" | ",_xlfn.SINGLE(Store_Setting[商品名称]))))</f>
        <v>37</v>
      </c>
      <c r="E47" s="9">
        <v>37</v>
      </c>
      <c r="F47" s="33"/>
      <c r="G47" s="31">
        <f>Store_Setting[[#This Row],[库存负差]]-SUM(Store_Setting[[#This Row],[已存入]]-Store_Setting[[#This Row],[已支取]])</f>
        <v>0</v>
      </c>
      <c r="H47" s="25">
        <f>SUM(UserInfo[37 - 剩余])</f>
        <v>0</v>
      </c>
      <c r="I47" s="25">
        <f>SUM(UserInfo[37 - 存入])</f>
        <v>0</v>
      </c>
      <c r="J47" s="25">
        <f>SUM(UserInfo[37 - 支取])</f>
        <v>0</v>
      </c>
      <c r="K47" s="25">
        <f>Store_Setting[[#This Row],[入库小计]]-Store_Setting[[#This Row],[取货小计]]</f>
        <v>0</v>
      </c>
      <c r="L47" s="25">
        <f>SUMIFS(Store_History[数量],Store_History[唯一识别码],Store_Setting[[#This Row],[唯一识别码]],Store_History[类型],$D$81)</f>
        <v>0</v>
      </c>
      <c r="M47" s="25">
        <f>SUMIFS(Store_History[数量],Store_History[唯一识别码],Store_Setting[[#This Row],[唯一识别码]],Store_History[类型],$E$81)</f>
        <v>0</v>
      </c>
      <c r="N47" s="33" t="s">
        <v>123</v>
      </c>
      <c r="O47" s="33" t="s">
        <v>123</v>
      </c>
      <c r="P47" s="9" t="s">
        <v>347</v>
      </c>
      <c r="Q47" s="9" t="s">
        <v>397</v>
      </c>
      <c r="R47" s="9" t="s">
        <v>398</v>
      </c>
      <c r="S47" s="9" t="s">
        <v>307</v>
      </c>
    </row>
    <row r="48" spans="2:56" ht="40" customHeight="1">
      <c r="B48" s="60"/>
      <c r="C48" s="61"/>
      <c r="D48" s="63" t="str">
        <f>CONCATENATE(Store_Setting[[#This Row],[商品序号]], IF(Store_Setting[[#This Row],[商品名称]]="","", _xlfn.CONCAT(" | ",_xlfn.SINGLE(Store_Setting[商品名称]))))</f>
        <v>38</v>
      </c>
      <c r="E48" s="9">
        <v>38</v>
      </c>
      <c r="F48" s="33"/>
      <c r="G48" s="31">
        <f>Store_Setting[[#This Row],[库存负差]]-SUM(Store_Setting[[#This Row],[已存入]]-Store_Setting[[#This Row],[已支取]])</f>
        <v>0</v>
      </c>
      <c r="H48" s="25">
        <f>SUM(UserInfo[38 - 剩余])</f>
        <v>0</v>
      </c>
      <c r="I48" s="25">
        <f>SUM(UserInfo[38 - 存入])</f>
        <v>0</v>
      </c>
      <c r="J48" s="25">
        <f>SUM(UserInfo[38 - 支取])</f>
        <v>0</v>
      </c>
      <c r="K48" s="25">
        <f>Store_Setting[[#This Row],[入库小计]]-Store_Setting[[#This Row],[取货小计]]</f>
        <v>0</v>
      </c>
      <c r="L48" s="25">
        <f>SUMIFS(Store_History[数量],Store_History[唯一识别码],Store_Setting[[#This Row],[唯一识别码]],Store_History[类型],$D$81)</f>
        <v>0</v>
      </c>
      <c r="M48" s="25">
        <f>SUMIFS(Store_History[数量],Store_History[唯一识别码],Store_Setting[[#This Row],[唯一识别码]],Store_History[类型],$E$81)</f>
        <v>0</v>
      </c>
      <c r="N48" s="33" t="s">
        <v>123</v>
      </c>
      <c r="O48" s="33" t="s">
        <v>123</v>
      </c>
      <c r="P48" s="9" t="s">
        <v>348</v>
      </c>
      <c r="Q48" s="9" t="s">
        <v>399</v>
      </c>
      <c r="R48" s="9" t="s">
        <v>400</v>
      </c>
      <c r="S48" s="9" t="s">
        <v>308</v>
      </c>
    </row>
    <row r="49" spans="2:19" ht="40" customHeight="1">
      <c r="B49" s="60"/>
      <c r="C49" s="61"/>
      <c r="D49" s="63" t="str">
        <f>CONCATENATE(Store_Setting[[#This Row],[商品序号]], IF(Store_Setting[[#This Row],[商品名称]]="","", _xlfn.CONCAT(" | ",_xlfn.SINGLE(Store_Setting[商品名称]))))</f>
        <v>39</v>
      </c>
      <c r="E49" s="9">
        <v>39</v>
      </c>
      <c r="F49" s="33"/>
      <c r="G49" s="31">
        <f>Store_Setting[[#This Row],[库存负差]]-SUM(Store_Setting[[#This Row],[已存入]]-Store_Setting[[#This Row],[已支取]])</f>
        <v>0</v>
      </c>
      <c r="H49" s="25">
        <f>SUM(UserInfo[39 - 剩余])</f>
        <v>0</v>
      </c>
      <c r="I49" s="25">
        <f>SUM(UserInfo[39 - 存入])</f>
        <v>0</v>
      </c>
      <c r="J49" s="25">
        <f>SUM(UserInfo[39 - 支取])</f>
        <v>0</v>
      </c>
      <c r="K49" s="25">
        <f>Store_Setting[[#This Row],[入库小计]]-Store_Setting[[#This Row],[取货小计]]</f>
        <v>0</v>
      </c>
      <c r="L49" s="25">
        <f>SUMIFS(Store_History[数量],Store_History[唯一识别码],Store_Setting[[#This Row],[唯一识别码]],Store_History[类型],$D$81)</f>
        <v>0</v>
      </c>
      <c r="M49" s="25">
        <f>SUMIFS(Store_History[数量],Store_History[唯一识别码],Store_Setting[[#This Row],[唯一识别码]],Store_History[类型],$E$81)</f>
        <v>0</v>
      </c>
      <c r="N49" s="33" t="s">
        <v>123</v>
      </c>
      <c r="O49" s="33" t="s">
        <v>123</v>
      </c>
      <c r="P49" s="9" t="s">
        <v>349</v>
      </c>
      <c r="Q49" s="9" t="s">
        <v>401</v>
      </c>
      <c r="R49" s="9" t="s">
        <v>402</v>
      </c>
      <c r="S49" s="9" t="s">
        <v>309</v>
      </c>
    </row>
    <row r="50" spans="2:19" ht="40" customHeight="1">
      <c r="B50" s="60"/>
      <c r="C50" s="61"/>
      <c r="D50" s="63" t="str">
        <f>CONCATENATE(Store_Setting[[#This Row],[商品序号]], IF(Store_Setting[[#This Row],[商品名称]]="","", _xlfn.CONCAT(" | ",_xlfn.SINGLE(Store_Setting[商品名称]))))</f>
        <v>40</v>
      </c>
      <c r="E50" s="9">
        <v>40</v>
      </c>
      <c r="F50" s="33"/>
      <c r="G50" s="31">
        <f>Store_Setting[[#This Row],[库存负差]]-SUM(Store_Setting[[#This Row],[已存入]]-Store_Setting[[#This Row],[已支取]])</f>
        <v>0</v>
      </c>
      <c r="H50" s="25">
        <f>SUM(UserInfo[40 - 剩余])</f>
        <v>0</v>
      </c>
      <c r="I50" s="25">
        <f>SUM(UserInfo[40 - 存入])</f>
        <v>0</v>
      </c>
      <c r="J50" s="25">
        <f>SUM(UserInfo[40 - 支取])</f>
        <v>0</v>
      </c>
      <c r="K50" s="25">
        <f>Store_Setting[[#This Row],[入库小计]]-Store_Setting[[#This Row],[取货小计]]</f>
        <v>0</v>
      </c>
      <c r="L50" s="25">
        <f>SUMIFS(Store_History[数量],Store_History[唯一识别码],Store_Setting[[#This Row],[唯一识别码]],Store_History[类型],$D$81)</f>
        <v>0</v>
      </c>
      <c r="M50" s="25">
        <f>SUMIFS(Store_History[数量],Store_History[唯一识别码],Store_Setting[[#This Row],[唯一识别码]],Store_History[类型],$E$81)</f>
        <v>0</v>
      </c>
      <c r="N50" s="33" t="s">
        <v>123</v>
      </c>
      <c r="O50" s="33" t="s">
        <v>123</v>
      </c>
      <c r="P50" s="9" t="s">
        <v>350</v>
      </c>
      <c r="Q50" s="9" t="s">
        <v>403</v>
      </c>
      <c r="R50" s="9" t="s">
        <v>404</v>
      </c>
      <c r="S50" s="9" t="s">
        <v>295</v>
      </c>
    </row>
    <row r="51" spans="2:19" ht="8.25" customHeight="1"/>
    <row r="52" spans="2:19" ht="40" customHeight="1">
      <c r="B52" s="60" t="s">
        <v>15</v>
      </c>
      <c r="C52" s="61" t="s">
        <v>122</v>
      </c>
      <c r="D52" s="35" t="s">
        <v>247</v>
      </c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</row>
    <row r="53" spans="2:19" ht="40" customHeight="1">
      <c r="B53" s="60"/>
      <c r="C53" s="61" t="s">
        <v>29</v>
      </c>
      <c r="D53" s="36" t="s">
        <v>246</v>
      </c>
      <c r="E53" s="36" t="s">
        <v>247</v>
      </c>
      <c r="F53" s="36"/>
      <c r="G53" s="36"/>
      <c r="H53" s="36"/>
      <c r="I53" s="37"/>
      <c r="J53" s="37"/>
      <c r="K53" s="37"/>
      <c r="L53" s="37"/>
      <c r="M53" s="37"/>
      <c r="N53" s="37"/>
      <c r="O53" s="37"/>
    </row>
    <row r="54" spans="2:19" ht="40" customHeight="1">
      <c r="B54" s="60"/>
      <c r="C54" s="61" t="s">
        <v>30</v>
      </c>
      <c r="D54" s="36"/>
      <c r="E54" s="36"/>
      <c r="F54" s="36"/>
      <c r="G54" s="36"/>
      <c r="H54" s="36"/>
      <c r="I54" s="37"/>
      <c r="J54" s="37"/>
      <c r="K54" s="37"/>
      <c r="L54" s="37"/>
      <c r="M54" s="37"/>
      <c r="N54" s="37"/>
      <c r="O54" s="37"/>
    </row>
    <row r="55" spans="2:19" ht="8.25" customHeight="1">
      <c r="B55" s="66"/>
      <c r="D55" s="67"/>
      <c r="E55" s="67"/>
      <c r="F55" s="67"/>
      <c r="G55" s="67"/>
      <c r="H55" s="67"/>
      <c r="I55" s="67"/>
      <c r="J55" s="67"/>
      <c r="K55" s="67"/>
      <c r="L55" s="67"/>
      <c r="M55" s="67"/>
      <c r="N55" s="67"/>
      <c r="O55" s="67"/>
    </row>
    <row r="56" spans="2:19" ht="40" customHeight="1">
      <c r="B56" s="60" t="s">
        <v>16</v>
      </c>
      <c r="C56" s="61"/>
      <c r="D56" s="68" t="s">
        <v>28</v>
      </c>
      <c r="E56" s="29" t="s">
        <v>1</v>
      </c>
      <c r="F56" s="29" t="s">
        <v>22</v>
      </c>
      <c r="G56" s="69" t="s">
        <v>21</v>
      </c>
      <c r="H56" s="69" t="s">
        <v>23</v>
      </c>
      <c r="I56" s="69" t="s">
        <v>24</v>
      </c>
      <c r="J56" s="69" t="s">
        <v>73</v>
      </c>
      <c r="K56" s="69" t="s">
        <v>412</v>
      </c>
      <c r="L56" s="69" t="s">
        <v>7</v>
      </c>
      <c r="M56" s="69" t="s">
        <v>264</v>
      </c>
      <c r="N56" s="69" t="s">
        <v>464</v>
      </c>
      <c r="O56" s="70"/>
    </row>
    <row r="57" spans="2:19" ht="40" customHeight="1">
      <c r="B57" s="60"/>
      <c r="C57" s="61" t="s">
        <v>254</v>
      </c>
      <c r="D57" s="18" t="s">
        <v>123</v>
      </c>
      <c r="E57" s="18" t="s">
        <v>124</v>
      </c>
      <c r="F57" s="18" t="s">
        <v>124</v>
      </c>
      <c r="G57" s="18" t="s">
        <v>124</v>
      </c>
      <c r="H57" s="18" t="s">
        <v>124</v>
      </c>
      <c r="I57" s="18" t="s">
        <v>124</v>
      </c>
      <c r="J57" s="71" t="s">
        <v>414</v>
      </c>
      <c r="K57" s="70"/>
      <c r="L57" s="70"/>
      <c r="M57" s="70"/>
      <c r="N57" s="70"/>
      <c r="O57" s="70"/>
    </row>
    <row r="58" spans="2:19" ht="50.05" customHeight="1">
      <c r="B58" s="60"/>
      <c r="C58" s="65" t="s">
        <v>415</v>
      </c>
      <c r="D58" s="18" t="s">
        <v>413</v>
      </c>
      <c r="E58" s="18" t="s">
        <v>413</v>
      </c>
      <c r="F58" s="18" t="s">
        <v>437</v>
      </c>
      <c r="G58" s="18" t="s">
        <v>437</v>
      </c>
      <c r="H58" s="18" t="s">
        <v>437</v>
      </c>
      <c r="I58" s="18" t="s">
        <v>437</v>
      </c>
      <c r="J58" s="18" t="s">
        <v>413</v>
      </c>
      <c r="K58" s="18" t="s">
        <v>413</v>
      </c>
      <c r="L58" s="18" t="s">
        <v>413</v>
      </c>
      <c r="M58" s="18" t="s">
        <v>413</v>
      </c>
      <c r="N58" s="18" t="s">
        <v>413</v>
      </c>
      <c r="O58" s="70"/>
    </row>
    <row r="59" spans="2:19" ht="50.05" customHeight="1">
      <c r="B59" s="60"/>
      <c r="C59" s="65" t="s">
        <v>416</v>
      </c>
      <c r="D59" s="18" t="s">
        <v>413</v>
      </c>
      <c r="E59" s="18" t="s">
        <v>413</v>
      </c>
      <c r="F59" s="18" t="s">
        <v>413</v>
      </c>
      <c r="G59" s="18" t="s">
        <v>413</v>
      </c>
      <c r="H59" s="18" t="s">
        <v>413</v>
      </c>
      <c r="I59" s="18" t="s">
        <v>413</v>
      </c>
      <c r="J59" s="71"/>
      <c r="K59" s="18" t="s">
        <v>413</v>
      </c>
      <c r="L59" s="18" t="s">
        <v>413</v>
      </c>
      <c r="M59" s="71"/>
      <c r="N59" s="70"/>
      <c r="O59" s="70"/>
    </row>
    <row r="60" spans="2:19" ht="50.05" customHeight="1">
      <c r="B60" s="60"/>
      <c r="C60" s="65" t="s">
        <v>251</v>
      </c>
      <c r="D60" s="18" t="s">
        <v>124</v>
      </c>
      <c r="E60" s="72" t="s">
        <v>236</v>
      </c>
      <c r="F60" s="70"/>
      <c r="G60" s="70"/>
      <c r="H60" s="70"/>
      <c r="I60" s="70"/>
      <c r="J60" s="70"/>
      <c r="K60" s="70"/>
      <c r="L60" s="70"/>
      <c r="M60" s="70"/>
      <c r="N60" s="70"/>
      <c r="O60" s="70"/>
    </row>
    <row r="61" spans="2:19" ht="50.05" customHeight="1">
      <c r="B61" s="60"/>
      <c r="C61" s="65" t="s">
        <v>257</v>
      </c>
      <c r="D61" s="18" t="s">
        <v>123</v>
      </c>
      <c r="E61" s="72" t="s">
        <v>261</v>
      </c>
      <c r="F61" s="70"/>
      <c r="G61" s="70"/>
      <c r="H61" s="70"/>
      <c r="I61" s="70"/>
      <c r="J61" s="70"/>
      <c r="K61" s="70"/>
      <c r="L61" s="70"/>
      <c r="M61" s="70"/>
      <c r="N61" s="70"/>
      <c r="O61" s="70"/>
    </row>
    <row r="62" spans="2:19" ht="40" customHeight="1">
      <c r="B62" s="60"/>
      <c r="C62" s="65" t="s">
        <v>418</v>
      </c>
      <c r="D62" s="18" t="s">
        <v>123</v>
      </c>
      <c r="E62" s="72" t="s">
        <v>419</v>
      </c>
      <c r="F62" s="70"/>
      <c r="G62" s="70"/>
      <c r="H62" s="70"/>
      <c r="I62" s="70"/>
      <c r="J62" s="70"/>
      <c r="K62" s="70"/>
      <c r="L62" s="70"/>
      <c r="M62" s="70"/>
      <c r="N62" s="70"/>
      <c r="O62" s="70"/>
    </row>
    <row r="63" spans="2:19" ht="50.05" customHeight="1">
      <c r="B63" s="60"/>
      <c r="C63" s="65" t="s">
        <v>256</v>
      </c>
      <c r="D63" s="18" t="s">
        <v>123</v>
      </c>
      <c r="E63" s="72" t="s">
        <v>262</v>
      </c>
      <c r="F63" s="70"/>
      <c r="G63" s="70"/>
      <c r="H63" s="70"/>
      <c r="I63" s="70"/>
      <c r="J63" s="70"/>
      <c r="K63" s="70"/>
      <c r="L63" s="70"/>
      <c r="M63" s="70"/>
      <c r="N63" s="70"/>
      <c r="O63" s="70"/>
    </row>
    <row r="64" spans="2:19" ht="8.25" customHeight="1">
      <c r="B64" s="66"/>
      <c r="D64" s="67"/>
      <c r="E64" s="67"/>
      <c r="F64" s="67"/>
      <c r="G64" s="67"/>
      <c r="H64" s="67"/>
      <c r="I64" s="67"/>
      <c r="J64" s="67"/>
      <c r="K64" s="67"/>
      <c r="L64" s="67"/>
      <c r="M64" s="67"/>
      <c r="N64" s="67"/>
      <c r="O64" s="67"/>
    </row>
    <row r="65" spans="2:15" ht="40" customHeight="1">
      <c r="B65" s="60" t="s">
        <v>25</v>
      </c>
      <c r="C65" s="61" t="s">
        <v>217</v>
      </c>
      <c r="D65" s="35" t="s">
        <v>218</v>
      </c>
      <c r="E65" s="35" t="s">
        <v>219</v>
      </c>
      <c r="F65" s="35" t="s">
        <v>220</v>
      </c>
      <c r="G65" s="35" t="s">
        <v>232</v>
      </c>
      <c r="H65" s="35" t="s">
        <v>233</v>
      </c>
      <c r="I65" s="35" t="s">
        <v>234</v>
      </c>
      <c r="J65" s="35" t="s">
        <v>235</v>
      </c>
      <c r="K65" s="35"/>
      <c r="L65" s="35"/>
      <c r="M65" s="35"/>
      <c r="N65" s="35"/>
      <c r="O65" s="35"/>
    </row>
    <row r="66" spans="2:15" ht="50.05" customHeight="1">
      <c r="B66" s="60"/>
      <c r="C66" s="65" t="s">
        <v>253</v>
      </c>
      <c r="D66" s="18" t="s">
        <v>123</v>
      </c>
      <c r="E66" s="72" t="s">
        <v>239</v>
      </c>
      <c r="F66" s="61"/>
      <c r="G66" s="61"/>
      <c r="H66" s="61"/>
      <c r="I66" s="61"/>
      <c r="J66" s="61"/>
      <c r="K66" s="61"/>
      <c r="L66" s="61"/>
      <c r="M66" s="61"/>
      <c r="N66" s="61"/>
      <c r="O66" s="61"/>
    </row>
    <row r="67" spans="2:15" ht="50.05" customHeight="1">
      <c r="B67" s="60"/>
      <c r="C67" s="65" t="s">
        <v>259</v>
      </c>
      <c r="D67" s="18" t="s">
        <v>123</v>
      </c>
      <c r="E67" s="72" t="s">
        <v>260</v>
      </c>
      <c r="F67" s="61"/>
      <c r="G67" s="61"/>
      <c r="H67" s="61"/>
      <c r="I67" s="61"/>
      <c r="J67" s="61"/>
      <c r="K67" s="61"/>
      <c r="L67" s="61"/>
      <c r="M67" s="61"/>
      <c r="N67" s="61"/>
      <c r="O67" s="61"/>
    </row>
    <row r="68" spans="2:15" ht="50.05" customHeight="1">
      <c r="B68" s="60"/>
      <c r="C68" s="65" t="s">
        <v>258</v>
      </c>
      <c r="D68" s="18" t="s">
        <v>123</v>
      </c>
      <c r="E68" s="72" t="s">
        <v>263</v>
      </c>
      <c r="F68" s="61"/>
      <c r="G68" s="61"/>
      <c r="H68" s="61"/>
      <c r="I68" s="61"/>
      <c r="J68" s="61"/>
      <c r="K68" s="61"/>
      <c r="L68" s="61"/>
      <c r="M68" s="61"/>
      <c r="N68" s="61"/>
      <c r="O68" s="61"/>
    </row>
    <row r="69" spans="2:15" ht="8.25" customHeight="1">
      <c r="B69" s="66"/>
      <c r="D69" s="67"/>
      <c r="E69" s="67"/>
      <c r="F69" s="67"/>
      <c r="G69" s="67"/>
      <c r="H69" s="67"/>
      <c r="I69" s="67"/>
      <c r="J69" s="67"/>
      <c r="K69" s="67"/>
      <c r="L69" s="67"/>
      <c r="M69" s="67"/>
      <c r="N69" s="67"/>
      <c r="O69" s="67"/>
    </row>
    <row r="70" spans="2:15" ht="40" customHeight="1">
      <c r="B70" s="60" t="s">
        <v>210</v>
      </c>
      <c r="C70" s="61" t="s">
        <v>421</v>
      </c>
      <c r="D70" s="89" t="s">
        <v>461</v>
      </c>
      <c r="E70" s="18">
        <v>1</v>
      </c>
      <c r="F70" s="71" t="s">
        <v>462</v>
      </c>
      <c r="G70" s="70"/>
      <c r="H70" s="70"/>
      <c r="I70" s="70"/>
      <c r="J70" s="70"/>
      <c r="K70" s="70"/>
      <c r="L70" s="70"/>
      <c r="M70" s="70"/>
      <c r="N70" s="70"/>
      <c r="O70" s="70"/>
    </row>
    <row r="71" spans="2:15" ht="40" customHeight="1">
      <c r="B71" s="60"/>
      <c r="C71" s="61" t="s">
        <v>463</v>
      </c>
      <c r="D71" s="68" t="s">
        <v>255</v>
      </c>
      <c r="E71" s="18" t="s">
        <v>123</v>
      </c>
      <c r="F71" s="71"/>
      <c r="G71" s="70"/>
      <c r="H71" s="70"/>
      <c r="I71" s="70"/>
      <c r="J71" s="70"/>
      <c r="K71" s="70"/>
      <c r="L71" s="70"/>
      <c r="M71" s="70"/>
      <c r="N71" s="70"/>
      <c r="O71" s="70"/>
    </row>
    <row r="72" spans="2:15" ht="40" customHeight="1">
      <c r="B72" s="60"/>
      <c r="C72" s="61"/>
      <c r="D72" s="68" t="s">
        <v>456</v>
      </c>
      <c r="E72" s="18" t="s">
        <v>123</v>
      </c>
      <c r="F72" s="71"/>
      <c r="G72" s="70"/>
      <c r="H72" s="70"/>
      <c r="I72" s="70"/>
      <c r="J72" s="70"/>
      <c r="K72" s="70"/>
      <c r="L72" s="70"/>
      <c r="M72" s="70"/>
      <c r="N72" s="70"/>
      <c r="O72" s="70"/>
    </row>
    <row r="73" spans="2:15" ht="40" customHeight="1">
      <c r="B73" s="60"/>
      <c r="C73" s="61"/>
      <c r="D73" s="68" t="s">
        <v>128</v>
      </c>
      <c r="E73" s="18" t="s">
        <v>123</v>
      </c>
      <c r="F73" s="71"/>
      <c r="G73" s="70"/>
      <c r="H73" s="70"/>
      <c r="I73" s="70"/>
      <c r="J73" s="70"/>
      <c r="K73" s="70"/>
      <c r="L73" s="70"/>
      <c r="M73" s="70"/>
      <c r="N73" s="70"/>
      <c r="O73" s="70"/>
    </row>
    <row r="74" spans="2:15" ht="8.25" customHeight="1">
      <c r="B74" s="66"/>
      <c r="D74" s="67"/>
      <c r="E74" s="67"/>
      <c r="F74" s="67"/>
      <c r="G74" s="67"/>
      <c r="H74" s="67"/>
      <c r="I74" s="67"/>
      <c r="J74" s="67"/>
      <c r="K74" s="67"/>
      <c r="L74" s="67"/>
      <c r="M74" s="67"/>
      <c r="N74" s="67"/>
      <c r="O74" s="67"/>
    </row>
    <row r="75" spans="2:15" ht="50.05" customHeight="1">
      <c r="B75" s="60" t="s">
        <v>231</v>
      </c>
      <c r="C75" s="61" t="s">
        <v>457</v>
      </c>
      <c r="D75" s="68" t="s">
        <v>458</v>
      </c>
      <c r="E75" s="68" t="s">
        <v>466</v>
      </c>
      <c r="F75" s="68" t="s">
        <v>467</v>
      </c>
      <c r="G75" s="68" t="s">
        <v>465</v>
      </c>
      <c r="H75" s="71" t="s">
        <v>468</v>
      </c>
      <c r="I75" s="70"/>
      <c r="J75" s="70"/>
      <c r="K75" s="70"/>
      <c r="L75" s="70"/>
      <c r="M75" s="70"/>
      <c r="N75" s="70"/>
      <c r="O75" s="70"/>
    </row>
    <row r="76" spans="2:15" ht="40" customHeight="1">
      <c r="B76" s="60"/>
      <c r="C76" s="61"/>
      <c r="D76" s="18" t="s">
        <v>124</v>
      </c>
      <c r="E76" s="18" t="s">
        <v>123</v>
      </c>
      <c r="F76" s="18" t="s">
        <v>123</v>
      </c>
      <c r="G76" s="18" t="s">
        <v>123</v>
      </c>
      <c r="H76" s="70"/>
      <c r="I76" s="70"/>
      <c r="J76" s="70"/>
      <c r="K76" s="70"/>
      <c r="L76" s="70"/>
      <c r="M76" s="70"/>
      <c r="N76" s="70"/>
      <c r="O76" s="70"/>
    </row>
    <row r="77" spans="2:15" ht="40" customHeight="1">
      <c r="B77" s="60"/>
      <c r="C77" s="61"/>
      <c r="D77" s="68" t="s">
        <v>460</v>
      </c>
      <c r="E77" s="88"/>
      <c r="F77" s="87"/>
      <c r="G77" s="87"/>
      <c r="H77" s="87"/>
      <c r="I77" s="87"/>
      <c r="J77" s="87"/>
      <c r="K77" s="87"/>
      <c r="L77" s="87"/>
      <c r="M77" s="87"/>
      <c r="N77" s="87"/>
      <c r="O77" s="62"/>
    </row>
    <row r="78" spans="2:15" ht="8.15" hidden="1" customHeight="1"/>
    <row r="79" spans="2:15" ht="40" hidden="1" customHeight="1">
      <c r="B79" s="73" t="s">
        <v>238</v>
      </c>
      <c r="C79" s="61" t="s">
        <v>5</v>
      </c>
      <c r="D79" s="74" t="s">
        <v>8</v>
      </c>
      <c r="E79" s="74" t="s">
        <v>9</v>
      </c>
      <c r="F79" s="75"/>
      <c r="G79" s="75"/>
      <c r="H79" s="75"/>
      <c r="I79" s="75"/>
      <c r="J79" s="75"/>
      <c r="K79" s="75"/>
      <c r="L79" s="75"/>
      <c r="M79" s="75"/>
      <c r="N79" s="75"/>
      <c r="O79" s="75"/>
    </row>
    <row r="80" spans="2:15" ht="8.25" hidden="1" customHeight="1">
      <c r="B80" s="66"/>
      <c r="D80" s="67"/>
      <c r="E80" s="67"/>
      <c r="F80" s="67"/>
      <c r="G80" s="67"/>
      <c r="H80" s="67"/>
      <c r="I80" s="67"/>
      <c r="J80" s="67"/>
      <c r="K80" s="67"/>
      <c r="L80" s="67"/>
      <c r="M80" s="67"/>
      <c r="N80" s="67"/>
      <c r="O80" s="67"/>
    </row>
    <row r="81" spans="2:15" ht="40" hidden="1" customHeight="1">
      <c r="B81" s="73" t="s">
        <v>420</v>
      </c>
      <c r="C81" s="61" t="s">
        <v>252</v>
      </c>
      <c r="D81" s="74" t="s">
        <v>225</v>
      </c>
      <c r="E81" s="74" t="s">
        <v>211</v>
      </c>
      <c r="F81" s="75"/>
      <c r="G81" s="75"/>
      <c r="H81" s="75"/>
      <c r="I81" s="75"/>
      <c r="J81" s="75"/>
      <c r="K81" s="75"/>
      <c r="L81" s="75"/>
      <c r="M81" s="75"/>
      <c r="N81" s="75"/>
      <c r="O81" s="75"/>
    </row>
    <row r="82" spans="2:15" ht="8.25" hidden="1" customHeight="1">
      <c r="B82" s="66"/>
      <c r="D82" s="67"/>
      <c r="E82" s="67"/>
      <c r="F82" s="67"/>
      <c r="G82" s="67"/>
      <c r="H82" s="67"/>
      <c r="I82" s="67"/>
      <c r="J82" s="67"/>
      <c r="K82" s="67"/>
      <c r="L82" s="67"/>
      <c r="M82" s="67"/>
      <c r="N82" s="67"/>
      <c r="O82" s="67"/>
    </row>
    <row r="83" spans="2:15" ht="40" hidden="1" customHeight="1">
      <c r="B83" s="73" t="s">
        <v>459</v>
      </c>
      <c r="C83" s="61" t="s">
        <v>1</v>
      </c>
      <c r="D83" s="74" t="s">
        <v>10</v>
      </c>
      <c r="E83" s="74" t="s">
        <v>11</v>
      </c>
      <c r="F83" s="75"/>
      <c r="G83" s="75"/>
      <c r="H83" s="75"/>
      <c r="I83" s="75"/>
      <c r="J83" s="75"/>
      <c r="K83" s="75"/>
      <c r="L83" s="75"/>
      <c r="M83" s="75"/>
      <c r="N83" s="75"/>
      <c r="O83" s="75"/>
    </row>
    <row r="84" spans="2:15" ht="8.25" customHeight="1">
      <c r="B84" s="66"/>
      <c r="D84" s="67"/>
      <c r="E84" s="67"/>
      <c r="F84" s="67"/>
      <c r="G84" s="67"/>
      <c r="H84" s="67"/>
      <c r="I84" s="67"/>
      <c r="J84" s="67"/>
      <c r="K84" s="67"/>
      <c r="L84" s="67"/>
      <c r="M84" s="67"/>
      <c r="N84" s="67"/>
      <c r="O84" s="67"/>
    </row>
    <row r="85" spans="2:15" ht="40" customHeight="1">
      <c r="B85" s="73" t="s">
        <v>243</v>
      </c>
      <c r="C85" s="76" t="s">
        <v>119</v>
      </c>
      <c r="D85" s="71" t="str">
        <f>_xlfn.CONCAT("共有 ", COUNT(UserInfo[序号]), " 人", "，男占 ", COUNTIF(UserInfo[性别],"男")," 人", "，女占 ", COUNTIF(UserInfo[性别],"女")," 人")</f>
        <v>共有 2 人，男占 1 人，女占 1 人</v>
      </c>
      <c r="E85" s="70"/>
      <c r="F85" s="61"/>
      <c r="G85" s="61"/>
      <c r="H85" s="61"/>
      <c r="I85" s="61"/>
      <c r="J85" s="61"/>
      <c r="K85" s="61"/>
      <c r="L85" s="61"/>
      <c r="M85" s="61"/>
      <c r="N85" s="61"/>
      <c r="O85" s="61"/>
    </row>
    <row r="86" spans="2:15" ht="40" customHeight="1">
      <c r="B86" s="73"/>
      <c r="C86" s="76" t="s">
        <v>255</v>
      </c>
      <c r="D86" s="71" t="str">
        <f>_xlfn.CONCAT("共有 ", COUNT(Store_History[序号])," 条记录", "，已入库  ", COUNTIF(Store_History[类型],"入库")," 条", "，已取货 ", COUNTIF(Store_History[类型],"取货")," 条")</f>
        <v>共有 1 条记录，已入库  1 条，已取货 0 条</v>
      </c>
      <c r="E86" s="70"/>
      <c r="F86" s="61"/>
      <c r="G86" s="61"/>
      <c r="H86" s="61"/>
      <c r="I86" s="61"/>
      <c r="J86" s="61"/>
      <c r="K86" s="61"/>
      <c r="L86" s="61"/>
      <c r="M86" s="61"/>
      <c r="N86" s="61"/>
      <c r="O86" s="61"/>
    </row>
    <row r="87" spans="2:15" ht="40" customHeight="1">
      <c r="B87" s="73"/>
      <c r="C87" s="76" t="s">
        <v>128</v>
      </c>
      <c r="D87" s="71" t="str">
        <f>_xlfn.CONCAT("共有 ",COUNT(History[序号])," 条记录","，共存入 ",COUNTIF(History[类型],"存入")," 条","，共支取 ",COUNTIF(History[类型],"支取")," 条")</f>
        <v>共有 2 条记录，共存入 2 条，共支取 0 条</v>
      </c>
      <c r="E87" s="70"/>
      <c r="F87" s="61"/>
      <c r="G87" s="61"/>
      <c r="H87" s="61"/>
      <c r="I87" s="77"/>
      <c r="J87" s="61"/>
      <c r="K87" s="61"/>
      <c r="L87" s="61"/>
      <c r="M87" s="61"/>
      <c r="N87" s="61"/>
      <c r="O87" s="61"/>
    </row>
    <row r="88" spans="2:15" ht="40" customHeight="1">
      <c r="B88" s="73"/>
      <c r="C88" s="76" t="s">
        <v>26</v>
      </c>
      <c r="D88" s="71" t="str">
        <f>_xlfn.CONCAT("共有 ", COUNTA(Get_Staff_Member)," 位员工")</f>
        <v>共有 2 位员工</v>
      </c>
      <c r="E88" s="70"/>
      <c r="F88" s="61"/>
      <c r="G88" s="61"/>
      <c r="H88" s="61"/>
      <c r="I88" s="61"/>
      <c r="J88" s="61"/>
      <c r="K88" s="61"/>
      <c r="L88" s="61"/>
      <c r="M88" s="61"/>
      <c r="N88" s="61"/>
      <c r="O88" s="61"/>
    </row>
    <row r="89" spans="2:15" ht="40" customHeight="1">
      <c r="B89" s="73"/>
      <c r="C89" s="76" t="s">
        <v>217</v>
      </c>
      <c r="D89" s="71" t="str">
        <f>_xlfn.CONCAT("已设置 ", COUNTA(Get_Work_Unit)," 个单位")</f>
        <v>已设置 7 个单位</v>
      </c>
      <c r="E89" s="70"/>
      <c r="F89" s="61"/>
      <c r="G89" s="61"/>
      <c r="H89" s="61"/>
      <c r="I89" s="61"/>
      <c r="J89" s="61"/>
      <c r="K89" s="61"/>
      <c r="L89" s="61"/>
      <c r="M89" s="61"/>
      <c r="N89" s="61"/>
      <c r="O89" s="61"/>
    </row>
    <row r="90" spans="2:15" ht="16.100000000000001" customHeight="1"/>
    <row r="91" spans="2:15" ht="40" customHeight="1">
      <c r="B91" s="78" t="s">
        <v>17</v>
      </c>
      <c r="C91" s="78"/>
      <c r="D91" s="78"/>
      <c r="E91" s="78"/>
    </row>
    <row r="92" spans="2:15" ht="40" customHeight="1">
      <c r="B92" s="79" t="s">
        <v>19</v>
      </c>
      <c r="C92" s="7" t="s">
        <v>127</v>
      </c>
      <c r="D92" s="8"/>
      <c r="E92" s="8"/>
    </row>
    <row r="93" spans="2:15" ht="40" customHeight="1">
      <c r="B93" s="79" t="s">
        <v>20</v>
      </c>
      <c r="C93" s="80" t="s">
        <v>18</v>
      </c>
      <c r="D93" s="81"/>
      <c r="E93" s="81"/>
    </row>
    <row r="94" spans="2:15" ht="40" customHeight="1">
      <c r="B94" s="79" t="s">
        <v>125</v>
      </c>
      <c r="C94" s="7" t="s">
        <v>126</v>
      </c>
      <c r="D94" s="8"/>
      <c r="E94" s="8"/>
    </row>
    <row r="95" spans="2:15" ht="40" customHeight="1">
      <c r="B95" s="79" t="s">
        <v>120</v>
      </c>
      <c r="C95" s="7" t="s">
        <v>411</v>
      </c>
      <c r="D95" s="7"/>
      <c r="E95" s="7"/>
    </row>
    <row r="96" spans="2:15" ht="14.25" customHeight="1"/>
  </sheetData>
  <sheetProtection sheet="1" selectLockedCells="1"/>
  <mergeCells count="4">
    <mergeCell ref="K9:M9"/>
    <mergeCell ref="H9:J9"/>
    <mergeCell ref="P9:S9"/>
    <mergeCell ref="N9:O9"/>
  </mergeCells>
  <phoneticPr fontId="7" type="noConversion"/>
  <conditionalFormatting sqref="F11:F50 N11:O50">
    <cfRule type="expression" dxfId="402" priority="4">
      <formula>MOD(ROW(),2)=1</formula>
    </cfRule>
    <cfRule type="expression" dxfId="401" priority="5">
      <formula>MOD(ROW(),2)=0</formula>
    </cfRule>
  </conditionalFormatting>
  <dataValidations count="5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0:D63 D66:D68 D57:I57 E71:E74 D76:G76" xr:uid="{74448FB4-19CD-48A8-B0C3-0146D7793234}">
      <formula1>"是, 否"</formula1>
    </dataValidation>
    <dataValidation type="list" allowBlank="1" showInputMessage="1" showErrorMessage="1" sqref="N11:O50" xr:uid="{D70556F9-8670-47D7-8958-4AD418692435}">
      <formula1>"是,否"</formula1>
    </dataValidation>
    <dataValidation type="list" allowBlank="1" showInputMessage="1" showErrorMessage="1" sqref="D58:I59 K58:L59 J58 M58:N58" xr:uid="{C5CED565-6E51-496E-A8F0-EB3F1C052D2D}">
      <formula1>"显示, 不显示"</formula1>
    </dataValidation>
    <dataValidation type="list" allowBlank="1" showInputMessage="1" showErrorMessage="1" sqref="E70" xr:uid="{B19AFF40-BA56-4D05-A67D-B61D1D54930B}">
      <formula1>"1,2,3,4,5,6,7,8,9,10,11,12,13,14,15,16,17,18,19,20,21,22,23,24,36,48"</formula1>
    </dataValidation>
  </dataValidations>
  <hyperlinks>
    <hyperlink ref="C94" r:id="rId1" xr:uid="{4E14B09B-F407-4922-ABB2-323A16485ECB}"/>
    <hyperlink ref="C92" r:id="rId2" xr:uid="{77666EFC-FCC3-4734-810C-462C85F01A73}"/>
  </hyperlinks>
  <printOptions horizontalCentered="1"/>
  <pageMargins left="0.5" right="0.5" top="0.5" bottom="0.5" header="0.3" footer="0.3"/>
  <pageSetup paperSize="8" scale="70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7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G11:M50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  <pageSetUpPr fitToPage="1"/>
  </sheetPr>
  <dimension ref="A1:L20"/>
  <sheetViews>
    <sheetView showGridLines="0" zoomScaleNormal="100" workbookViewId="0">
      <selection activeCell="E7" sqref="E7"/>
    </sheetView>
  </sheetViews>
  <sheetFormatPr defaultColWidth="0" defaultRowHeight="40.1" customHeight="1" zeroHeight="1"/>
  <cols>
    <col min="1" max="2" width="2.69140625" style="38" customWidth="1"/>
    <col min="3" max="3" width="14.69140625" style="38" customWidth="1"/>
    <col min="4" max="4" width="15.69140625" style="38" customWidth="1"/>
    <col min="5" max="5" width="44.69140625" style="38" customWidth="1"/>
    <col min="6" max="6" width="5.69140625" style="38" customWidth="1"/>
    <col min="7" max="8" width="2.69140625" style="38" customWidth="1"/>
    <col min="9" max="16384" width="9.15234375" style="38" hidden="1"/>
  </cols>
  <sheetData>
    <row r="1" spans="1:8" s="49" customFormat="1" ht="6" customHeight="1"/>
    <row r="2" spans="1:8" ht="55.1" customHeight="1">
      <c r="A2" s="12"/>
      <c r="B2" s="11" t="str">
        <f>设置!D7 &amp;" - 新增入库取货"</f>
        <v>Yi - 新增入库取货</v>
      </c>
      <c r="C2" s="11"/>
      <c r="D2" s="11"/>
      <c r="E2" s="12"/>
      <c r="F2" s="12"/>
      <c r="G2" s="12"/>
      <c r="H2" s="12"/>
    </row>
    <row r="3" spans="1:8" ht="14.25" customHeight="1"/>
    <row r="4" spans="1:8" ht="14.25" customHeight="1">
      <c r="B4" s="13"/>
      <c r="C4" s="13"/>
      <c r="D4" s="13"/>
      <c r="E4" s="13"/>
      <c r="F4" s="13"/>
      <c r="G4" s="13"/>
    </row>
    <row r="5" spans="1:8" ht="35.25" customHeight="1">
      <c r="B5" s="13"/>
      <c r="C5" s="14" t="s">
        <v>84</v>
      </c>
      <c r="D5" s="2"/>
      <c r="E5" s="15"/>
      <c r="F5" s="82"/>
      <c r="G5" s="13"/>
    </row>
    <row r="6" spans="1:8" ht="14.25" customHeight="1">
      <c r="B6" s="13"/>
      <c r="C6" s="13"/>
      <c r="D6" s="13"/>
      <c r="E6" s="13"/>
      <c r="F6" s="13"/>
      <c r="G6" s="13"/>
    </row>
    <row r="7" spans="1:8" ht="35.25" customHeight="1">
      <c r="B7" s="13"/>
      <c r="C7" s="13" t="s">
        <v>209</v>
      </c>
      <c r="D7" s="16" t="s">
        <v>3</v>
      </c>
      <c r="E7" s="6"/>
      <c r="F7" s="100">
        <v>-1</v>
      </c>
      <c r="G7" s="13"/>
    </row>
    <row r="8" spans="1:8" ht="35.25" customHeight="1">
      <c r="B8" s="13"/>
      <c r="C8" s="13"/>
      <c r="D8" s="83" t="s">
        <v>0</v>
      </c>
      <c r="E8" s="84" t="str">
        <f>IFERROR(VLOOKUP(E7,Store_Setting[[唯一识别码]:[取货小计]],2,0)&amp;"","")</f>
        <v/>
      </c>
      <c r="F8" s="13"/>
      <c r="G8" s="13"/>
    </row>
    <row r="9" spans="1:8" ht="35.25" customHeight="1">
      <c r="B9" s="13"/>
      <c r="C9" s="13"/>
      <c r="D9" s="83" t="s">
        <v>41</v>
      </c>
      <c r="E9" s="84" t="str">
        <f>IFERROR(VLOOKUP(E7,Store_Setting[[唯一识别码]:[取货小计]],3,0)&amp;"","")</f>
        <v/>
      </c>
      <c r="F9" s="13"/>
      <c r="G9" s="13"/>
    </row>
    <row r="10" spans="1:8" ht="15" customHeight="1">
      <c r="B10" s="13"/>
      <c r="C10" s="13"/>
      <c r="D10" s="13"/>
      <c r="E10" s="13"/>
      <c r="F10" s="13"/>
      <c r="G10" s="13"/>
    </row>
    <row r="11" spans="1:8" ht="35.25" customHeight="1">
      <c r="B11" s="13"/>
      <c r="C11" s="13" t="s">
        <v>223</v>
      </c>
      <c r="D11" s="16" t="s">
        <v>5</v>
      </c>
      <c r="E11" s="5"/>
      <c r="F11" s="101">
        <v>-1</v>
      </c>
      <c r="G11" s="13"/>
    </row>
    <row r="12" spans="1:8" ht="35.25" customHeight="1">
      <c r="B12" s="13"/>
      <c r="C12" s="13"/>
      <c r="D12" s="16" t="s">
        <v>212</v>
      </c>
      <c r="E12" s="17"/>
      <c r="F12" s="101">
        <v>-1</v>
      </c>
      <c r="G12" s="13"/>
    </row>
    <row r="13" spans="1:8" ht="35.25" customHeight="1">
      <c r="B13" s="13"/>
      <c r="C13" s="13"/>
      <c r="D13" s="16" t="s">
        <v>217</v>
      </c>
      <c r="E13" s="6"/>
      <c r="F13" s="100">
        <v>-1</v>
      </c>
      <c r="G13" s="13"/>
    </row>
    <row r="14" spans="1:8" ht="15" customHeight="1">
      <c r="B14" s="13"/>
      <c r="C14" s="13"/>
      <c r="D14" s="13"/>
      <c r="E14" s="13"/>
      <c r="F14" s="13"/>
      <c r="G14" s="13"/>
    </row>
    <row r="15" spans="1:8" ht="35.25" customHeight="1">
      <c r="B15" s="13"/>
      <c r="C15" s="13"/>
      <c r="D15" s="16" t="s">
        <v>7</v>
      </c>
      <c r="E15" s="3"/>
      <c r="F15" s="100"/>
      <c r="G15" s="13"/>
    </row>
    <row r="16" spans="1:8" ht="15" customHeight="1">
      <c r="B16" s="13"/>
      <c r="C16" s="13"/>
      <c r="D16" s="13"/>
      <c r="E16" s="13"/>
      <c r="F16" s="13"/>
      <c r="G16" s="13"/>
    </row>
    <row r="17" spans="2:12" ht="35.25" customHeight="1">
      <c r="B17" s="13"/>
      <c r="C17" s="13" t="s">
        <v>240</v>
      </c>
      <c r="D17" s="16" t="s">
        <v>6</v>
      </c>
      <c r="E17" s="5" t="s">
        <v>247</v>
      </c>
      <c r="F17" s="101">
        <v>1</v>
      </c>
      <c r="G17" s="13"/>
    </row>
    <row r="18" spans="2:12" ht="14.25" customHeight="1">
      <c r="B18" s="13"/>
      <c r="C18" s="13"/>
      <c r="D18" s="13"/>
      <c r="E18" s="13"/>
      <c r="F18" s="13"/>
      <c r="G18" s="13"/>
    </row>
    <row r="19" spans="2:12" ht="14.25" customHeight="1"/>
    <row r="20" spans="2:12" ht="40.1" hidden="1" customHeight="1">
      <c r="L20" s="38">
        <v>0</v>
      </c>
    </row>
  </sheetData>
  <sheetProtection sheet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Store_New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Store_Reset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 F15 F17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K5"/>
  <sheetViews>
    <sheetView showGridLines="0" zoomScaleNormal="100" workbookViewId="0">
      <pane xSplit="3" ySplit="4" topLeftCell="D5" activePane="bottomRight" state="frozen"/>
      <selection pane="topRight" activeCell="D1" sqref="D1"/>
      <selection pane="bottomLeft" activeCell="A7" sqref="A7"/>
      <selection pane="bottomRight" activeCell="C5" sqref="C5"/>
    </sheetView>
  </sheetViews>
  <sheetFormatPr defaultColWidth="0" defaultRowHeight="40" customHeight="1"/>
  <cols>
    <col min="1" max="1" width="2.69140625" style="13" customWidth="1"/>
    <col min="2" max="2" width="8.69140625" style="13" customWidth="1"/>
    <col min="3" max="3" width="30.69140625" style="20" customWidth="1"/>
    <col min="4" max="4" width="12.69140625" style="19" customWidth="1"/>
    <col min="5" max="5" width="12.69140625" style="21" customWidth="1"/>
    <col min="6" max="6" width="12.69140625" style="19" customWidth="1"/>
    <col min="7" max="7" width="22.69140625" style="99" customWidth="1"/>
    <col min="8" max="8" width="12.69140625" style="19" customWidth="1"/>
    <col min="9" max="9" width="22.69140625" style="39" customWidth="1"/>
    <col min="10" max="10" width="14.69140625" style="13" customWidth="1"/>
    <col min="11" max="11" width="2.69140625" style="13" customWidth="1"/>
    <col min="12" max="16384" width="9.15234375" style="13" hidden="1"/>
  </cols>
  <sheetData>
    <row r="1" spans="2:10" s="49" customFormat="1" ht="6" customHeight="1"/>
    <row r="2" spans="2:10" s="12" customFormat="1" ht="55.1" customHeight="1">
      <c r="B2" s="11" t="str">
        <f>设置!D7 &amp;" - 入库取货"</f>
        <v>Yi - 入库取货</v>
      </c>
    </row>
    <row r="3" spans="2:10" ht="8.25" customHeight="1">
      <c r="C3" s="13"/>
      <c r="D3" s="13"/>
      <c r="E3" s="13"/>
      <c r="F3" s="13"/>
      <c r="G3" s="13"/>
      <c r="H3" s="13"/>
      <c r="I3" s="13"/>
    </row>
    <row r="4" spans="2:10" ht="40" customHeight="1">
      <c r="B4" s="23" t="s">
        <v>0</v>
      </c>
      <c r="C4" s="23" t="s">
        <v>3</v>
      </c>
      <c r="D4" s="23" t="s">
        <v>5</v>
      </c>
      <c r="E4" s="23" t="s">
        <v>212</v>
      </c>
      <c r="F4" s="23" t="s">
        <v>217</v>
      </c>
      <c r="G4" s="23" t="s">
        <v>4</v>
      </c>
      <c r="H4" s="23" t="s">
        <v>6</v>
      </c>
      <c r="I4" s="23" t="s">
        <v>7</v>
      </c>
      <c r="J4" s="23" t="s">
        <v>423</v>
      </c>
    </row>
    <row r="5" spans="2:10" ht="40" customHeight="1">
      <c r="B5" s="9" cm="1">
        <f t="array" ref="B5">SNGKI</f>
        <v>1</v>
      </c>
      <c r="C5" s="90" t="s">
        <v>248</v>
      </c>
      <c r="D5" s="91" t="s">
        <v>225</v>
      </c>
      <c r="E5" s="92"/>
      <c r="F5" s="91"/>
      <c r="G5" s="98"/>
      <c r="H5" s="91" t="s">
        <v>247</v>
      </c>
      <c r="I5" s="33" t="s">
        <v>426</v>
      </c>
      <c r="J5" s="51" t="s">
        <v>435</v>
      </c>
    </row>
  </sheetData>
  <conditionalFormatting sqref="C5:I5">
    <cfRule type="expression" dxfId="382" priority="21">
      <formula>MOD(ROW(),2)=0</formula>
    </cfRule>
    <cfRule type="expression" dxfId="381" priority="22">
      <formula>MOD(ROW(),2)=1</formula>
    </cfRule>
  </conditionalFormatting>
  <dataValidations count="5">
    <dataValidation type="list" allowBlank="1" showInputMessage="1" showErrorMessage="1" sqref="D5:D1048576" xr:uid="{5133CBAC-433B-4C56-A0AF-2F8E6F4F0C81}">
      <formula1>Get_Keep_inventory</formula1>
    </dataValidation>
    <dataValidation type="list" allowBlank="1" showInputMessage="1" showErrorMessage="1" sqref="H5:H1048576" xr:uid="{7C7E2548-42ED-494A-8E84-F9D562A35F7B}">
      <formula1>Get_Staff_Member</formula1>
    </dataValidation>
    <dataValidation type="list" allowBlank="1" showInputMessage="1" showErrorMessage="1" sqref="F5:F1048576" xr:uid="{2C01FDAE-8D10-4547-9EDE-BC0A9C248DC3}">
      <formula1>Get_Work_Unit</formula1>
    </dataValidation>
    <dataValidation type="list" allowBlank="1" showInputMessage="1" showErrorMessage="1" sqref="C5:C1048576" xr:uid="{C8337D56-87A2-4F38-89FB-A6CCB9C9F86D}">
      <formula1>Get_Store_Uid</formula1>
    </dataValidation>
    <dataValidation type="decimal" operator="greaterThanOrEqual" allowBlank="1" showInputMessage="1" showErrorMessage="1" sqref="E5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  <pageSetUpPr fitToPage="1"/>
  </sheetPr>
  <dimension ref="A1:H22"/>
  <sheetViews>
    <sheetView showGridLines="0" zoomScaleNormal="100" workbookViewId="0">
      <selection activeCell="E8" sqref="E8"/>
    </sheetView>
  </sheetViews>
  <sheetFormatPr defaultColWidth="0" defaultRowHeight="40.1" customHeight="1" zeroHeight="1"/>
  <cols>
    <col min="1" max="2" width="2.69140625" style="38" customWidth="1"/>
    <col min="3" max="3" width="14.69140625" style="38" customWidth="1"/>
    <col min="4" max="4" width="15.69140625" style="38" customWidth="1"/>
    <col min="5" max="5" width="44.69140625" style="38" customWidth="1"/>
    <col min="6" max="6" width="5.69140625" style="38" customWidth="1"/>
    <col min="7" max="8" width="2.69140625" style="38" customWidth="1"/>
    <col min="9" max="16384" width="9.15234375" style="38" hidden="1"/>
  </cols>
  <sheetData>
    <row r="1" spans="1:8" ht="6" customHeight="1">
      <c r="A1" s="10"/>
      <c r="B1" s="10"/>
      <c r="C1" s="10"/>
      <c r="D1" s="10"/>
      <c r="E1" s="10"/>
      <c r="F1" s="10"/>
      <c r="G1" s="10"/>
      <c r="H1" s="10"/>
    </row>
    <row r="2" spans="1:8" ht="55.1" customHeight="1">
      <c r="A2" s="12"/>
      <c r="B2" s="11" t="str">
        <f>设置!D7 &amp;" - 新增会员"</f>
        <v>Yi - 新增会员</v>
      </c>
      <c r="C2" s="11"/>
      <c r="D2" s="11"/>
      <c r="E2" s="12"/>
      <c r="F2" s="12"/>
      <c r="G2" s="12"/>
      <c r="H2" s="12"/>
    </row>
    <row r="3" spans="1:8" ht="14.25" customHeight="1"/>
    <row r="4" spans="1:8" ht="14.25" customHeight="1">
      <c r="B4" s="13"/>
      <c r="C4" s="13"/>
      <c r="D4" s="13"/>
      <c r="E4" s="13"/>
      <c r="F4" s="13"/>
      <c r="G4" s="13"/>
    </row>
    <row r="5" spans="1:8" ht="35.25" customHeight="1">
      <c r="B5" s="13"/>
      <c r="C5" s="14" t="s">
        <v>84</v>
      </c>
      <c r="D5" s="2"/>
      <c r="E5" s="15"/>
      <c r="F5" s="82"/>
      <c r="G5" s="13"/>
    </row>
    <row r="6" spans="1:8" ht="14.25" customHeight="1">
      <c r="B6" s="13"/>
      <c r="C6" s="13"/>
      <c r="D6" s="13"/>
      <c r="E6" s="13"/>
      <c r="F6" s="13"/>
      <c r="G6" s="13"/>
    </row>
    <row r="7" spans="1:8" ht="35.25" customHeight="1">
      <c r="B7" s="13"/>
      <c r="C7" s="13" t="s">
        <v>83</v>
      </c>
      <c r="D7" s="43" t="s">
        <v>3</v>
      </c>
      <c r="E7" s="47" t="str">
        <f>CONCATENATE(IF(E8="","", _xlfn.CONCAT(E8)), IF(E9="","", _xlfn.CONCAT(E9)), IF(E14="","", _xlfn.CONCAT(" | ",E14)))</f>
        <v/>
      </c>
      <c r="F7" s="13"/>
      <c r="G7" s="13"/>
    </row>
    <row r="8" spans="1:8" ht="35.25" customHeight="1">
      <c r="B8" s="13"/>
      <c r="C8" s="13"/>
      <c r="D8" s="16" t="s">
        <v>27</v>
      </c>
      <c r="E8" s="3"/>
      <c r="F8" s="100">
        <v>-1</v>
      </c>
      <c r="G8" s="13"/>
    </row>
    <row r="9" spans="1:8" ht="35.25" customHeight="1">
      <c r="B9" s="13"/>
      <c r="C9" s="13"/>
      <c r="D9" s="16" t="s">
        <v>28</v>
      </c>
      <c r="E9" s="1"/>
      <c r="F9" s="101">
        <v>-1</v>
      </c>
      <c r="G9" s="13"/>
    </row>
    <row r="10" spans="1:8" ht="35.25" customHeight="1">
      <c r="B10" s="13"/>
      <c r="C10" s="13"/>
      <c r="D10" s="16" t="s">
        <v>1</v>
      </c>
      <c r="E10" s="1"/>
      <c r="F10" s="101"/>
      <c r="G10" s="13"/>
    </row>
    <row r="11" spans="1:8" ht="35.25" customHeight="1">
      <c r="B11" s="13"/>
      <c r="C11" s="13"/>
      <c r="D11" s="16" t="s">
        <v>22</v>
      </c>
      <c r="E11" s="34"/>
      <c r="F11" s="101"/>
      <c r="G11" s="13"/>
    </row>
    <row r="12" spans="1:8" ht="35.25" customHeight="1">
      <c r="B12" s="13"/>
      <c r="C12" s="13"/>
      <c r="D12" s="16" t="s">
        <v>21</v>
      </c>
      <c r="E12" s="48"/>
      <c r="F12" s="101"/>
      <c r="G12" s="13"/>
    </row>
    <row r="13" spans="1:8" ht="15" customHeight="1">
      <c r="B13" s="13"/>
      <c r="C13" s="13"/>
      <c r="D13" s="13"/>
      <c r="E13" s="13"/>
      <c r="F13" s="13"/>
      <c r="G13" s="13"/>
    </row>
    <row r="14" spans="1:8" ht="35.25" customHeight="1">
      <c r="B14" s="13"/>
      <c r="C14" s="13" t="s">
        <v>86</v>
      </c>
      <c r="D14" s="16" t="s">
        <v>2</v>
      </c>
      <c r="E14" s="1"/>
      <c r="F14" s="101">
        <v>-1</v>
      </c>
      <c r="G14" s="13"/>
    </row>
    <row r="15" spans="1:8" ht="35.25" customHeight="1">
      <c r="B15" s="13"/>
      <c r="C15" s="13"/>
      <c r="D15" s="16" t="s">
        <v>23</v>
      </c>
      <c r="E15" s="1"/>
      <c r="F15" s="101"/>
      <c r="G15" s="13"/>
    </row>
    <row r="16" spans="1:8" ht="35.25" customHeight="1">
      <c r="B16" s="13"/>
      <c r="C16" s="13"/>
      <c r="D16" s="16" t="s">
        <v>24</v>
      </c>
      <c r="E16" s="3"/>
      <c r="F16" s="100"/>
      <c r="G16" s="13"/>
    </row>
    <row r="17" spans="2:7" ht="15" customHeight="1">
      <c r="B17" s="13"/>
      <c r="C17" s="13"/>
      <c r="D17" s="13"/>
      <c r="E17" s="13"/>
      <c r="F17" s="13"/>
      <c r="G17" s="13"/>
    </row>
    <row r="18" spans="2:7" ht="35.25" customHeight="1">
      <c r="B18" s="13"/>
      <c r="C18" s="13"/>
      <c r="D18" s="16" t="s">
        <v>7</v>
      </c>
      <c r="E18" s="3"/>
      <c r="F18" s="100"/>
      <c r="G18" s="13"/>
    </row>
    <row r="19" spans="2:7" ht="15" customHeight="1">
      <c r="B19" s="13"/>
      <c r="C19" s="13"/>
      <c r="D19" s="13"/>
      <c r="E19" s="13"/>
      <c r="F19" s="13"/>
      <c r="G19" s="13"/>
    </row>
    <row r="20" spans="2:7" ht="35.25" customHeight="1">
      <c r="B20" s="13"/>
      <c r="C20" s="13" t="s">
        <v>240</v>
      </c>
      <c r="D20" s="16" t="s">
        <v>6</v>
      </c>
      <c r="E20" s="1" t="s">
        <v>247</v>
      </c>
      <c r="F20" s="101">
        <v>1</v>
      </c>
      <c r="G20" s="13"/>
    </row>
    <row r="21" spans="2:7" ht="14.25" customHeight="1">
      <c r="B21" s="13"/>
      <c r="C21" s="13"/>
      <c r="D21" s="13"/>
      <c r="E21" s="13"/>
      <c r="F21" s="13"/>
      <c r="G21" s="13"/>
    </row>
    <row r="22" spans="2:7" ht="14.25" customHeight="1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User_New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User_Reset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 F18 F20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I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DT7" sqref="DT7"/>
    </sheetView>
  </sheetViews>
  <sheetFormatPr defaultColWidth="0" defaultRowHeight="40" customHeight="1"/>
  <cols>
    <col min="1" max="1" width="2.69140625" style="13" customWidth="1"/>
    <col min="2" max="2" width="8.69140625" style="13" customWidth="1"/>
    <col min="3" max="3" width="30.69140625" style="44" customWidth="1"/>
    <col min="4" max="4" width="12.69140625" style="45" customWidth="1"/>
    <col min="5" max="6" width="12.69140625" style="45" hidden="1" customWidth="1"/>
    <col min="7" max="7" width="12.69140625" style="45" customWidth="1"/>
    <col min="8" max="123" width="12.69140625" style="45" hidden="1" customWidth="1"/>
    <col min="124" max="124" width="8.69140625" style="40" customWidth="1"/>
    <col min="125" max="125" width="14.69140625" style="41" customWidth="1"/>
    <col min="126" max="126" width="8.69140625" style="19" customWidth="1"/>
    <col min="127" max="127" width="24.69140625" style="26" hidden="1" customWidth="1"/>
    <col min="128" max="128" width="12.69140625" style="19" hidden="1" customWidth="1"/>
    <col min="129" max="129" width="20.69140625" style="26" customWidth="1"/>
    <col min="130" max="130" width="28.69140625" style="26" hidden="1" customWidth="1"/>
    <col min="131" max="131" width="44.69140625" style="26" hidden="1" customWidth="1"/>
    <col min="132" max="132" width="22.69140625" style="99" customWidth="1"/>
    <col min="133" max="133" width="12.69140625" style="19" customWidth="1"/>
    <col min="134" max="134" width="22.69140625" style="39" customWidth="1"/>
    <col min="135" max="135" width="12.69140625" style="45" customWidth="1"/>
    <col min="136" max="137" width="12.69140625" style="85" customWidth="1"/>
    <col min="138" max="138" width="14.69140625" style="22" customWidth="1"/>
    <col min="139" max="139" width="2.69140625" style="22" customWidth="1"/>
    <col min="140" max="16384" width="9.15234375" style="22" hidden="1"/>
  </cols>
  <sheetData>
    <row r="1" spans="2:139" s="10" customFormat="1" ht="6" customHeight="1"/>
    <row r="2" spans="2:139" s="12" customFormat="1" ht="55.1" customHeight="1">
      <c r="B2" s="11" t="str">
        <f>设置!D7 &amp;" - 会员详细信息"</f>
        <v>Yi - 会员详细信息</v>
      </c>
      <c r="D2" s="4"/>
    </row>
    <row r="3" spans="2:139" s="13" customFormat="1" ht="8.25" customHeight="1"/>
    <row r="4" spans="2:139" s="13" customFormat="1" ht="40.1" customHeight="1">
      <c r="C4" s="42"/>
      <c r="D4" s="49" t="str">
        <f>_xlfn.CONCAT(设置!F11)</f>
        <v>1</v>
      </c>
      <c r="E4" s="104" t="str">
        <f>_xlfn.CONCAT(设置!F11," - 历史记录")</f>
        <v>1 - 历史记录</v>
      </c>
      <c r="F4" s="104"/>
      <c r="G4" s="50" t="str">
        <f>_xlfn.CONCAT(设置!F12)</f>
        <v>2</v>
      </c>
      <c r="H4" s="106" t="str">
        <f>_xlfn.CONCAT(设置!F12," - 历史记录")</f>
        <v>2 - 历史记录</v>
      </c>
      <c r="I4" s="106"/>
      <c r="J4" s="49" t="str">
        <f>_xlfn.CONCAT(设置!F13)</f>
        <v/>
      </c>
      <c r="K4" s="104" t="str">
        <f>_xlfn.CONCAT(设置!F13," - 历史记录")</f>
        <v xml:space="preserve"> - 历史记录</v>
      </c>
      <c r="L4" s="104"/>
      <c r="M4" s="50" t="str">
        <f>_xlfn.CONCAT(设置!F14)</f>
        <v/>
      </c>
      <c r="N4" s="106" t="str">
        <f>_xlfn.CONCAT(设置!F14," - 历史记录")</f>
        <v xml:space="preserve"> - 历史记录</v>
      </c>
      <c r="O4" s="106"/>
      <c r="P4" s="49" t="str">
        <f>_xlfn.CONCAT(设置!F15)</f>
        <v/>
      </c>
      <c r="Q4" s="104" t="str">
        <f>_xlfn.CONCAT(设置!F15," - 历史记录")</f>
        <v xml:space="preserve"> - 历史记录</v>
      </c>
      <c r="R4" s="104"/>
      <c r="S4" s="50" t="str">
        <f>_xlfn.CONCAT(设置!F16)</f>
        <v/>
      </c>
      <c r="T4" s="106" t="str">
        <f>_xlfn.CONCAT(设置!F16," - 历史记录")</f>
        <v xml:space="preserve"> - 历史记录</v>
      </c>
      <c r="U4" s="106"/>
      <c r="V4" s="49" t="str">
        <f>_xlfn.CONCAT(设置!F17)</f>
        <v/>
      </c>
      <c r="W4" s="104" t="str">
        <f>_xlfn.CONCAT(设置!F17," - 历史记录")</f>
        <v xml:space="preserve"> - 历史记录</v>
      </c>
      <c r="X4" s="104"/>
      <c r="Y4" s="50" t="str">
        <f>_xlfn.CONCAT(设置!F18)</f>
        <v/>
      </c>
      <c r="Z4" s="106" t="str">
        <f>_xlfn.CONCAT(设置!F18," - 历史记录")</f>
        <v xml:space="preserve"> - 历史记录</v>
      </c>
      <c r="AA4" s="106"/>
      <c r="AB4" s="49" t="str">
        <f>_xlfn.CONCAT(设置!F19)</f>
        <v/>
      </c>
      <c r="AC4" s="104" t="str">
        <f>_xlfn.CONCAT(设置!F19," - 历史记录")</f>
        <v xml:space="preserve"> - 历史记录</v>
      </c>
      <c r="AD4" s="104"/>
      <c r="AE4" s="50" t="str">
        <f>_xlfn.CONCAT(设置!F20)</f>
        <v/>
      </c>
      <c r="AF4" s="106" t="str">
        <f>_xlfn.CONCAT(设置!F20," - 历史记录")</f>
        <v xml:space="preserve"> - 历史记录</v>
      </c>
      <c r="AG4" s="106"/>
      <c r="AH4" s="49" t="str">
        <f>_xlfn.CONCAT(设置!F21)</f>
        <v/>
      </c>
      <c r="AI4" s="104" t="str">
        <f>_xlfn.CONCAT(设置!F21," - 历史记录")</f>
        <v xml:space="preserve"> - 历史记录</v>
      </c>
      <c r="AJ4" s="104"/>
      <c r="AK4" s="50" t="str">
        <f>_xlfn.CONCAT(设置!F22)</f>
        <v/>
      </c>
      <c r="AL4" s="106" t="str">
        <f>_xlfn.CONCAT(设置!F22," - 历史记录")</f>
        <v xml:space="preserve"> - 历史记录</v>
      </c>
      <c r="AM4" s="106"/>
      <c r="AN4" s="49" t="str">
        <f>_xlfn.CONCAT(设置!F23)</f>
        <v/>
      </c>
      <c r="AO4" s="104" t="str">
        <f>_xlfn.CONCAT(设置!F23, " - 历史记录")</f>
        <v xml:space="preserve"> - 历史记录</v>
      </c>
      <c r="AP4" s="104"/>
      <c r="AQ4" s="50" t="str">
        <f>_xlfn.CONCAT(设置!F24)</f>
        <v/>
      </c>
      <c r="AR4" s="106" t="str">
        <f>_xlfn.CONCAT(设置!F24, " - 历史记录")</f>
        <v xml:space="preserve"> - 历史记录</v>
      </c>
      <c r="AS4" s="106"/>
      <c r="AT4" s="49" t="str">
        <f>_xlfn.CONCAT(设置!F25)</f>
        <v/>
      </c>
      <c r="AU4" s="104" t="str">
        <f>_xlfn.CONCAT(设置!F25," - 历史记录")</f>
        <v xml:space="preserve"> - 历史记录</v>
      </c>
      <c r="AV4" s="104"/>
      <c r="AW4" s="50" t="str">
        <f>_xlfn.CONCAT(设置!F26)</f>
        <v/>
      </c>
      <c r="AX4" s="106" t="str">
        <f>_xlfn.CONCAT(设置!F26," - 历史记录")</f>
        <v xml:space="preserve"> - 历史记录</v>
      </c>
      <c r="AY4" s="106"/>
      <c r="AZ4" s="49" t="str">
        <f>_xlfn.CONCAT(设置!F27)</f>
        <v/>
      </c>
      <c r="BA4" s="104" t="str">
        <f>_xlfn.CONCAT(设置!F27," - 历史记录")</f>
        <v xml:space="preserve"> - 历史记录</v>
      </c>
      <c r="BB4" s="104"/>
      <c r="BC4" s="50" t="str">
        <f>_xlfn.CONCAT(设置!F28)</f>
        <v/>
      </c>
      <c r="BD4" s="106" t="str">
        <f>_xlfn.CONCAT(设置!F28," - 历史记录")</f>
        <v xml:space="preserve"> - 历史记录</v>
      </c>
      <c r="BE4" s="106"/>
      <c r="BF4" s="49" t="str">
        <f>_xlfn.CONCAT(设置!F29)</f>
        <v/>
      </c>
      <c r="BG4" s="104" t="str">
        <f>_xlfn.CONCAT(设置!F29," - 历史记录")</f>
        <v xml:space="preserve"> - 历史记录</v>
      </c>
      <c r="BH4" s="104"/>
      <c r="BI4" s="50" t="str">
        <f>_xlfn.CONCAT(设置!F30)</f>
        <v/>
      </c>
      <c r="BJ4" s="106" t="str">
        <f>_xlfn.CONCAT(设置!F30," - 历史记录")</f>
        <v xml:space="preserve"> - 历史记录</v>
      </c>
      <c r="BK4" s="106"/>
      <c r="BL4" s="52" t="str">
        <f>_xlfn.CONCAT(设置!F31)</f>
        <v/>
      </c>
      <c r="BM4" s="103" t="str">
        <f>_xlfn.CONCAT(设置!F31," - 历史记录")</f>
        <v xml:space="preserve"> - 历史记录</v>
      </c>
      <c r="BN4" s="103"/>
      <c r="BO4" s="50" t="str">
        <f>_xlfn.CONCAT(设置!F32)</f>
        <v/>
      </c>
      <c r="BP4" s="106" t="str">
        <f>_xlfn.CONCAT(设置!F32," - 历史记录")</f>
        <v xml:space="preserve"> - 历史记录</v>
      </c>
      <c r="BQ4" s="106"/>
      <c r="BR4" s="52" t="str">
        <f>_xlfn.CONCAT(设置!F33)</f>
        <v/>
      </c>
      <c r="BS4" s="103" t="str">
        <f>_xlfn.CONCAT(设置!F33," - 历史记录")</f>
        <v xml:space="preserve"> - 历史记录</v>
      </c>
      <c r="BT4" s="103"/>
      <c r="BU4" s="50" t="str">
        <f>_xlfn.CONCAT(设置!F34)</f>
        <v/>
      </c>
      <c r="BV4" s="106" t="str">
        <f>_xlfn.CONCAT(设置!F34," - 历史记录")</f>
        <v xml:space="preserve"> - 历史记录</v>
      </c>
      <c r="BW4" s="106"/>
      <c r="BX4" s="52" t="str">
        <f>_xlfn.CONCAT(设置!F35)</f>
        <v/>
      </c>
      <c r="BY4" s="103" t="str">
        <f>_xlfn.CONCAT(设置!F35," - 历史记录")</f>
        <v xml:space="preserve"> - 历史记录</v>
      </c>
      <c r="BZ4" s="103"/>
      <c r="CA4" s="50" t="str">
        <f>_xlfn.CONCAT(设置!F36)</f>
        <v/>
      </c>
      <c r="CB4" s="106" t="str">
        <f>_xlfn.CONCAT(设置!F36," - 历史记录")</f>
        <v xml:space="preserve"> - 历史记录</v>
      </c>
      <c r="CC4" s="106"/>
      <c r="CD4" s="52" t="str">
        <f>_xlfn.CONCAT(设置!F37)</f>
        <v/>
      </c>
      <c r="CE4" s="103" t="str">
        <f>_xlfn.CONCAT(设置!F37," - 历史记录")</f>
        <v xml:space="preserve"> - 历史记录</v>
      </c>
      <c r="CF4" s="103"/>
      <c r="CG4" s="50" t="str">
        <f>_xlfn.CONCAT(设置!F38)</f>
        <v/>
      </c>
      <c r="CH4" s="106" t="str">
        <f>_xlfn.CONCAT(设置!F38," - 历史记录")</f>
        <v xml:space="preserve"> - 历史记录</v>
      </c>
      <c r="CI4" s="106"/>
      <c r="CJ4" s="52" t="str">
        <f>_xlfn.CONCAT(设置!F39)</f>
        <v/>
      </c>
      <c r="CK4" s="103" t="str">
        <f>_xlfn.CONCAT(设置!F39," - 历史记录")</f>
        <v xml:space="preserve"> - 历史记录</v>
      </c>
      <c r="CL4" s="103"/>
      <c r="CM4" s="50" t="str">
        <f>_xlfn.CONCAT(设置!F40)</f>
        <v/>
      </c>
      <c r="CN4" s="106" t="str">
        <f>_xlfn.CONCAT(设置!F40," - 历史记录")</f>
        <v xml:space="preserve"> - 历史记录</v>
      </c>
      <c r="CO4" s="106"/>
      <c r="CP4" s="52" t="str">
        <f>_xlfn.CONCAT(设置!F41)</f>
        <v/>
      </c>
      <c r="CQ4" s="103" t="str">
        <f>_xlfn.CONCAT(设置!F41," - 历史记录")</f>
        <v xml:space="preserve"> - 历史记录</v>
      </c>
      <c r="CR4" s="103"/>
      <c r="CS4" s="50" t="str">
        <f>_xlfn.CONCAT(设置!F42)</f>
        <v/>
      </c>
      <c r="CT4" s="106" t="str">
        <f>_xlfn.CONCAT(设置!F42," - 历史记录")</f>
        <v xml:space="preserve"> - 历史记录</v>
      </c>
      <c r="CU4" s="106"/>
      <c r="CV4" s="52" t="str">
        <f>_xlfn.CONCAT(设置!F43)</f>
        <v/>
      </c>
      <c r="CW4" s="103" t="str">
        <f>_xlfn.CONCAT(设置!F43," - 历史记录")</f>
        <v xml:space="preserve"> - 历史记录</v>
      </c>
      <c r="CX4" s="103"/>
      <c r="CY4" s="50" t="str">
        <f>_xlfn.CONCAT(设置!F44)</f>
        <v/>
      </c>
      <c r="CZ4" s="106" t="str">
        <f>_xlfn.CONCAT(设置!F44," - 历史记录")</f>
        <v xml:space="preserve"> - 历史记录</v>
      </c>
      <c r="DA4" s="106"/>
      <c r="DB4" s="52" t="str">
        <f>_xlfn.CONCAT(设置!F45)</f>
        <v/>
      </c>
      <c r="DC4" s="103" t="str">
        <f>_xlfn.CONCAT(设置!F45," - 历史记录")</f>
        <v xml:space="preserve"> - 历史记录</v>
      </c>
      <c r="DD4" s="103"/>
      <c r="DE4" s="50" t="str">
        <f>_xlfn.CONCAT(设置!F46)</f>
        <v/>
      </c>
      <c r="DF4" s="106" t="str">
        <f>_xlfn.CONCAT(设置!F46," - 历史记录")</f>
        <v xml:space="preserve"> - 历史记录</v>
      </c>
      <c r="DG4" s="106"/>
      <c r="DH4" s="52" t="str">
        <f>_xlfn.CONCAT(设置!F47)</f>
        <v/>
      </c>
      <c r="DI4" s="103" t="str">
        <f>_xlfn.CONCAT(设置!F47," - 历史记录")</f>
        <v xml:space="preserve"> - 历史记录</v>
      </c>
      <c r="DJ4" s="103"/>
      <c r="DK4" s="50" t="str">
        <f>_xlfn.CONCAT(设置!F48)</f>
        <v/>
      </c>
      <c r="DL4" s="106" t="str">
        <f>_xlfn.CONCAT(设置!F48," - 历史记录")</f>
        <v xml:space="preserve"> - 历史记录</v>
      </c>
      <c r="DM4" s="106"/>
      <c r="DN4" s="52" t="str">
        <f>_xlfn.CONCAT(设置!F49)</f>
        <v/>
      </c>
      <c r="DO4" s="103" t="str">
        <f>_xlfn.CONCAT(设置!F49," - 历史记录")</f>
        <v xml:space="preserve"> - 历史记录</v>
      </c>
      <c r="DP4" s="103"/>
      <c r="DQ4" s="50" t="str">
        <f>_xlfn.CONCAT(设置!F50)</f>
        <v/>
      </c>
      <c r="DR4" s="106" t="str">
        <f>_xlfn.CONCAT(设置!F50," - 历史记录")</f>
        <v xml:space="preserve"> - 历史记录</v>
      </c>
      <c r="DS4" s="106"/>
      <c r="DT4" s="104" t="s">
        <v>72</v>
      </c>
      <c r="DU4" s="104"/>
      <c r="DV4" s="104"/>
      <c r="DW4" s="104"/>
      <c r="DX4" s="104"/>
      <c r="DY4" s="104" t="s">
        <v>85</v>
      </c>
      <c r="DZ4" s="104"/>
      <c r="EA4" s="104"/>
      <c r="EB4" s="104" t="s">
        <v>241</v>
      </c>
      <c r="EC4" s="104"/>
      <c r="ED4" s="29" t="s">
        <v>417</v>
      </c>
      <c r="EE4" s="105" t="s">
        <v>264</v>
      </c>
      <c r="EF4" s="105"/>
      <c r="EG4" s="105"/>
      <c r="EH4" s="50" t="s">
        <v>425</v>
      </c>
    </row>
    <row r="5" spans="2:139" s="13" customFormat="1" ht="8.25" customHeight="1"/>
    <row r="6" spans="2:139" s="13" customFormat="1" ht="40" customHeight="1">
      <c r="B6" s="23" t="s">
        <v>0</v>
      </c>
      <c r="C6" s="23" t="s">
        <v>3</v>
      </c>
      <c r="D6" s="23" t="s">
        <v>121</v>
      </c>
      <c r="E6" s="23" t="s">
        <v>80</v>
      </c>
      <c r="F6" s="23" t="s">
        <v>79</v>
      </c>
      <c r="G6" s="23" t="s">
        <v>71</v>
      </c>
      <c r="H6" s="23" t="s">
        <v>78</v>
      </c>
      <c r="I6" s="23" t="s">
        <v>77</v>
      </c>
      <c r="J6" s="23" t="s">
        <v>58</v>
      </c>
      <c r="K6" s="23" t="s">
        <v>42</v>
      </c>
      <c r="L6" s="23" t="s">
        <v>76</v>
      </c>
      <c r="M6" s="23" t="s">
        <v>59</v>
      </c>
      <c r="N6" s="23" t="s">
        <v>43</v>
      </c>
      <c r="O6" s="23" t="s">
        <v>75</v>
      </c>
      <c r="P6" s="23" t="s">
        <v>60</v>
      </c>
      <c r="Q6" s="23" t="s">
        <v>44</v>
      </c>
      <c r="R6" s="23" t="s">
        <v>74</v>
      </c>
      <c r="S6" s="23" t="s">
        <v>61</v>
      </c>
      <c r="T6" s="23" t="s">
        <v>45</v>
      </c>
      <c r="U6" s="23" t="s">
        <v>68</v>
      </c>
      <c r="V6" s="23" t="s">
        <v>62</v>
      </c>
      <c r="W6" s="23" t="s">
        <v>46</v>
      </c>
      <c r="X6" s="23" t="s">
        <v>51</v>
      </c>
      <c r="Y6" s="23" t="s">
        <v>63</v>
      </c>
      <c r="Z6" s="23" t="s">
        <v>47</v>
      </c>
      <c r="AA6" s="23" t="s">
        <v>52</v>
      </c>
      <c r="AB6" s="23" t="s">
        <v>64</v>
      </c>
      <c r="AC6" s="23" t="s">
        <v>48</v>
      </c>
      <c r="AD6" s="23" t="s">
        <v>53</v>
      </c>
      <c r="AE6" s="23" t="s">
        <v>65</v>
      </c>
      <c r="AF6" s="23" t="s">
        <v>49</v>
      </c>
      <c r="AG6" s="23" t="s">
        <v>54</v>
      </c>
      <c r="AH6" s="23" t="s">
        <v>66</v>
      </c>
      <c r="AI6" s="23" t="s">
        <v>50</v>
      </c>
      <c r="AJ6" s="23" t="s">
        <v>55</v>
      </c>
      <c r="AK6" s="23" t="s">
        <v>67</v>
      </c>
      <c r="AL6" s="23" t="s">
        <v>56</v>
      </c>
      <c r="AM6" s="23" t="s">
        <v>57</v>
      </c>
      <c r="AN6" s="23" t="s">
        <v>96</v>
      </c>
      <c r="AO6" s="23" t="s">
        <v>97</v>
      </c>
      <c r="AP6" s="23" t="s">
        <v>95</v>
      </c>
      <c r="AQ6" s="23" t="s">
        <v>100</v>
      </c>
      <c r="AR6" s="23" t="s">
        <v>99</v>
      </c>
      <c r="AS6" s="23" t="s">
        <v>98</v>
      </c>
      <c r="AT6" s="23" t="s">
        <v>106</v>
      </c>
      <c r="AU6" s="23" t="s">
        <v>105</v>
      </c>
      <c r="AV6" s="23" t="s">
        <v>103</v>
      </c>
      <c r="AW6" s="23" t="s">
        <v>102</v>
      </c>
      <c r="AX6" s="23" t="s">
        <v>101</v>
      </c>
      <c r="AY6" s="23" t="s">
        <v>104</v>
      </c>
      <c r="AZ6" s="23" t="s">
        <v>109</v>
      </c>
      <c r="BA6" s="23" t="s">
        <v>108</v>
      </c>
      <c r="BB6" s="23" t="s">
        <v>107</v>
      </c>
      <c r="BC6" s="23" t="s">
        <v>110</v>
      </c>
      <c r="BD6" s="23" t="s">
        <v>111</v>
      </c>
      <c r="BE6" s="23" t="s">
        <v>112</v>
      </c>
      <c r="BF6" s="23" t="s">
        <v>113</v>
      </c>
      <c r="BG6" s="23" t="s">
        <v>114</v>
      </c>
      <c r="BH6" s="23" t="s">
        <v>115</v>
      </c>
      <c r="BI6" s="23" t="s">
        <v>116</v>
      </c>
      <c r="BJ6" s="23" t="s">
        <v>117</v>
      </c>
      <c r="BK6" s="23" t="s">
        <v>118</v>
      </c>
      <c r="BL6" s="23" t="s">
        <v>150</v>
      </c>
      <c r="BM6" s="23" t="s">
        <v>151</v>
      </c>
      <c r="BN6" s="23" t="s">
        <v>149</v>
      </c>
      <c r="BO6" s="23" t="s">
        <v>152</v>
      </c>
      <c r="BP6" s="23" t="s">
        <v>153</v>
      </c>
      <c r="BQ6" s="23" t="s">
        <v>154</v>
      </c>
      <c r="BR6" s="23" t="s">
        <v>155</v>
      </c>
      <c r="BS6" s="23" t="s">
        <v>156</v>
      </c>
      <c r="BT6" s="23" t="s">
        <v>157</v>
      </c>
      <c r="BU6" s="23" t="s">
        <v>158</v>
      </c>
      <c r="BV6" s="23" t="s">
        <v>159</v>
      </c>
      <c r="BW6" s="23" t="s">
        <v>160</v>
      </c>
      <c r="BX6" s="23" t="s">
        <v>161</v>
      </c>
      <c r="BY6" s="23" t="s">
        <v>162</v>
      </c>
      <c r="BZ6" s="23" t="s">
        <v>163</v>
      </c>
      <c r="CA6" s="23" t="s">
        <v>164</v>
      </c>
      <c r="CB6" s="23" t="s">
        <v>165</v>
      </c>
      <c r="CC6" s="23" t="s">
        <v>166</v>
      </c>
      <c r="CD6" s="23" t="s">
        <v>167</v>
      </c>
      <c r="CE6" s="23" t="s">
        <v>168</v>
      </c>
      <c r="CF6" s="23" t="s">
        <v>169</v>
      </c>
      <c r="CG6" s="23" t="s">
        <v>170</v>
      </c>
      <c r="CH6" s="23" t="s">
        <v>171</v>
      </c>
      <c r="CI6" s="23" t="s">
        <v>172</v>
      </c>
      <c r="CJ6" s="23" t="s">
        <v>173</v>
      </c>
      <c r="CK6" s="23" t="s">
        <v>174</v>
      </c>
      <c r="CL6" s="23" t="s">
        <v>175</v>
      </c>
      <c r="CM6" s="23" t="s">
        <v>176</v>
      </c>
      <c r="CN6" s="23" t="s">
        <v>177</v>
      </c>
      <c r="CO6" s="23" t="s">
        <v>178</v>
      </c>
      <c r="CP6" s="23" t="s">
        <v>179</v>
      </c>
      <c r="CQ6" s="23" t="s">
        <v>180</v>
      </c>
      <c r="CR6" s="23" t="s">
        <v>181</v>
      </c>
      <c r="CS6" s="23" t="s">
        <v>182</v>
      </c>
      <c r="CT6" s="23" t="s">
        <v>183</v>
      </c>
      <c r="CU6" s="23" t="s">
        <v>184</v>
      </c>
      <c r="CV6" s="23" t="s">
        <v>185</v>
      </c>
      <c r="CW6" s="23" t="s">
        <v>186</v>
      </c>
      <c r="CX6" s="23" t="s">
        <v>187</v>
      </c>
      <c r="CY6" s="23" t="s">
        <v>188</v>
      </c>
      <c r="CZ6" s="23" t="s">
        <v>189</v>
      </c>
      <c r="DA6" s="23" t="s">
        <v>190</v>
      </c>
      <c r="DB6" s="23" t="s">
        <v>191</v>
      </c>
      <c r="DC6" s="23" t="s">
        <v>192</v>
      </c>
      <c r="DD6" s="23" t="s">
        <v>193</v>
      </c>
      <c r="DE6" s="23" t="s">
        <v>194</v>
      </c>
      <c r="DF6" s="23" t="s">
        <v>195</v>
      </c>
      <c r="DG6" s="23" t="s">
        <v>196</v>
      </c>
      <c r="DH6" s="23" t="s">
        <v>198</v>
      </c>
      <c r="DI6" s="23" t="s">
        <v>199</v>
      </c>
      <c r="DJ6" s="23" t="s">
        <v>197</v>
      </c>
      <c r="DK6" s="23" t="s">
        <v>200</v>
      </c>
      <c r="DL6" s="23" t="s">
        <v>201</v>
      </c>
      <c r="DM6" s="23" t="s">
        <v>202</v>
      </c>
      <c r="DN6" s="23" t="s">
        <v>203</v>
      </c>
      <c r="DO6" s="23" t="s">
        <v>204</v>
      </c>
      <c r="DP6" s="23" t="s">
        <v>205</v>
      </c>
      <c r="DQ6" s="23" t="s">
        <v>206</v>
      </c>
      <c r="DR6" s="23" t="s">
        <v>207</v>
      </c>
      <c r="DS6" s="23" t="s">
        <v>208</v>
      </c>
      <c r="DT6" s="23" t="s">
        <v>27</v>
      </c>
      <c r="DU6" s="23" t="s">
        <v>28</v>
      </c>
      <c r="DV6" s="23" t="s">
        <v>1</v>
      </c>
      <c r="DW6" s="23" t="s">
        <v>22</v>
      </c>
      <c r="DX6" s="23" t="s">
        <v>21</v>
      </c>
      <c r="DY6" s="23" t="s">
        <v>2</v>
      </c>
      <c r="DZ6" s="23" t="s">
        <v>23</v>
      </c>
      <c r="EA6" s="23" t="s">
        <v>24</v>
      </c>
      <c r="EB6" s="27" t="s">
        <v>73</v>
      </c>
      <c r="EC6" s="23" t="s">
        <v>6</v>
      </c>
      <c r="ED6" s="23" t="s">
        <v>7</v>
      </c>
      <c r="EE6" s="23" t="s">
        <v>267</v>
      </c>
      <c r="EF6" s="23" t="s">
        <v>265</v>
      </c>
      <c r="EG6" s="23" t="s">
        <v>266</v>
      </c>
      <c r="EH6" s="23" t="s">
        <v>423</v>
      </c>
    </row>
    <row r="7" spans="2:139" ht="40" customHeight="1">
      <c r="B7" s="9" cm="1">
        <f t="array" ref="B7">SN</f>
        <v>1</v>
      </c>
      <c r="C7" s="24" t="str" cm="1">
        <f t="array" ref="C7">GUID</f>
        <v>冯毅 | 9955</v>
      </c>
      <c r="D7" s="25" cm="1">
        <f t="array" ref="D7">Get_1_Calc</f>
        <v>0</v>
      </c>
      <c r="E7" s="25" cm="1">
        <f t="array" ref="E7">Get_1_Add</f>
        <v>0</v>
      </c>
      <c r="F7" s="25" cm="1">
        <f t="array" ref="F7">Get_1_Del</f>
        <v>0</v>
      </c>
      <c r="G7" s="25" cm="1">
        <f t="array" ref="G7">Get_2_Calc</f>
        <v>0</v>
      </c>
      <c r="H7" s="25" cm="1">
        <f t="array" ref="H7">Get_2_Add</f>
        <v>0</v>
      </c>
      <c r="I7" s="25" cm="1">
        <f t="array" ref="I7">Get_2_Del</f>
        <v>0</v>
      </c>
      <c r="J7" s="25" cm="1">
        <f t="array" ref="J7">Get_3_Calc</f>
        <v>0</v>
      </c>
      <c r="K7" s="25" cm="1">
        <f t="array" ref="K7">Get_3_Add</f>
        <v>0</v>
      </c>
      <c r="L7" s="25" cm="1">
        <f t="array" ref="L7">Get_3_Del</f>
        <v>0</v>
      </c>
      <c r="M7" s="25" cm="1">
        <f t="array" ref="M7">Get_4_Calc</f>
        <v>0</v>
      </c>
      <c r="N7" s="25" cm="1">
        <f t="array" ref="N7">Get_4_Add</f>
        <v>0</v>
      </c>
      <c r="O7" s="25" cm="1">
        <f t="array" ref="O7">Get_4_Del</f>
        <v>0</v>
      </c>
      <c r="P7" s="25" cm="1">
        <f t="array" ref="P7">Get_5_Calc</f>
        <v>0</v>
      </c>
      <c r="Q7" s="25" cm="1">
        <f t="array" ref="Q7">Get_5_Add</f>
        <v>0</v>
      </c>
      <c r="R7" s="25" cm="1">
        <f t="array" ref="R7">Get_5_Del</f>
        <v>0</v>
      </c>
      <c r="S7" s="25" cm="1">
        <f t="array" ref="S7">Get_6_Calc</f>
        <v>0</v>
      </c>
      <c r="T7" s="25" cm="1">
        <f t="array" ref="T7">Get_6_Add</f>
        <v>0</v>
      </c>
      <c r="U7" s="25" cm="1">
        <f t="array" ref="U7">Get_6_Del</f>
        <v>0</v>
      </c>
      <c r="V7" s="25" cm="1">
        <f t="array" ref="V7">Get_7_Calc</f>
        <v>0</v>
      </c>
      <c r="W7" s="25" cm="1">
        <f t="array" ref="W7">Get_7_Add</f>
        <v>0</v>
      </c>
      <c r="X7" s="25" cm="1">
        <f t="array" ref="X7">Get_7_Del</f>
        <v>0</v>
      </c>
      <c r="Y7" s="25" cm="1">
        <f t="array" ref="Y7">Get_8_Calc</f>
        <v>0</v>
      </c>
      <c r="Z7" s="25" cm="1">
        <f t="array" ref="Z7">Get_8_Add</f>
        <v>0</v>
      </c>
      <c r="AA7" s="25" cm="1">
        <f t="array" ref="AA7">Get_8_Del</f>
        <v>0</v>
      </c>
      <c r="AB7" s="25" cm="1">
        <f t="array" ref="AB7">Get_9_Calc</f>
        <v>0</v>
      </c>
      <c r="AC7" s="25" cm="1">
        <f t="array" ref="AC7">Get_9_Add</f>
        <v>0</v>
      </c>
      <c r="AD7" s="25" cm="1">
        <f t="array" ref="AD7">Get_9_Del</f>
        <v>0</v>
      </c>
      <c r="AE7" s="25" cm="1">
        <f t="array" ref="AE7">Get_10_Calc</f>
        <v>0</v>
      </c>
      <c r="AF7" s="25" cm="1">
        <f t="array" ref="AF7">Get_10_Add</f>
        <v>0</v>
      </c>
      <c r="AG7" s="25" cm="1">
        <f t="array" ref="AG7">Get_10_Del</f>
        <v>0</v>
      </c>
      <c r="AH7" s="25" cm="1">
        <f t="array" ref="AH7">Get_11_Calc</f>
        <v>0</v>
      </c>
      <c r="AI7" s="25" cm="1">
        <f t="array" ref="AI7">Get_11_Add</f>
        <v>0</v>
      </c>
      <c r="AJ7" s="25" cm="1">
        <f t="array" ref="AJ7">Get_11_Del</f>
        <v>0</v>
      </c>
      <c r="AK7" s="25" cm="1">
        <f t="array" ref="AK7">Get_12_Calc</f>
        <v>0</v>
      </c>
      <c r="AL7" s="25" cm="1">
        <f t="array" ref="AL7">Get_12_Add</f>
        <v>0</v>
      </c>
      <c r="AM7" s="25" cm="1">
        <f t="array" ref="AM7">Get_12_Del</f>
        <v>0</v>
      </c>
      <c r="AN7" s="25" cm="1">
        <f t="array" ref="AN7">Get_13_Calc</f>
        <v>0</v>
      </c>
      <c r="AO7" s="25" cm="1">
        <f t="array" ref="AO7">Get_13_Add</f>
        <v>0</v>
      </c>
      <c r="AP7" s="25" cm="1">
        <f t="array" ref="AP7">Get_13_Del</f>
        <v>0</v>
      </c>
      <c r="AQ7" s="25" cm="1">
        <f t="array" ref="AQ7">Get_14_Calc</f>
        <v>0</v>
      </c>
      <c r="AR7" s="25" cm="1">
        <f t="array" ref="AR7">Get_14_Add</f>
        <v>0</v>
      </c>
      <c r="AS7" s="25" cm="1">
        <f t="array" ref="AS7">Get_14_Del</f>
        <v>0</v>
      </c>
      <c r="AT7" s="25" cm="1">
        <f t="array" ref="AT7">Get_15_Calc</f>
        <v>0</v>
      </c>
      <c r="AU7" s="25" cm="1">
        <f t="array" ref="AU7">Get_15_Add</f>
        <v>0</v>
      </c>
      <c r="AV7" s="25" cm="1">
        <f t="array" ref="AV7">Get_15_Del</f>
        <v>0</v>
      </c>
      <c r="AW7" s="25" cm="1">
        <f t="array" ref="AW7">Get_16_Calc</f>
        <v>0</v>
      </c>
      <c r="AX7" s="25" cm="1">
        <f t="array" ref="AX7">Get_16_Add</f>
        <v>0</v>
      </c>
      <c r="AY7" s="25" cm="1">
        <f t="array" ref="AY7">Get_16_Del</f>
        <v>0</v>
      </c>
      <c r="AZ7" s="25" cm="1">
        <f t="array" ref="AZ7">Get_17_Calc</f>
        <v>0</v>
      </c>
      <c r="BA7" s="25" cm="1">
        <f t="array" ref="BA7">Get_17_Add</f>
        <v>0</v>
      </c>
      <c r="BB7" s="25" cm="1">
        <f t="array" ref="BB7">Get_17_Del</f>
        <v>0</v>
      </c>
      <c r="BC7" s="25" cm="1">
        <f t="array" ref="BC7">Get_18_Calc</f>
        <v>0</v>
      </c>
      <c r="BD7" s="25" cm="1">
        <f t="array" ref="BD7">Get_18_Add</f>
        <v>0</v>
      </c>
      <c r="BE7" s="25" cm="1">
        <f t="array" ref="BE7">Get_18_Del</f>
        <v>0</v>
      </c>
      <c r="BF7" s="25" cm="1">
        <f t="array" ref="BF7">Get_19_Calc</f>
        <v>0</v>
      </c>
      <c r="BG7" s="25" cm="1">
        <f t="array" ref="BG7">Get_19_Add</f>
        <v>0</v>
      </c>
      <c r="BH7" s="25" cm="1">
        <f t="array" ref="BH7">Get_19_Del</f>
        <v>0</v>
      </c>
      <c r="BI7" s="25" cm="1">
        <f t="array" ref="BI7">Get_20_Calc</f>
        <v>0</v>
      </c>
      <c r="BJ7" s="25" cm="1">
        <f t="array" ref="BJ7">Get_20_Add</f>
        <v>0</v>
      </c>
      <c r="BK7" s="25" cm="1">
        <f t="array" ref="BK7">Get_20_Del</f>
        <v>0</v>
      </c>
      <c r="BL7" s="25" cm="1">
        <f t="array" ref="BL7">Get_21_Calc</f>
        <v>0</v>
      </c>
      <c r="BM7" s="25" cm="1">
        <f t="array" ref="BM7">Get_21_Add</f>
        <v>0</v>
      </c>
      <c r="BN7" s="25" cm="1">
        <f t="array" ref="BN7">Get_21_Del</f>
        <v>0</v>
      </c>
      <c r="BO7" s="25" cm="1">
        <f t="array" ref="BO7">Get_22_Calc</f>
        <v>0</v>
      </c>
      <c r="BP7" s="25" cm="1">
        <f t="array" ref="BP7">Get_22_Add</f>
        <v>0</v>
      </c>
      <c r="BQ7" s="25" cm="1">
        <f t="array" ref="BQ7">Get_22_Del</f>
        <v>0</v>
      </c>
      <c r="BR7" s="25" cm="1">
        <f t="array" ref="BR7">Get_23_Calc</f>
        <v>0</v>
      </c>
      <c r="BS7" s="25" cm="1">
        <f t="array" ref="BS7">Get_23_Add</f>
        <v>0</v>
      </c>
      <c r="BT7" s="25" cm="1">
        <f t="array" ref="BT7">Get_23_Del</f>
        <v>0</v>
      </c>
      <c r="BU7" s="25" cm="1">
        <f t="array" ref="BU7">Get_24_Calc</f>
        <v>0</v>
      </c>
      <c r="BV7" s="25" cm="1">
        <f t="array" ref="BV7">Get_24_Add</f>
        <v>0</v>
      </c>
      <c r="BW7" s="25" cm="1">
        <f t="array" ref="BW7">Get_24_Del</f>
        <v>0</v>
      </c>
      <c r="BX7" s="25" cm="1">
        <f t="array" ref="BX7">Get_25_Calc</f>
        <v>0</v>
      </c>
      <c r="BY7" s="25" cm="1">
        <f t="array" ref="BY7">Get_25_Add</f>
        <v>0</v>
      </c>
      <c r="BZ7" s="25" cm="1">
        <f t="array" ref="BZ7">Get_25_Del</f>
        <v>0</v>
      </c>
      <c r="CA7" s="25" cm="1">
        <f t="array" ref="CA7">Get_26_Calc</f>
        <v>0</v>
      </c>
      <c r="CB7" s="25" cm="1">
        <f t="array" ref="CB7">Get_26_Add</f>
        <v>0</v>
      </c>
      <c r="CC7" s="25" cm="1">
        <f t="array" ref="CC7">Get_26_Del</f>
        <v>0</v>
      </c>
      <c r="CD7" s="25" cm="1">
        <f t="array" ref="CD7">Get_27_Calc</f>
        <v>0</v>
      </c>
      <c r="CE7" s="25" cm="1">
        <f t="array" ref="CE7">Get_27_Add</f>
        <v>0</v>
      </c>
      <c r="CF7" s="25" cm="1">
        <f t="array" ref="CF7">Get_27_Del</f>
        <v>0</v>
      </c>
      <c r="CG7" s="25" cm="1">
        <f t="array" ref="CG7">Get_28_Calc</f>
        <v>0</v>
      </c>
      <c r="CH7" s="25" cm="1">
        <f t="array" ref="CH7">Get_28_Add</f>
        <v>0</v>
      </c>
      <c r="CI7" s="25" cm="1">
        <f t="array" ref="CI7">Get_28_Del</f>
        <v>0</v>
      </c>
      <c r="CJ7" s="25" cm="1">
        <f t="array" ref="CJ7">Get_29_Calc</f>
        <v>0</v>
      </c>
      <c r="CK7" s="25" cm="1">
        <f t="array" ref="CK7">Get_29_Add</f>
        <v>0</v>
      </c>
      <c r="CL7" s="25" cm="1">
        <f t="array" ref="CL7">Get_29_Del</f>
        <v>0</v>
      </c>
      <c r="CM7" s="25" cm="1">
        <f t="array" ref="CM7">Get_30_Calc</f>
        <v>0</v>
      </c>
      <c r="CN7" s="25" cm="1">
        <f t="array" ref="CN7">Get_30_Add</f>
        <v>0</v>
      </c>
      <c r="CO7" s="25" cm="1">
        <f t="array" ref="CO7">Get_30_Del</f>
        <v>0</v>
      </c>
      <c r="CP7" s="25" cm="1">
        <f t="array" ref="CP7">Get_31_Calc</f>
        <v>0</v>
      </c>
      <c r="CQ7" s="25" cm="1">
        <f t="array" ref="CQ7">Get_31_Add</f>
        <v>0</v>
      </c>
      <c r="CR7" s="25" cm="1">
        <f t="array" ref="CR7">Get_31_Del</f>
        <v>0</v>
      </c>
      <c r="CS7" s="25" cm="1">
        <f t="array" ref="CS7">Get_32_Calc</f>
        <v>0</v>
      </c>
      <c r="CT7" s="25" cm="1">
        <f t="array" ref="CT7">Get_32_Add</f>
        <v>0</v>
      </c>
      <c r="CU7" s="25" cm="1">
        <f t="array" ref="CU7">Get_32_Del</f>
        <v>0</v>
      </c>
      <c r="CV7" s="25" cm="1">
        <f t="array" ref="CV7">Get_33_Calc</f>
        <v>0</v>
      </c>
      <c r="CW7" s="25" cm="1">
        <f t="array" ref="CW7">Get_33_Add</f>
        <v>0</v>
      </c>
      <c r="CX7" s="25" cm="1">
        <f t="array" ref="CX7">Get_33_Del</f>
        <v>0</v>
      </c>
      <c r="CY7" s="25" cm="1">
        <f t="array" ref="CY7">Get_34_Calc</f>
        <v>0</v>
      </c>
      <c r="CZ7" s="25" cm="1">
        <f t="array" ref="CZ7">Get_34_Add</f>
        <v>0</v>
      </c>
      <c r="DA7" s="25" cm="1">
        <f t="array" ref="DA7">Get_34_Del</f>
        <v>0</v>
      </c>
      <c r="DB7" s="25" cm="1">
        <f t="array" ref="DB7">Get_35_Calc</f>
        <v>0</v>
      </c>
      <c r="DC7" s="25" cm="1">
        <f t="array" ref="DC7">Get_35_Add</f>
        <v>0</v>
      </c>
      <c r="DD7" s="25" cm="1">
        <f t="array" ref="DD7">Get_35_Del</f>
        <v>0</v>
      </c>
      <c r="DE7" s="25" cm="1">
        <f t="array" ref="DE7">Get_36_Calc</f>
        <v>0</v>
      </c>
      <c r="DF7" s="25" cm="1">
        <f t="array" ref="DF7">Get_36_Add</f>
        <v>0</v>
      </c>
      <c r="DG7" s="25" cm="1">
        <f t="array" ref="DG7">Get_36_Del</f>
        <v>0</v>
      </c>
      <c r="DH7" s="25" cm="1">
        <f t="array" ref="DH7">Get_37_Calc</f>
        <v>0</v>
      </c>
      <c r="DI7" s="25" cm="1">
        <f t="array" ref="DI7">Get_37_Add</f>
        <v>0</v>
      </c>
      <c r="DJ7" s="25" cm="1">
        <f t="array" ref="DJ7">Get_37_Del</f>
        <v>0</v>
      </c>
      <c r="DK7" s="25" cm="1">
        <f t="array" ref="DK7">Get_38_Calc</f>
        <v>0</v>
      </c>
      <c r="DL7" s="25" cm="1">
        <f t="array" ref="DL7">Get_38_Add</f>
        <v>0</v>
      </c>
      <c r="DM7" s="25" cm="1">
        <f t="array" ref="DM7">Get_38_Del</f>
        <v>0</v>
      </c>
      <c r="DN7" s="25" cm="1">
        <f t="array" ref="DN7">Get_39_Calc</f>
        <v>0</v>
      </c>
      <c r="DO7" s="25" cm="1">
        <f t="array" ref="DO7">Get_39_Add</f>
        <v>0</v>
      </c>
      <c r="DP7" s="25" cm="1">
        <f t="array" ref="DP7">Get_39_Del</f>
        <v>0</v>
      </c>
      <c r="DQ7" s="25" cm="1">
        <f t="array" ref="DQ7">Get_40_Calc</f>
        <v>0</v>
      </c>
      <c r="DR7" s="25" cm="1">
        <f t="array" ref="DR7">Get_40_Add</f>
        <v>0</v>
      </c>
      <c r="DS7" s="25" cm="1">
        <f t="array" ref="DS7">Get_40_Del</f>
        <v>0</v>
      </c>
      <c r="DT7" s="93" t="s">
        <v>221</v>
      </c>
      <c r="DU7" s="94" t="s">
        <v>222</v>
      </c>
      <c r="DV7" s="95" t="s">
        <v>10</v>
      </c>
      <c r="DW7" s="95"/>
      <c r="DX7" s="91"/>
      <c r="DY7" s="95" t="s">
        <v>249</v>
      </c>
      <c r="DZ7" s="95" t="s">
        <v>237</v>
      </c>
      <c r="EA7" s="95"/>
      <c r="EB7" s="98"/>
      <c r="EC7" s="91" t="s">
        <v>247</v>
      </c>
      <c r="ED7" s="33" t="s">
        <v>426</v>
      </c>
      <c r="EE7" s="25" cm="1">
        <f t="array" ref="EE7">History_Total</f>
        <v>1</v>
      </c>
      <c r="EF7" s="25" cm="1">
        <f t="array" ref="EF7">History_Saved</f>
        <v>1</v>
      </c>
      <c r="EG7" s="25" cm="1">
        <f t="array" ref="EG7">History_Withdraw</f>
        <v>0</v>
      </c>
      <c r="EH7" s="9" t="s">
        <v>435</v>
      </c>
    </row>
    <row r="8" spans="2:139" ht="40" customHeight="1">
      <c r="B8" s="9" cm="1">
        <f t="array" ref="B8">SN</f>
        <v>2</v>
      </c>
      <c r="C8" s="24" t="str" cm="1">
        <f t="array" ref="C8">GUID</f>
        <v>李怡 | 7551</v>
      </c>
      <c r="D8" s="25" cm="1">
        <f t="array" ref="D8">Get_1_Calc</f>
        <v>0</v>
      </c>
      <c r="E8" s="25" cm="1">
        <f t="array" ref="E8">Get_1_Add</f>
        <v>0</v>
      </c>
      <c r="F8" s="25" cm="1">
        <f t="array" ref="F8">Get_1_Del</f>
        <v>0</v>
      </c>
      <c r="G8" s="25" cm="1">
        <f t="array" ref="G8">Get_2_Calc</f>
        <v>0</v>
      </c>
      <c r="H8" s="25" cm="1">
        <f t="array" ref="H8">Get_2_Add</f>
        <v>0</v>
      </c>
      <c r="I8" s="25" cm="1">
        <f t="array" ref="I8">Get_2_Del</f>
        <v>0</v>
      </c>
      <c r="J8" s="25" cm="1">
        <f t="array" ref="J8">Get_3_Calc</f>
        <v>0</v>
      </c>
      <c r="K8" s="25" cm="1">
        <f t="array" ref="K8">Get_3_Add</f>
        <v>0</v>
      </c>
      <c r="L8" s="25" cm="1">
        <f t="array" ref="L8">Get_3_Del</f>
        <v>0</v>
      </c>
      <c r="M8" s="25" cm="1">
        <f t="array" ref="M8">Get_4_Calc</f>
        <v>0</v>
      </c>
      <c r="N8" s="25" cm="1">
        <f t="array" ref="N8">Get_4_Add</f>
        <v>0</v>
      </c>
      <c r="O8" s="25" cm="1">
        <f t="array" ref="O8">Get_4_Del</f>
        <v>0</v>
      </c>
      <c r="P8" s="25" cm="1">
        <f t="array" ref="P8">Get_5_Calc</f>
        <v>0</v>
      </c>
      <c r="Q8" s="25" cm="1">
        <f t="array" ref="Q8">Get_5_Add</f>
        <v>0</v>
      </c>
      <c r="R8" s="25" cm="1">
        <f t="array" ref="R8">Get_5_Del</f>
        <v>0</v>
      </c>
      <c r="S8" s="25" cm="1">
        <f t="array" ref="S8">Get_6_Calc</f>
        <v>0</v>
      </c>
      <c r="T8" s="25" cm="1">
        <f t="array" ref="T8">Get_6_Add</f>
        <v>0</v>
      </c>
      <c r="U8" s="25" cm="1">
        <f t="array" ref="U8">Get_6_Del</f>
        <v>0</v>
      </c>
      <c r="V8" s="25" cm="1">
        <f t="array" ref="V8">Get_7_Calc</f>
        <v>0</v>
      </c>
      <c r="W8" s="25" cm="1">
        <f t="array" ref="W8">Get_7_Add</f>
        <v>0</v>
      </c>
      <c r="X8" s="25" cm="1">
        <f t="array" ref="X8">Get_7_Del</f>
        <v>0</v>
      </c>
      <c r="Y8" s="25" cm="1">
        <f t="array" ref="Y8">Get_8_Calc</f>
        <v>0</v>
      </c>
      <c r="Z8" s="25" cm="1">
        <f t="array" ref="Z8">Get_8_Add</f>
        <v>0</v>
      </c>
      <c r="AA8" s="25" cm="1">
        <f t="array" ref="AA8">Get_8_Del</f>
        <v>0</v>
      </c>
      <c r="AB8" s="25" cm="1">
        <f t="array" ref="AB8">Get_9_Calc</f>
        <v>0</v>
      </c>
      <c r="AC8" s="25" cm="1">
        <f t="array" ref="AC8">Get_9_Add</f>
        <v>0</v>
      </c>
      <c r="AD8" s="25" cm="1">
        <f t="array" ref="AD8">Get_9_Del</f>
        <v>0</v>
      </c>
      <c r="AE8" s="25" cm="1">
        <f t="array" ref="AE8">Get_10_Calc</f>
        <v>0</v>
      </c>
      <c r="AF8" s="25" cm="1">
        <f t="array" ref="AF8">Get_10_Add</f>
        <v>0</v>
      </c>
      <c r="AG8" s="25" cm="1">
        <f t="array" ref="AG8">Get_10_Del</f>
        <v>0</v>
      </c>
      <c r="AH8" s="25" cm="1">
        <f t="array" ref="AH8">Get_11_Calc</f>
        <v>0</v>
      </c>
      <c r="AI8" s="25" cm="1">
        <f t="array" ref="AI8">Get_11_Add</f>
        <v>0</v>
      </c>
      <c r="AJ8" s="25" cm="1">
        <f t="array" ref="AJ8">Get_11_Del</f>
        <v>0</v>
      </c>
      <c r="AK8" s="25" cm="1">
        <f t="array" ref="AK8">Get_12_Calc</f>
        <v>0</v>
      </c>
      <c r="AL8" s="25" cm="1">
        <f t="array" ref="AL8">Get_12_Add</f>
        <v>0</v>
      </c>
      <c r="AM8" s="25" cm="1">
        <f t="array" ref="AM8">Get_12_Del</f>
        <v>0</v>
      </c>
      <c r="AN8" s="25" cm="1">
        <f t="array" ref="AN8">Get_13_Calc</f>
        <v>0</v>
      </c>
      <c r="AO8" s="25" cm="1">
        <f t="array" ref="AO8">Get_13_Add</f>
        <v>0</v>
      </c>
      <c r="AP8" s="25" cm="1">
        <f t="array" ref="AP8">Get_13_Del</f>
        <v>0</v>
      </c>
      <c r="AQ8" s="25" cm="1">
        <f t="array" ref="AQ8">Get_14_Calc</f>
        <v>0</v>
      </c>
      <c r="AR8" s="25" cm="1">
        <f t="array" ref="AR8">Get_14_Add</f>
        <v>0</v>
      </c>
      <c r="AS8" s="25" cm="1">
        <f t="array" ref="AS8">Get_14_Del</f>
        <v>0</v>
      </c>
      <c r="AT8" s="25" cm="1">
        <f t="array" ref="AT8">Get_15_Calc</f>
        <v>0</v>
      </c>
      <c r="AU8" s="25" cm="1">
        <f t="array" ref="AU8">Get_15_Add</f>
        <v>0</v>
      </c>
      <c r="AV8" s="25" cm="1">
        <f t="array" ref="AV8">Get_15_Del</f>
        <v>0</v>
      </c>
      <c r="AW8" s="25" cm="1">
        <f t="array" ref="AW8">Get_16_Calc</f>
        <v>0</v>
      </c>
      <c r="AX8" s="25" cm="1">
        <f t="array" ref="AX8">Get_16_Add</f>
        <v>0</v>
      </c>
      <c r="AY8" s="25" cm="1">
        <f t="array" ref="AY8">Get_16_Del</f>
        <v>0</v>
      </c>
      <c r="AZ8" s="25" cm="1">
        <f t="array" ref="AZ8">Get_17_Calc</f>
        <v>0</v>
      </c>
      <c r="BA8" s="25" cm="1">
        <f t="array" ref="BA8">Get_17_Add</f>
        <v>0</v>
      </c>
      <c r="BB8" s="25" cm="1">
        <f t="array" ref="BB8">Get_17_Del</f>
        <v>0</v>
      </c>
      <c r="BC8" s="25" cm="1">
        <f t="array" ref="BC8">Get_18_Calc</f>
        <v>0</v>
      </c>
      <c r="BD8" s="25" cm="1">
        <f t="array" ref="BD8">Get_18_Add</f>
        <v>0</v>
      </c>
      <c r="BE8" s="25" cm="1">
        <f t="array" ref="BE8">Get_18_Del</f>
        <v>0</v>
      </c>
      <c r="BF8" s="25" cm="1">
        <f t="array" ref="BF8">Get_19_Calc</f>
        <v>0</v>
      </c>
      <c r="BG8" s="25" cm="1">
        <f t="array" ref="BG8">Get_19_Add</f>
        <v>0</v>
      </c>
      <c r="BH8" s="25" cm="1">
        <f t="array" ref="BH8">Get_19_Del</f>
        <v>0</v>
      </c>
      <c r="BI8" s="25" cm="1">
        <f t="array" ref="BI8">Get_20_Calc</f>
        <v>0</v>
      </c>
      <c r="BJ8" s="25" cm="1">
        <f t="array" ref="BJ8">Get_20_Add</f>
        <v>0</v>
      </c>
      <c r="BK8" s="25" cm="1">
        <f t="array" ref="BK8">Get_20_Del</f>
        <v>0</v>
      </c>
      <c r="BL8" s="25" cm="1">
        <f t="array" ref="BL8">Get_21_Calc</f>
        <v>0</v>
      </c>
      <c r="BM8" s="25" cm="1">
        <f t="array" ref="BM8">Get_21_Add</f>
        <v>0</v>
      </c>
      <c r="BN8" s="25" cm="1">
        <f t="array" ref="BN8">Get_21_Del</f>
        <v>0</v>
      </c>
      <c r="BO8" s="25" cm="1">
        <f t="array" ref="BO8">Get_22_Calc</f>
        <v>0</v>
      </c>
      <c r="BP8" s="25" cm="1">
        <f t="array" ref="BP8">Get_22_Add</f>
        <v>0</v>
      </c>
      <c r="BQ8" s="25" cm="1">
        <f t="array" ref="BQ8">Get_22_Del</f>
        <v>0</v>
      </c>
      <c r="BR8" s="25" cm="1">
        <f t="array" ref="BR8">Get_23_Calc</f>
        <v>0</v>
      </c>
      <c r="BS8" s="25" cm="1">
        <f t="array" ref="BS8">Get_23_Add</f>
        <v>0</v>
      </c>
      <c r="BT8" s="25" cm="1">
        <f t="array" ref="BT8">Get_23_Del</f>
        <v>0</v>
      </c>
      <c r="BU8" s="25" cm="1">
        <f t="array" ref="BU8">Get_24_Calc</f>
        <v>0</v>
      </c>
      <c r="BV8" s="25" cm="1">
        <f t="array" ref="BV8">Get_24_Add</f>
        <v>0</v>
      </c>
      <c r="BW8" s="25" cm="1">
        <f t="array" ref="BW8">Get_24_Del</f>
        <v>0</v>
      </c>
      <c r="BX8" s="25" cm="1">
        <f t="array" ref="BX8">Get_25_Calc</f>
        <v>0</v>
      </c>
      <c r="BY8" s="25" cm="1">
        <f t="array" ref="BY8">Get_25_Add</f>
        <v>0</v>
      </c>
      <c r="BZ8" s="25" cm="1">
        <f t="array" ref="BZ8">Get_25_Del</f>
        <v>0</v>
      </c>
      <c r="CA8" s="25" cm="1">
        <f t="array" ref="CA8">Get_26_Calc</f>
        <v>0</v>
      </c>
      <c r="CB8" s="25" cm="1">
        <f t="array" ref="CB8">Get_26_Add</f>
        <v>0</v>
      </c>
      <c r="CC8" s="25" cm="1">
        <f t="array" ref="CC8">Get_26_Del</f>
        <v>0</v>
      </c>
      <c r="CD8" s="25" cm="1">
        <f t="array" ref="CD8">Get_27_Calc</f>
        <v>0</v>
      </c>
      <c r="CE8" s="25" cm="1">
        <f t="array" ref="CE8">Get_27_Add</f>
        <v>0</v>
      </c>
      <c r="CF8" s="25" cm="1">
        <f t="array" ref="CF8">Get_27_Del</f>
        <v>0</v>
      </c>
      <c r="CG8" s="25" cm="1">
        <f t="array" ref="CG8">Get_28_Calc</f>
        <v>0</v>
      </c>
      <c r="CH8" s="25" cm="1">
        <f t="array" ref="CH8">Get_28_Add</f>
        <v>0</v>
      </c>
      <c r="CI8" s="25" cm="1">
        <f t="array" ref="CI8">Get_28_Del</f>
        <v>0</v>
      </c>
      <c r="CJ8" s="25" cm="1">
        <f t="array" ref="CJ8">Get_29_Calc</f>
        <v>0</v>
      </c>
      <c r="CK8" s="25" cm="1">
        <f t="array" ref="CK8">Get_29_Add</f>
        <v>0</v>
      </c>
      <c r="CL8" s="25" cm="1">
        <f t="array" ref="CL8">Get_29_Del</f>
        <v>0</v>
      </c>
      <c r="CM8" s="25" cm="1">
        <f t="array" ref="CM8">Get_30_Calc</f>
        <v>0</v>
      </c>
      <c r="CN8" s="25" cm="1">
        <f t="array" ref="CN8">Get_30_Add</f>
        <v>0</v>
      </c>
      <c r="CO8" s="25" cm="1">
        <f t="array" ref="CO8">Get_30_Del</f>
        <v>0</v>
      </c>
      <c r="CP8" s="25" cm="1">
        <f t="array" ref="CP8">Get_31_Calc</f>
        <v>0</v>
      </c>
      <c r="CQ8" s="25" cm="1">
        <f t="array" ref="CQ8">Get_31_Add</f>
        <v>0</v>
      </c>
      <c r="CR8" s="25" cm="1">
        <f t="array" ref="CR8">Get_31_Del</f>
        <v>0</v>
      </c>
      <c r="CS8" s="25" cm="1">
        <f t="array" ref="CS8">Get_32_Calc</f>
        <v>0</v>
      </c>
      <c r="CT8" s="25" cm="1">
        <f t="array" ref="CT8">Get_32_Add</f>
        <v>0</v>
      </c>
      <c r="CU8" s="25" cm="1">
        <f t="array" ref="CU8">Get_32_Del</f>
        <v>0</v>
      </c>
      <c r="CV8" s="25" cm="1">
        <f t="array" ref="CV8">Get_33_Calc</f>
        <v>0</v>
      </c>
      <c r="CW8" s="25" cm="1">
        <f t="array" ref="CW8">Get_33_Add</f>
        <v>0</v>
      </c>
      <c r="CX8" s="25" cm="1">
        <f t="array" ref="CX8">Get_33_Del</f>
        <v>0</v>
      </c>
      <c r="CY8" s="25" cm="1">
        <f t="array" ref="CY8">Get_34_Calc</f>
        <v>0</v>
      </c>
      <c r="CZ8" s="25" cm="1">
        <f t="array" ref="CZ8">Get_34_Add</f>
        <v>0</v>
      </c>
      <c r="DA8" s="25" cm="1">
        <f t="array" ref="DA8">Get_34_Del</f>
        <v>0</v>
      </c>
      <c r="DB8" s="25" cm="1">
        <f t="array" ref="DB8">Get_35_Calc</f>
        <v>0</v>
      </c>
      <c r="DC8" s="25" cm="1">
        <f t="array" ref="DC8">Get_35_Add</f>
        <v>0</v>
      </c>
      <c r="DD8" s="25" cm="1">
        <f t="array" ref="DD8">Get_35_Del</f>
        <v>0</v>
      </c>
      <c r="DE8" s="25" cm="1">
        <f t="array" ref="DE8">Get_36_Calc</f>
        <v>0</v>
      </c>
      <c r="DF8" s="25" cm="1">
        <f t="array" ref="DF8">Get_36_Add</f>
        <v>0</v>
      </c>
      <c r="DG8" s="25" cm="1">
        <f t="array" ref="DG8">Get_36_Del</f>
        <v>0</v>
      </c>
      <c r="DH8" s="25" cm="1">
        <f t="array" ref="DH8">Get_37_Calc</f>
        <v>0</v>
      </c>
      <c r="DI8" s="25" cm="1">
        <f t="array" ref="DI8">Get_37_Add</f>
        <v>0</v>
      </c>
      <c r="DJ8" s="25" cm="1">
        <f t="array" ref="DJ8">Get_37_Del</f>
        <v>0</v>
      </c>
      <c r="DK8" s="25" cm="1">
        <f t="array" ref="DK8">Get_38_Calc</f>
        <v>0</v>
      </c>
      <c r="DL8" s="25" cm="1">
        <f t="array" ref="DL8">Get_38_Add</f>
        <v>0</v>
      </c>
      <c r="DM8" s="25" cm="1">
        <f t="array" ref="DM8">Get_38_Del</f>
        <v>0</v>
      </c>
      <c r="DN8" s="25" cm="1">
        <f t="array" ref="DN8">Get_39_Calc</f>
        <v>0</v>
      </c>
      <c r="DO8" s="25" cm="1">
        <f t="array" ref="DO8">Get_39_Add</f>
        <v>0</v>
      </c>
      <c r="DP8" s="25" cm="1">
        <f t="array" ref="DP8">Get_39_Del</f>
        <v>0</v>
      </c>
      <c r="DQ8" s="25" cm="1">
        <f t="array" ref="DQ8">Get_40_Calc</f>
        <v>0</v>
      </c>
      <c r="DR8" s="25" cm="1">
        <f t="array" ref="DR8">Get_40_Add</f>
        <v>0</v>
      </c>
      <c r="DS8" s="25" cm="1">
        <f t="array" ref="DS8">Get_40_Del</f>
        <v>0</v>
      </c>
      <c r="DT8" s="93" t="s">
        <v>244</v>
      </c>
      <c r="DU8" s="94" t="s">
        <v>245</v>
      </c>
      <c r="DV8" s="95" t="s">
        <v>11</v>
      </c>
      <c r="DW8" s="95"/>
      <c r="DX8" s="91"/>
      <c r="DY8" s="95" t="s">
        <v>250</v>
      </c>
      <c r="DZ8" s="95"/>
      <c r="EA8" s="95"/>
      <c r="EB8" s="98"/>
      <c r="EC8" s="91" t="s">
        <v>247</v>
      </c>
      <c r="ED8" s="33" t="s">
        <v>426</v>
      </c>
      <c r="EE8" s="25" cm="1">
        <f t="array" ref="EE8">History_Total</f>
        <v>1</v>
      </c>
      <c r="EF8" s="25" cm="1">
        <f t="array" ref="EF8">History_Saved</f>
        <v>1</v>
      </c>
      <c r="EG8" s="25" cm="1">
        <f t="array" ref="EG8">History_Withdraw</f>
        <v>0</v>
      </c>
      <c r="EH8" s="9" t="s">
        <v>435</v>
      </c>
      <c r="EI8" s="13"/>
    </row>
  </sheetData>
  <mergeCells count="44">
    <mergeCell ref="DL4:DM4"/>
    <mergeCell ref="DO4:DP4"/>
    <mergeCell ref="DR4:DS4"/>
    <mergeCell ref="CW4:CX4"/>
    <mergeCell ref="CZ4:DA4"/>
    <mergeCell ref="DC4:DD4"/>
    <mergeCell ref="DF4:DG4"/>
    <mergeCell ref="DI4:DJ4"/>
    <mergeCell ref="CH4:CI4"/>
    <mergeCell ref="CN4:CO4"/>
    <mergeCell ref="CK4:CL4"/>
    <mergeCell ref="CQ4:CR4"/>
    <mergeCell ref="CT4:CU4"/>
    <mergeCell ref="BS4:BT4"/>
    <mergeCell ref="BV4:BW4"/>
    <mergeCell ref="BY4:BZ4"/>
    <mergeCell ref="CB4:CC4"/>
    <mergeCell ref="CE4:CF4"/>
    <mergeCell ref="BD4:BE4"/>
    <mergeCell ref="BG4:BH4"/>
    <mergeCell ref="BJ4:BK4"/>
    <mergeCell ref="BM4:BN4"/>
    <mergeCell ref="BP4:BQ4"/>
    <mergeCell ref="AO4:AP4"/>
    <mergeCell ref="AR4:AS4"/>
    <mergeCell ref="AU4:AV4"/>
    <mergeCell ref="AX4:AY4"/>
    <mergeCell ref="BA4:BB4"/>
    <mergeCell ref="DY4:EA4"/>
    <mergeCell ref="EB4:EC4"/>
    <mergeCell ref="DT4:DX4"/>
    <mergeCell ref="EE4:EG4"/>
    <mergeCell ref="E4:F4"/>
    <mergeCell ref="H4:I4"/>
    <mergeCell ref="N4:O4"/>
    <mergeCell ref="Q4:R4"/>
    <mergeCell ref="K4:L4"/>
    <mergeCell ref="T4:U4"/>
    <mergeCell ref="W4:X4"/>
    <mergeCell ref="Z4:AA4"/>
    <mergeCell ref="AC4:AD4"/>
    <mergeCell ref="AF4:AG4"/>
    <mergeCell ref="AI4:AJ4"/>
    <mergeCell ref="AL4:AM4"/>
  </mergeCells>
  <phoneticPr fontId="7" type="noConversion"/>
  <conditionalFormatting sqref="DT7:ED8">
    <cfRule type="expression" dxfId="378" priority="27">
      <formula>MOD(ROW(),2)=0</formula>
    </cfRule>
    <cfRule type="expression" dxfId="377" priority="28">
      <formula>MOD(ROW(),2)=1</formula>
    </cfRule>
  </conditionalFormatting>
  <dataValidations count="4">
    <dataValidation operator="greaterThanOrEqual" allowBlank="1" showInputMessage="1" showErrorMessage="1" sqref="D7:DS8 EE7:EH8" xr:uid="{3E8B4BC5-3B5E-4029-A692-2341896A0BC9}"/>
    <dataValidation type="list" allowBlank="1" showInputMessage="1" showErrorMessage="1" sqref="EC7:EC1048576" xr:uid="{BADDA4F0-7AD3-423D-A7E8-166C7AFD28BA}">
      <formula1>Get_Staff_Member</formula1>
    </dataValidation>
    <dataValidation type="list" allowBlank="1" showInputMessage="1" showErrorMessage="1" sqref="DV7:DV1048576" xr:uid="{C204F096-281F-42CA-8EF8-9C5BABBF6E01}">
      <formula1>Get_Gender</formula1>
    </dataValidation>
    <dataValidation type="decimal" operator="greaterThanOrEqual" allowBlank="1" showInputMessage="1" showErrorMessage="1" sqref="DX7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History_New_Save">
              <controlPr defaultSize="0" print="0" autoFill="0" autoPict="0" macro="[0]!Hot_Insert_New_History_C">
                <anchor>
                  <from>
                    <xdr:col>2</xdr:col>
                    <xdr:colOff>103414</xdr:colOff>
                    <xdr:row>3</xdr:row>
                    <xdr:rowOff>108857</xdr:rowOff>
                  </from>
                  <to>
                    <xdr:col>2</xdr:col>
                    <xdr:colOff>1017814</xdr:colOff>
                    <xdr:row>3</xdr:row>
                    <xdr:rowOff>435429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History_New_Eject">
              <controlPr defaultSize="0" print="0" autoFill="0" autoPict="0" macro="[0]!Hot_Insert_New_History_Q">
                <anchor>
                  <from>
                    <xdr:col>2</xdr:col>
                    <xdr:colOff>1143000</xdr:colOff>
                    <xdr:row>3</xdr:row>
                    <xdr:rowOff>108857</xdr:rowOff>
                  </from>
                  <to>
                    <xdr:col>2</xdr:col>
                    <xdr:colOff>2057400</xdr:colOff>
                    <xdr:row>3</xdr:row>
                    <xdr:rowOff>435429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51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D7:DS8 EE7:EH8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X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C7" sqref="C7"/>
    </sheetView>
  </sheetViews>
  <sheetFormatPr defaultColWidth="0" defaultRowHeight="40" customHeight="1"/>
  <cols>
    <col min="1" max="1" width="2.69140625" style="13" customWidth="1"/>
    <col min="2" max="2" width="8.69140625" style="13" customWidth="1"/>
    <col min="3" max="3" width="30.69140625" style="20" customWidth="1"/>
    <col min="4" max="5" width="12.69140625" style="21" customWidth="1"/>
    <col min="6" max="43" width="12.69140625" style="21" hidden="1" customWidth="1"/>
    <col min="44" max="44" width="12.69140625" style="19" customWidth="1"/>
    <col min="45" max="45" width="22.69140625" style="99" customWidth="1"/>
    <col min="46" max="46" width="12.69140625" style="19" customWidth="1"/>
    <col min="47" max="47" width="22.69140625" style="32" customWidth="1"/>
    <col min="48" max="48" width="14.69140625" style="13" customWidth="1"/>
    <col min="49" max="49" width="2.69140625" style="13" customWidth="1"/>
    <col min="50" max="50" width="0" style="13" hidden="1" customWidth="1"/>
    <col min="51" max="16384" width="9.15234375" style="13" hidden="1"/>
  </cols>
  <sheetData>
    <row r="1" spans="2:48" s="28" customFormat="1" ht="6" customHeight="1"/>
    <row r="2" spans="2:48" s="12" customFormat="1" ht="55.1" customHeight="1">
      <c r="B2" s="11" t="str">
        <f>设置!D7 &amp;" - 历史记录"</f>
        <v>Yi - 历史记录</v>
      </c>
      <c r="D2" s="86"/>
    </row>
    <row r="3" spans="2:48" ht="8.25" customHeight="1"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</row>
    <row r="4" spans="2:48" s="22" customFormat="1" ht="40.1" customHeight="1">
      <c r="B4" s="13"/>
      <c r="C4" s="46"/>
      <c r="D4" s="49" t="str">
        <f>_xlfn.CONCAT(设置!F11)</f>
        <v>1</v>
      </c>
      <c r="E4" s="50" t="str">
        <f>_xlfn.CONCAT(设置!F12)</f>
        <v>2</v>
      </c>
      <c r="F4" s="49" t="str">
        <f>_xlfn.CONCAT(设置!F13)</f>
        <v/>
      </c>
      <c r="G4" s="50" t="str">
        <f>_xlfn.CONCAT(设置!F14)</f>
        <v/>
      </c>
      <c r="H4" s="49" t="str">
        <f>_xlfn.CONCAT(设置!F15)</f>
        <v/>
      </c>
      <c r="I4" s="50" t="str">
        <f>_xlfn.CONCAT(设置!F16)</f>
        <v/>
      </c>
      <c r="J4" s="49" t="str">
        <f>_xlfn.CONCAT(设置!F17)</f>
        <v/>
      </c>
      <c r="K4" s="50" t="str">
        <f>_xlfn.CONCAT(设置!F18)</f>
        <v/>
      </c>
      <c r="L4" s="49" t="str">
        <f>_xlfn.CONCAT(设置!F19)</f>
        <v/>
      </c>
      <c r="M4" s="50" t="str">
        <f>_xlfn.CONCAT(设置!F20)</f>
        <v/>
      </c>
      <c r="N4" s="49" t="str">
        <f>_xlfn.CONCAT(设置!F21)</f>
        <v/>
      </c>
      <c r="O4" s="50" t="str">
        <f>_xlfn.CONCAT(设置!F22)</f>
        <v/>
      </c>
      <c r="P4" s="49" t="str">
        <f>_xlfn.CONCAT(设置!F23)</f>
        <v/>
      </c>
      <c r="Q4" s="50" t="str">
        <f>_xlfn.CONCAT(设置!F24)</f>
        <v/>
      </c>
      <c r="R4" s="49" t="str">
        <f>_xlfn.CONCAT(设置!F25)</f>
        <v/>
      </c>
      <c r="S4" s="50" t="str">
        <f>_xlfn.CONCAT(设置!F26)</f>
        <v/>
      </c>
      <c r="T4" s="49" t="str">
        <f>_xlfn.CONCAT(设置!F27)</f>
        <v/>
      </c>
      <c r="U4" s="50" t="str">
        <f>_xlfn.CONCAT(设置!F28)</f>
        <v/>
      </c>
      <c r="V4" s="49" t="str">
        <f>_xlfn.CONCAT(设置!F29)</f>
        <v/>
      </c>
      <c r="W4" s="50" t="str">
        <f>_xlfn.CONCAT(设置!F30)</f>
        <v/>
      </c>
      <c r="X4" s="49" t="str">
        <f>_xlfn.CONCAT(设置!F31)</f>
        <v/>
      </c>
      <c r="Y4" s="50" t="str">
        <f>_xlfn.CONCAT(设置!F32)</f>
        <v/>
      </c>
      <c r="Z4" s="49" t="str">
        <f>_xlfn.CONCAT(设置!F33)</f>
        <v/>
      </c>
      <c r="AA4" s="50" t="str">
        <f>_xlfn.CONCAT(设置!F34)</f>
        <v/>
      </c>
      <c r="AB4" s="49" t="str">
        <f>_xlfn.CONCAT(设置!F35)</f>
        <v/>
      </c>
      <c r="AC4" s="50" t="str">
        <f>_xlfn.CONCAT(设置!F36)</f>
        <v/>
      </c>
      <c r="AD4" s="49" t="str">
        <f>_xlfn.CONCAT(设置!F37)</f>
        <v/>
      </c>
      <c r="AE4" s="50" t="str">
        <f>_xlfn.CONCAT(设置!F38)</f>
        <v/>
      </c>
      <c r="AF4" s="49" t="str">
        <f>_xlfn.CONCAT(设置!F39)</f>
        <v/>
      </c>
      <c r="AG4" s="50" t="str">
        <f>_xlfn.CONCAT(设置!F40)</f>
        <v/>
      </c>
      <c r="AH4" s="49" t="str">
        <f>_xlfn.CONCAT(设置!F41)</f>
        <v/>
      </c>
      <c r="AI4" s="50" t="str">
        <f>_xlfn.CONCAT(设置!F42)</f>
        <v/>
      </c>
      <c r="AJ4" s="49" t="str">
        <f>_xlfn.CONCAT(设置!F43)</f>
        <v/>
      </c>
      <c r="AK4" s="50" t="str">
        <f>_xlfn.CONCAT(设置!F44)</f>
        <v/>
      </c>
      <c r="AL4" s="49" t="str">
        <f>_xlfn.CONCAT(设置!F45)</f>
        <v/>
      </c>
      <c r="AM4" s="50" t="str">
        <f>_xlfn.CONCAT(设置!F46)</f>
        <v/>
      </c>
      <c r="AN4" s="49" t="str">
        <f>_xlfn.CONCAT(设置!F47)</f>
        <v/>
      </c>
      <c r="AO4" s="50" t="str">
        <f>_xlfn.CONCAT(设置!F48)</f>
        <v/>
      </c>
      <c r="AP4" s="49" t="str">
        <f>_xlfn.CONCAT(设置!F49)</f>
        <v/>
      </c>
      <c r="AQ4" s="50" t="str">
        <f>_xlfn.CONCAT(设置!F50)</f>
        <v/>
      </c>
      <c r="AR4" s="104" t="s">
        <v>82</v>
      </c>
      <c r="AS4" s="104"/>
      <c r="AT4" s="104"/>
      <c r="AU4" s="104"/>
      <c r="AV4" s="50" t="s">
        <v>425</v>
      </c>
    </row>
    <row r="5" spans="2:48" ht="8.25" customHeight="1"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</row>
    <row r="6" spans="2:48" ht="40" customHeight="1">
      <c r="B6" s="23" t="s">
        <v>0</v>
      </c>
      <c r="C6" s="23" t="s">
        <v>3</v>
      </c>
      <c r="D6" s="23" t="s">
        <v>69</v>
      </c>
      <c r="E6" s="23" t="s">
        <v>70</v>
      </c>
      <c r="F6" s="23" t="s">
        <v>31</v>
      </c>
      <c r="G6" s="23" t="s">
        <v>32</v>
      </c>
      <c r="H6" s="23" t="s">
        <v>33</v>
      </c>
      <c r="I6" s="23" t="s">
        <v>34</v>
      </c>
      <c r="J6" s="23" t="s">
        <v>35</v>
      </c>
      <c r="K6" s="23" t="s">
        <v>36</v>
      </c>
      <c r="L6" s="23" t="s">
        <v>37</v>
      </c>
      <c r="M6" s="23" t="s">
        <v>39</v>
      </c>
      <c r="N6" s="23" t="s">
        <v>38</v>
      </c>
      <c r="O6" s="23" t="s">
        <v>40</v>
      </c>
      <c r="P6" s="23" t="s">
        <v>87</v>
      </c>
      <c r="Q6" s="23" t="s">
        <v>88</v>
      </c>
      <c r="R6" s="23" t="s">
        <v>89</v>
      </c>
      <c r="S6" s="23" t="s">
        <v>90</v>
      </c>
      <c r="T6" s="23" t="s">
        <v>91</v>
      </c>
      <c r="U6" s="23" t="s">
        <v>92</v>
      </c>
      <c r="V6" s="23" t="s">
        <v>93</v>
      </c>
      <c r="W6" s="23" t="s">
        <v>94</v>
      </c>
      <c r="X6" s="23" t="s">
        <v>130</v>
      </c>
      <c r="Y6" s="23" t="s">
        <v>131</v>
      </c>
      <c r="Z6" s="23" t="s">
        <v>132</v>
      </c>
      <c r="AA6" s="23" t="s">
        <v>133</v>
      </c>
      <c r="AB6" s="23" t="s">
        <v>134</v>
      </c>
      <c r="AC6" s="23" t="s">
        <v>135</v>
      </c>
      <c r="AD6" s="23" t="s">
        <v>136</v>
      </c>
      <c r="AE6" s="23" t="s">
        <v>137</v>
      </c>
      <c r="AF6" s="23" t="s">
        <v>138</v>
      </c>
      <c r="AG6" s="23" t="s">
        <v>139</v>
      </c>
      <c r="AH6" s="23" t="s">
        <v>129</v>
      </c>
      <c r="AI6" s="23" t="s">
        <v>140</v>
      </c>
      <c r="AJ6" s="23" t="s">
        <v>141</v>
      </c>
      <c r="AK6" s="23" t="s">
        <v>142</v>
      </c>
      <c r="AL6" s="23" t="s">
        <v>143</v>
      </c>
      <c r="AM6" s="23" t="s">
        <v>144</v>
      </c>
      <c r="AN6" s="23" t="s">
        <v>145</v>
      </c>
      <c r="AO6" s="23" t="s">
        <v>146</v>
      </c>
      <c r="AP6" s="23" t="s">
        <v>147</v>
      </c>
      <c r="AQ6" s="23" t="s">
        <v>148</v>
      </c>
      <c r="AR6" s="23" t="s">
        <v>5</v>
      </c>
      <c r="AS6" s="23" t="s">
        <v>4</v>
      </c>
      <c r="AT6" s="23" t="s">
        <v>6</v>
      </c>
      <c r="AU6" s="23" t="s">
        <v>7</v>
      </c>
      <c r="AV6" s="23" t="s">
        <v>423</v>
      </c>
    </row>
    <row r="7" spans="2:48" ht="40" customHeight="1">
      <c r="B7" s="9" cm="1">
        <f t="array" ref="B7">SN</f>
        <v>1</v>
      </c>
      <c r="C7" s="90" t="s">
        <v>268</v>
      </c>
      <c r="D7" s="96"/>
      <c r="E7" s="96"/>
      <c r="F7" s="96"/>
      <c r="G7" s="96"/>
      <c r="H7" s="96"/>
      <c r="I7" s="96"/>
      <c r="J7" s="96"/>
      <c r="K7" s="96"/>
      <c r="L7" s="96"/>
      <c r="M7" s="96"/>
      <c r="N7" s="96"/>
      <c r="O7" s="96"/>
      <c r="P7" s="96"/>
      <c r="Q7" s="96"/>
      <c r="R7" s="96"/>
      <c r="S7" s="96"/>
      <c r="T7" s="96"/>
      <c r="U7" s="96"/>
      <c r="V7" s="96"/>
      <c r="W7" s="96"/>
      <c r="X7" s="96"/>
      <c r="Y7" s="96"/>
      <c r="Z7" s="96"/>
      <c r="AA7" s="96"/>
      <c r="AB7" s="96"/>
      <c r="AC7" s="96"/>
      <c r="AD7" s="96"/>
      <c r="AE7" s="96"/>
      <c r="AF7" s="96"/>
      <c r="AG7" s="96"/>
      <c r="AH7" s="96"/>
      <c r="AI7" s="96"/>
      <c r="AJ7" s="96"/>
      <c r="AK7" s="96"/>
      <c r="AL7" s="96"/>
      <c r="AM7" s="96"/>
      <c r="AN7" s="96"/>
      <c r="AO7" s="96"/>
      <c r="AP7" s="96"/>
      <c r="AQ7" s="96"/>
      <c r="AR7" s="91" t="s">
        <v>8</v>
      </c>
      <c r="AS7" s="98"/>
      <c r="AT7" s="91" t="s">
        <v>247</v>
      </c>
      <c r="AU7" s="97" t="s">
        <v>426</v>
      </c>
      <c r="AV7" s="9" t="s">
        <v>435</v>
      </c>
    </row>
    <row r="8" spans="2:48" ht="40" customHeight="1">
      <c r="B8" s="9" cm="1">
        <f t="array" ref="B8">SN</f>
        <v>2</v>
      </c>
      <c r="C8" s="90" t="s">
        <v>422</v>
      </c>
      <c r="D8" s="96"/>
      <c r="E8" s="96"/>
      <c r="F8" s="96"/>
      <c r="G8" s="96"/>
      <c r="H8" s="96"/>
      <c r="I8" s="96"/>
      <c r="J8" s="96"/>
      <c r="K8" s="96"/>
      <c r="L8" s="96"/>
      <c r="M8" s="96"/>
      <c r="N8" s="96"/>
      <c r="O8" s="96"/>
      <c r="P8" s="96"/>
      <c r="Q8" s="96"/>
      <c r="R8" s="96"/>
      <c r="S8" s="96"/>
      <c r="T8" s="96"/>
      <c r="U8" s="96"/>
      <c r="V8" s="96"/>
      <c r="W8" s="96"/>
      <c r="X8" s="96"/>
      <c r="Y8" s="96"/>
      <c r="Z8" s="96"/>
      <c r="AA8" s="96"/>
      <c r="AB8" s="96"/>
      <c r="AC8" s="96"/>
      <c r="AD8" s="96"/>
      <c r="AE8" s="96"/>
      <c r="AF8" s="96"/>
      <c r="AG8" s="96"/>
      <c r="AH8" s="96"/>
      <c r="AI8" s="96"/>
      <c r="AJ8" s="96"/>
      <c r="AK8" s="96"/>
      <c r="AL8" s="96"/>
      <c r="AM8" s="96"/>
      <c r="AN8" s="96"/>
      <c r="AO8" s="96"/>
      <c r="AP8" s="96"/>
      <c r="AQ8" s="96"/>
      <c r="AR8" s="91" t="s">
        <v>8</v>
      </c>
      <c r="AS8" s="98"/>
      <c r="AT8" s="91" t="s">
        <v>247</v>
      </c>
      <c r="AU8" s="97" t="s">
        <v>426</v>
      </c>
      <c r="AV8" s="9" t="s">
        <v>435</v>
      </c>
    </row>
  </sheetData>
  <mergeCells count="1">
    <mergeCell ref="AR4:AU4"/>
  </mergeCells>
  <phoneticPr fontId="7" type="noConversion"/>
  <conditionalFormatting sqref="C7:AU8">
    <cfRule type="expression" dxfId="105" priority="27">
      <formula>MOD(ROW(),2)=0</formula>
    </cfRule>
    <cfRule type="expression" dxfId="104" priority="28">
      <formula>MOD(ROW(),2)=1</formula>
    </cfRule>
  </conditionalFormatting>
  <dataValidations count="4">
    <dataValidation type="list" allowBlank="1" showInputMessage="1" showErrorMessage="1" sqref="C7:C1048576" xr:uid="{BAEA8DF3-DB1E-4CF5-83D3-C3222F25DDAB}">
      <formula1>Get_GUID</formula1>
    </dataValidation>
    <dataValidation type="list" allowBlank="1" showInputMessage="1" showErrorMessage="1" sqref="AT7:AT1048576" xr:uid="{3C31741D-D10D-4C41-AC71-A5DCFCAD7476}">
      <formula1>Get_Staff_Member</formula1>
    </dataValidation>
    <dataValidation type="list" allowBlank="1" showInputMessage="1" showErrorMessage="1" sqref="AR7:AR1048576" xr:uid="{188A5DC8-B57D-4F83-8119-9B82B48E68D0}">
      <formula1>Get_Type_of_Access</formula1>
    </dataValidation>
    <dataValidation type="decimal" operator="greaterThanOrEqual" allowBlank="1" showInputMessage="1" showErrorMessage="1" sqref="D7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50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D7:AQ8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设置</vt:lpstr>
      <vt:lpstr>新增入库取货</vt:lpstr>
      <vt:lpstr>入库取货</vt:lpstr>
      <vt:lpstr>新增会员</vt:lpstr>
      <vt:lpstr>会员详细信息</vt:lpstr>
      <vt:lpstr>历史记录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新增会员!Print_Area</vt:lpstr>
      <vt:lpstr>设置!Print_Area</vt:lpstr>
      <vt:lpstr>设置!Print_Titles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2023-12-27T09:34:44Z</cp:lastPrinted>
  <dcterms:created xsi:type="dcterms:W3CDTF">2023-11-27T09:49:08Z</dcterms:created>
  <dcterms:modified xsi:type="dcterms:W3CDTF">2024-03-04T09:18:09Z</dcterms:modified>
</cp:coreProperties>
</file>